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ris\Desktop\Almende\gamesessions\"/>
    </mc:Choice>
  </mc:AlternateContent>
  <bookViews>
    <workbookView xWindow="480" yWindow="120" windowWidth="18195" windowHeight="12000" firstSheet="1" activeTab="8"/>
  </bookViews>
  <sheets>
    <sheet name="TU" sheetId="8" r:id="rId1"/>
    <sheet name="Almende" sheetId="9" r:id="rId2"/>
    <sheet name="Eneco" sheetId="13" r:id="rId3"/>
    <sheet name="RWS 21-11" sheetId="11" r:id="rId4"/>
    <sheet name="RWS 18-12" sheetId="6" r:id="rId5"/>
    <sheet name="TopTech" sheetId="4" r:id="rId6"/>
    <sheet name="BdeBont" sheetId="12" r:id="rId7"/>
    <sheet name="Scores" sheetId="2" r:id="rId8"/>
    <sheet name="Sessiescores" sheetId="14" r:id="rId9"/>
    <sheet name="Verwachtingswaardes" sheetId="3" r:id="rId10"/>
  </sheets>
  <functionGroups builtInGroupCount="18"/>
  <calcPr calcId="152511"/>
</workbook>
</file>

<file path=xl/calcChain.xml><?xml version="1.0" encoding="utf-8"?>
<calcChain xmlns="http://schemas.openxmlformats.org/spreadsheetml/2006/main">
  <c r="C6" i="11" l="1"/>
  <c r="AQ5" i="11" s="1"/>
  <c r="D6" i="11"/>
  <c r="AR5" i="11" s="1"/>
  <c r="E6" i="11"/>
  <c r="H6" i="11"/>
  <c r="I6" i="11"/>
  <c r="J6" i="11"/>
  <c r="AS5" i="11" s="1"/>
  <c r="M6" i="11"/>
  <c r="N6" i="11"/>
  <c r="O6" i="11"/>
  <c r="R6" i="11"/>
  <c r="S6" i="11"/>
  <c r="T6" i="11"/>
  <c r="W6" i="11"/>
  <c r="X6" i="11"/>
  <c r="Y6" i="11"/>
  <c r="AB6" i="11"/>
  <c r="AC6" i="11"/>
  <c r="AV5" i="11" s="1"/>
  <c r="AD6" i="11"/>
  <c r="AW5" i="11" s="1"/>
  <c r="AG6" i="11"/>
  <c r="AH6" i="11"/>
  <c r="AI6" i="11"/>
  <c r="AL6" i="11"/>
  <c r="AU5" i="11" s="1"/>
  <c r="AM6" i="11"/>
  <c r="AN6" i="11"/>
  <c r="C12" i="4"/>
  <c r="AQ11" i="4" s="1"/>
  <c r="D12" i="4"/>
  <c r="AR11" i="4" s="1"/>
  <c r="E12" i="4"/>
  <c r="H12" i="4"/>
  <c r="I12" i="4"/>
  <c r="J12" i="4"/>
  <c r="AS11" i="4" s="1"/>
  <c r="M12" i="4"/>
  <c r="N12" i="4"/>
  <c r="O12" i="4"/>
  <c r="R12" i="4"/>
  <c r="S12" i="4"/>
  <c r="T12" i="4"/>
  <c r="W12" i="4"/>
  <c r="X12" i="4"/>
  <c r="Y12" i="4"/>
  <c r="AB12" i="4"/>
  <c r="AU11" i="4" s="1"/>
  <c r="AC12" i="4"/>
  <c r="AV11" i="4" s="1"/>
  <c r="AD12" i="4"/>
  <c r="AW11" i="4" s="1"/>
  <c r="AG12" i="4"/>
  <c r="AH12" i="4"/>
  <c r="AI12" i="4"/>
  <c r="AL12" i="4"/>
  <c r="AM12" i="4"/>
  <c r="AN12" i="4"/>
  <c r="D22" i="8"/>
  <c r="AD23" i="8"/>
  <c r="AI23" i="8"/>
  <c r="AN23" i="8"/>
  <c r="AW22" i="8"/>
  <c r="AC23" i="8"/>
  <c r="AH23" i="8"/>
  <c r="AM23" i="8"/>
  <c r="AV22" i="8"/>
  <c r="AB23" i="8"/>
  <c r="AG23" i="8"/>
  <c r="AL23" i="8"/>
  <c r="AU22" i="8"/>
  <c r="E23" i="8"/>
  <c r="J23" i="8"/>
  <c r="O23" i="8"/>
  <c r="T23" i="8"/>
  <c r="Y23" i="8"/>
  <c r="AS22" i="8"/>
  <c r="D23" i="8"/>
  <c r="I23" i="8"/>
  <c r="N23" i="8"/>
  <c r="S23" i="8"/>
  <c r="X23" i="8"/>
  <c r="AR22" i="8"/>
  <c r="C23" i="8"/>
  <c r="H23" i="8"/>
  <c r="M23" i="8"/>
  <c r="R23" i="8"/>
  <c r="W23" i="8"/>
  <c r="AQ22" i="8"/>
  <c r="AO22" i="12"/>
  <c r="AN22" i="12"/>
  <c r="AM22" i="12"/>
  <c r="AL22" i="12"/>
  <c r="AJ22" i="12"/>
  <c r="AI22" i="12"/>
  <c r="AH22" i="12"/>
  <c r="AG22" i="12"/>
  <c r="AE22" i="12"/>
  <c r="AD22" i="12"/>
  <c r="AC22" i="12"/>
  <c r="AB22" i="12"/>
  <c r="Z22" i="12"/>
  <c r="Y22" i="12"/>
  <c r="X22" i="12"/>
  <c r="W22" i="12"/>
  <c r="U22" i="12"/>
  <c r="T22" i="12"/>
  <c r="S22" i="12"/>
  <c r="R22" i="12"/>
  <c r="P22" i="12"/>
  <c r="O22" i="12"/>
  <c r="N22" i="12"/>
  <c r="M22" i="12"/>
  <c r="K22" i="12"/>
  <c r="J22" i="12"/>
  <c r="I22" i="12"/>
  <c r="H22" i="12"/>
  <c r="F22" i="12"/>
  <c r="E22" i="12"/>
  <c r="D22" i="12"/>
  <c r="C22" i="12"/>
  <c r="AN23" i="12"/>
  <c r="AM23" i="12"/>
  <c r="AL23" i="12"/>
  <c r="AI23" i="12"/>
  <c r="AH23" i="12"/>
  <c r="AG23" i="12"/>
  <c r="AD23" i="12"/>
  <c r="AC23" i="12"/>
  <c r="AB23" i="12"/>
  <c r="Y23" i="12"/>
  <c r="X23" i="12"/>
  <c r="W23" i="12"/>
  <c r="T23" i="12"/>
  <c r="S23" i="12"/>
  <c r="R23" i="12"/>
  <c r="O23" i="12"/>
  <c r="N23" i="12"/>
  <c r="M23" i="12"/>
  <c r="J23" i="12"/>
  <c r="I23" i="12"/>
  <c r="H23" i="12"/>
  <c r="E23" i="12"/>
  <c r="D23" i="12"/>
  <c r="C23" i="12"/>
  <c r="AW22" i="12"/>
  <c r="AV22" i="12"/>
  <c r="AU22" i="12"/>
  <c r="AS22" i="12"/>
  <c r="AR22" i="12"/>
  <c r="AQ22" i="12"/>
  <c r="AO14" i="6"/>
  <c r="AN14" i="6"/>
  <c r="AM14" i="6"/>
  <c r="AL14" i="6"/>
  <c r="AJ14" i="6"/>
  <c r="AI14" i="6"/>
  <c r="AH14" i="6"/>
  <c r="AG14" i="6"/>
  <c r="AE14" i="6"/>
  <c r="AD14" i="6"/>
  <c r="AC14" i="6"/>
  <c r="AB14" i="6"/>
  <c r="Z14" i="6"/>
  <c r="Y14" i="6"/>
  <c r="X14" i="6"/>
  <c r="W14" i="6"/>
  <c r="U14" i="6"/>
  <c r="T14" i="6"/>
  <c r="S14" i="6"/>
  <c r="R14" i="6"/>
  <c r="P14" i="6"/>
  <c r="O14" i="6"/>
  <c r="N14" i="6"/>
  <c r="M14" i="6"/>
  <c r="K14" i="6"/>
  <c r="J14" i="6"/>
  <c r="I14" i="6"/>
  <c r="H14" i="6"/>
  <c r="F14" i="6"/>
  <c r="E14" i="6"/>
  <c r="D14" i="6"/>
  <c r="C14" i="6"/>
  <c r="AN15" i="6"/>
  <c r="AM15" i="6"/>
  <c r="AL15" i="6"/>
  <c r="AI15" i="6"/>
  <c r="AH15" i="6"/>
  <c r="AG15" i="6"/>
  <c r="AD15" i="6"/>
  <c r="AC15" i="6"/>
  <c r="AB15" i="6"/>
  <c r="Y15" i="6"/>
  <c r="X15" i="6"/>
  <c r="W15" i="6"/>
  <c r="T15" i="6"/>
  <c r="S15" i="6"/>
  <c r="R15" i="6"/>
  <c r="O15" i="6"/>
  <c r="N15" i="6"/>
  <c r="M15" i="6"/>
  <c r="J15" i="6"/>
  <c r="I15" i="6"/>
  <c r="H15" i="6"/>
  <c r="E15" i="6"/>
  <c r="D15" i="6"/>
  <c r="C15" i="6"/>
  <c r="AW14" i="6"/>
  <c r="AV14" i="6"/>
  <c r="AU14" i="6"/>
  <c r="AS14" i="6"/>
  <c r="AR14" i="6"/>
  <c r="AQ14" i="6"/>
  <c r="AO10" i="13"/>
  <c r="AN10" i="13"/>
  <c r="AM10" i="13"/>
  <c r="AL10" i="13"/>
  <c r="AJ10" i="13"/>
  <c r="AI10" i="13"/>
  <c r="AH10" i="13"/>
  <c r="AG10" i="13"/>
  <c r="AE10" i="13"/>
  <c r="AD10" i="13"/>
  <c r="AC10" i="13"/>
  <c r="AB10" i="13"/>
  <c r="Z10" i="13"/>
  <c r="Y10" i="13"/>
  <c r="X10" i="13"/>
  <c r="W10" i="13"/>
  <c r="U10" i="13"/>
  <c r="T10" i="13"/>
  <c r="S10" i="13"/>
  <c r="R10" i="13"/>
  <c r="P10" i="13"/>
  <c r="O10" i="13"/>
  <c r="N10" i="13"/>
  <c r="M10" i="13"/>
  <c r="K10" i="13"/>
  <c r="J10" i="13"/>
  <c r="I10" i="13"/>
  <c r="H10" i="13"/>
  <c r="F10" i="13"/>
  <c r="E10" i="13"/>
  <c r="D10" i="13"/>
  <c r="C10" i="13"/>
  <c r="AN11" i="13"/>
  <c r="AM11" i="13"/>
  <c r="AL11" i="13"/>
  <c r="AI11" i="13"/>
  <c r="AH11" i="13"/>
  <c r="AG11" i="13"/>
  <c r="AD11" i="13"/>
  <c r="AC11" i="13"/>
  <c r="AB11" i="13"/>
  <c r="Y11" i="13"/>
  <c r="X11" i="13"/>
  <c r="W11" i="13"/>
  <c r="T11" i="13"/>
  <c r="S11" i="13"/>
  <c r="R11" i="13"/>
  <c r="O11" i="13"/>
  <c r="N11" i="13"/>
  <c r="M11" i="13"/>
  <c r="J11" i="13"/>
  <c r="I11" i="13"/>
  <c r="H11" i="13"/>
  <c r="E11" i="13"/>
  <c r="D11" i="13"/>
  <c r="C11" i="13"/>
  <c r="AW10" i="13"/>
  <c r="AV10" i="13"/>
  <c r="AU10" i="13"/>
  <c r="AS10" i="13"/>
  <c r="AR10" i="13"/>
  <c r="AQ10" i="13"/>
  <c r="AL22" i="9"/>
  <c r="AM22" i="9"/>
  <c r="AN22" i="9"/>
  <c r="AO22" i="9"/>
  <c r="AN23" i="9"/>
  <c r="AM23" i="9"/>
  <c r="AL23" i="9"/>
  <c r="AG22" i="9"/>
  <c r="AH22" i="9"/>
  <c r="AI22" i="9"/>
  <c r="AJ22" i="9"/>
  <c r="AI23" i="9"/>
  <c r="AH23" i="9"/>
  <c r="AG23" i="9"/>
  <c r="AB22" i="9"/>
  <c r="AC22" i="9"/>
  <c r="AD22" i="9"/>
  <c r="AE22" i="9"/>
  <c r="AD23" i="9"/>
  <c r="AC23" i="9"/>
  <c r="AB23" i="9"/>
  <c r="W22" i="9"/>
  <c r="X22" i="9"/>
  <c r="Y22" i="9"/>
  <c r="Z22" i="9"/>
  <c r="Y23" i="9"/>
  <c r="X23" i="9"/>
  <c r="W23" i="9"/>
  <c r="R22" i="9"/>
  <c r="S22" i="9"/>
  <c r="T22" i="9"/>
  <c r="U22" i="9"/>
  <c r="T23" i="9"/>
  <c r="S23" i="9"/>
  <c r="R23" i="9"/>
  <c r="M22" i="9"/>
  <c r="N22" i="9"/>
  <c r="O22" i="9"/>
  <c r="P22" i="9"/>
  <c r="O23" i="9"/>
  <c r="N23" i="9"/>
  <c r="M23" i="9"/>
  <c r="H22" i="9"/>
  <c r="I22" i="9"/>
  <c r="J22" i="9"/>
  <c r="K22" i="9"/>
  <c r="J23" i="9"/>
  <c r="I23" i="9"/>
  <c r="H23" i="9"/>
  <c r="C22" i="9"/>
  <c r="D22" i="9"/>
  <c r="E22" i="9"/>
  <c r="F22" i="9"/>
  <c r="E23" i="9"/>
  <c r="D23" i="9"/>
  <c r="C23" i="9"/>
  <c r="AW22" i="9"/>
  <c r="AV22" i="9"/>
  <c r="AU22" i="9"/>
  <c r="AS22" i="9"/>
  <c r="AR22" i="9"/>
  <c r="AQ22" i="9"/>
  <c r="AO22" i="8"/>
  <c r="AN22" i="8"/>
  <c r="AM22" i="8"/>
  <c r="AL22" i="8"/>
  <c r="AJ22" i="8"/>
  <c r="AI22" i="8"/>
  <c r="AH22" i="8"/>
  <c r="AG22" i="8"/>
  <c r="AE22" i="8"/>
  <c r="AD22" i="8"/>
  <c r="AC22" i="8"/>
  <c r="AB22" i="8"/>
  <c r="Z22" i="8"/>
  <c r="Y22" i="8"/>
  <c r="X22" i="8"/>
  <c r="W22" i="8"/>
  <c r="U22" i="8"/>
  <c r="T22" i="8"/>
  <c r="S22" i="8"/>
  <c r="R22" i="8"/>
  <c r="P22" i="8"/>
  <c r="O22" i="8"/>
  <c r="N22" i="8"/>
  <c r="M22" i="8"/>
  <c r="K22" i="8"/>
  <c r="J22" i="8"/>
  <c r="I22" i="8"/>
  <c r="H22" i="8"/>
  <c r="C22" i="8"/>
  <c r="E22" i="8"/>
  <c r="F22" i="8"/>
  <c r="AL20" i="8"/>
  <c r="AG20" i="8"/>
  <c r="AD20" i="8"/>
  <c r="AC20" i="8"/>
  <c r="AB20" i="8"/>
  <c r="W20" i="8"/>
  <c r="R20" i="8"/>
  <c r="M20" i="8"/>
  <c r="H20" i="8"/>
  <c r="E20" i="8"/>
  <c r="D20" i="8"/>
  <c r="C20" i="8"/>
  <c r="AI20" i="8"/>
  <c r="AN20" i="8"/>
  <c r="AW19" i="8"/>
  <c r="I20" i="8"/>
  <c r="N20" i="8"/>
  <c r="S20" i="8"/>
  <c r="X20" i="8"/>
  <c r="AR19" i="8"/>
  <c r="AL18" i="8"/>
  <c r="AG18" i="8"/>
  <c r="AD18" i="8"/>
  <c r="AC18" i="8"/>
  <c r="AB18" i="8"/>
  <c r="W18" i="8"/>
  <c r="R18" i="8"/>
  <c r="M18" i="8"/>
  <c r="H18" i="8"/>
  <c r="E18" i="8"/>
  <c r="D18" i="8"/>
  <c r="C18" i="8"/>
  <c r="AI18" i="8"/>
  <c r="AN18" i="8"/>
  <c r="AW17" i="8"/>
  <c r="I18" i="8"/>
  <c r="N18" i="8"/>
  <c r="S18" i="8"/>
  <c r="X18" i="8"/>
  <c r="AR17" i="8"/>
  <c r="AL16" i="8"/>
  <c r="AG16" i="8"/>
  <c r="AD16" i="8"/>
  <c r="AC16" i="8"/>
  <c r="AB16" i="8"/>
  <c r="W16" i="8"/>
  <c r="R16" i="8"/>
  <c r="M16" i="8"/>
  <c r="H16" i="8"/>
  <c r="E16" i="8"/>
  <c r="D16" i="8"/>
  <c r="C16" i="8"/>
  <c r="AI16" i="8"/>
  <c r="AN16" i="8"/>
  <c r="AW15" i="8"/>
  <c r="I16" i="8"/>
  <c r="N16" i="8"/>
  <c r="S16" i="8"/>
  <c r="X16" i="8"/>
  <c r="AR15" i="8"/>
  <c r="AL14" i="8"/>
  <c r="AG14" i="8"/>
  <c r="AD14" i="8"/>
  <c r="AC14" i="8"/>
  <c r="AB14" i="8"/>
  <c r="W14" i="8"/>
  <c r="R14" i="8"/>
  <c r="M14" i="8"/>
  <c r="H14" i="8"/>
  <c r="E14" i="8"/>
  <c r="D14" i="8"/>
  <c r="C14" i="8"/>
  <c r="AI14" i="8"/>
  <c r="AN14" i="8"/>
  <c r="AW13" i="8"/>
  <c r="I14" i="8"/>
  <c r="N14" i="8"/>
  <c r="S14" i="8"/>
  <c r="X14" i="8"/>
  <c r="AR13" i="8"/>
  <c r="AL12" i="8"/>
  <c r="AG12" i="8"/>
  <c r="AD12" i="8"/>
  <c r="AC12" i="8"/>
  <c r="AB12" i="8"/>
  <c r="W12" i="8"/>
  <c r="R12" i="8"/>
  <c r="M12" i="8"/>
  <c r="H12" i="8"/>
  <c r="E12" i="8"/>
  <c r="D12" i="8"/>
  <c r="C12" i="8"/>
  <c r="AI12" i="8"/>
  <c r="AN12" i="8"/>
  <c r="AW11" i="8"/>
  <c r="I12" i="8"/>
  <c r="N12" i="8"/>
  <c r="S12" i="8"/>
  <c r="X12" i="8"/>
  <c r="AR11" i="8"/>
  <c r="AL10" i="8"/>
  <c r="AG10" i="8"/>
  <c r="AD10" i="8"/>
  <c r="AC10" i="8"/>
  <c r="AB10" i="8"/>
  <c r="W10" i="8"/>
  <c r="R10" i="8"/>
  <c r="M10" i="8"/>
  <c r="H10" i="8"/>
  <c r="E10" i="8"/>
  <c r="D10" i="8"/>
  <c r="C10" i="8"/>
  <c r="AI10" i="8"/>
  <c r="AN10" i="8"/>
  <c r="AW9" i="8"/>
  <c r="I10" i="8"/>
  <c r="N10" i="8"/>
  <c r="S10" i="8"/>
  <c r="X10" i="8"/>
  <c r="AR9" i="8"/>
  <c r="AL8" i="8"/>
  <c r="AG8" i="8"/>
  <c r="AD8" i="8"/>
  <c r="AC8" i="8"/>
  <c r="AB8" i="8"/>
  <c r="W8" i="8"/>
  <c r="R8" i="8"/>
  <c r="M8" i="8"/>
  <c r="H8" i="8"/>
  <c r="E8" i="8"/>
  <c r="D8" i="8"/>
  <c r="C8" i="8"/>
  <c r="AI8" i="8"/>
  <c r="AN8" i="8"/>
  <c r="AW7" i="8"/>
  <c r="I8" i="8"/>
  <c r="N8" i="8"/>
  <c r="S8" i="8"/>
  <c r="X8" i="8"/>
  <c r="AR7" i="8"/>
  <c r="AL6" i="8"/>
  <c r="AG6" i="8"/>
  <c r="AD6" i="8"/>
  <c r="AC6" i="8"/>
  <c r="AB6" i="8"/>
  <c r="W6" i="8"/>
  <c r="R6" i="8"/>
  <c r="M6" i="8"/>
  <c r="H6" i="8"/>
  <c r="E6" i="8"/>
  <c r="D6" i="8"/>
  <c r="C6" i="8"/>
  <c r="AI6" i="8"/>
  <c r="AN6" i="8"/>
  <c r="AW5" i="8"/>
  <c r="I6" i="8"/>
  <c r="N6" i="8"/>
  <c r="S6" i="8"/>
  <c r="X6" i="8"/>
  <c r="AR5" i="8"/>
  <c r="AL4" i="8"/>
  <c r="AG4" i="8"/>
  <c r="AD4" i="8"/>
  <c r="AC4" i="8"/>
  <c r="AB4" i="8"/>
  <c r="W4" i="8"/>
  <c r="R4" i="8"/>
  <c r="M4" i="8"/>
  <c r="H4" i="8"/>
  <c r="E4" i="8"/>
  <c r="D4" i="8"/>
  <c r="C4" i="8"/>
  <c r="AI4" i="8"/>
  <c r="AN4" i="8"/>
  <c r="AW3" i="8"/>
  <c r="I4" i="8"/>
  <c r="N4" i="8"/>
  <c r="S4" i="8"/>
  <c r="X4" i="8"/>
  <c r="AR3" i="8"/>
  <c r="AQ3" i="8"/>
  <c r="AQ5" i="8"/>
  <c r="AQ7" i="8"/>
  <c r="AQ9" i="8"/>
  <c r="AQ11" i="8"/>
  <c r="AQ13" i="8"/>
  <c r="AQ15" i="8"/>
  <c r="AQ17" i="8"/>
  <c r="AQ19" i="8"/>
  <c r="E15" i="2"/>
  <c r="I15" i="2"/>
  <c r="E4" i="12"/>
  <c r="J4" i="12"/>
  <c r="O4" i="12"/>
  <c r="T4" i="12"/>
  <c r="Y4" i="12"/>
  <c r="E17" i="2"/>
  <c r="I17" i="2"/>
  <c r="AS3" i="12"/>
  <c r="E6" i="12"/>
  <c r="J6" i="12"/>
  <c r="O6" i="12"/>
  <c r="T6" i="12"/>
  <c r="Y6" i="12"/>
  <c r="AS5" i="12"/>
  <c r="E8" i="12"/>
  <c r="J8" i="12"/>
  <c r="O8" i="12"/>
  <c r="T8" i="12"/>
  <c r="Y8" i="12"/>
  <c r="AS7" i="12"/>
  <c r="E10" i="12"/>
  <c r="J10" i="12"/>
  <c r="O10" i="12"/>
  <c r="T10" i="12"/>
  <c r="Y10" i="12"/>
  <c r="AS9" i="12"/>
  <c r="E12" i="12"/>
  <c r="J12" i="12"/>
  <c r="O12" i="12"/>
  <c r="T12" i="12"/>
  <c r="Y12" i="12"/>
  <c r="AS11" i="12"/>
  <c r="E14" i="12"/>
  <c r="J14" i="12"/>
  <c r="O14" i="12"/>
  <c r="T14" i="12"/>
  <c r="Y14" i="12"/>
  <c r="AS13" i="12"/>
  <c r="E16" i="12"/>
  <c r="J16" i="12"/>
  <c r="O16" i="12"/>
  <c r="T16" i="12"/>
  <c r="Y16" i="12"/>
  <c r="AS15" i="12"/>
  <c r="E18" i="12"/>
  <c r="J18" i="12"/>
  <c r="O18" i="12"/>
  <c r="T18" i="12"/>
  <c r="Y18" i="12"/>
  <c r="AS17" i="12"/>
  <c r="E20" i="12"/>
  <c r="J20" i="12"/>
  <c r="O20" i="12"/>
  <c r="T20" i="12"/>
  <c r="Y20" i="12"/>
  <c r="AS19" i="12"/>
  <c r="AD4" i="12"/>
  <c r="AI4" i="12"/>
  <c r="AN4" i="12"/>
  <c r="F17" i="2"/>
  <c r="J17" i="2"/>
  <c r="AW3" i="12"/>
  <c r="AD6" i="12"/>
  <c r="AI6" i="12"/>
  <c r="AN6" i="12"/>
  <c r="AW5" i="12"/>
  <c r="AD8" i="12"/>
  <c r="AI8" i="12"/>
  <c r="AN8" i="12"/>
  <c r="AW7" i="12"/>
  <c r="AD10" i="12"/>
  <c r="AI10" i="12"/>
  <c r="AN10" i="12"/>
  <c r="AW9" i="12"/>
  <c r="AD12" i="12"/>
  <c r="AI12" i="12"/>
  <c r="AN12" i="12"/>
  <c r="AW11" i="12"/>
  <c r="AD14" i="12"/>
  <c r="AI14" i="12"/>
  <c r="AN14" i="12"/>
  <c r="AW13" i="12"/>
  <c r="AD16" i="12"/>
  <c r="AI16" i="12"/>
  <c r="AN16" i="12"/>
  <c r="AW15" i="12"/>
  <c r="AD18" i="12"/>
  <c r="AI18" i="12"/>
  <c r="AN18" i="12"/>
  <c r="AW17" i="12"/>
  <c r="AD20" i="12"/>
  <c r="AI20" i="12"/>
  <c r="AN20" i="12"/>
  <c r="AW19" i="12"/>
  <c r="D4" i="12"/>
  <c r="I4" i="12"/>
  <c r="N4" i="12"/>
  <c r="S4" i="12"/>
  <c r="X4" i="12"/>
  <c r="E16" i="2"/>
  <c r="I16" i="2"/>
  <c r="AR3" i="12"/>
  <c r="D6" i="12"/>
  <c r="I6" i="12"/>
  <c r="N6" i="12"/>
  <c r="S6" i="12"/>
  <c r="X6" i="12"/>
  <c r="AR5" i="12"/>
  <c r="D8" i="12"/>
  <c r="I8" i="12"/>
  <c r="N8" i="12"/>
  <c r="S8" i="12"/>
  <c r="X8" i="12"/>
  <c r="AR7" i="12"/>
  <c r="D10" i="12"/>
  <c r="I10" i="12"/>
  <c r="N10" i="12"/>
  <c r="S10" i="12"/>
  <c r="X10" i="12"/>
  <c r="AR9" i="12"/>
  <c r="D12" i="12"/>
  <c r="I12" i="12"/>
  <c r="N12" i="12"/>
  <c r="S12" i="12"/>
  <c r="X12" i="12"/>
  <c r="AR11" i="12"/>
  <c r="D14" i="12"/>
  <c r="I14" i="12"/>
  <c r="N14" i="12"/>
  <c r="S14" i="12"/>
  <c r="X14" i="12"/>
  <c r="AR13" i="12"/>
  <c r="D16" i="12"/>
  <c r="I16" i="12"/>
  <c r="N16" i="12"/>
  <c r="S16" i="12"/>
  <c r="X16" i="12"/>
  <c r="AR15" i="12"/>
  <c r="D18" i="12"/>
  <c r="I18" i="12"/>
  <c r="N18" i="12"/>
  <c r="S18" i="12"/>
  <c r="X18" i="12"/>
  <c r="AR17" i="12"/>
  <c r="D20" i="12"/>
  <c r="I20" i="12"/>
  <c r="N20" i="12"/>
  <c r="S20" i="12"/>
  <c r="X20" i="12"/>
  <c r="AR19" i="12"/>
  <c r="AC4" i="12"/>
  <c r="AH4" i="12"/>
  <c r="AM4" i="12"/>
  <c r="F16" i="2"/>
  <c r="J16" i="2"/>
  <c r="AV3" i="12"/>
  <c r="AC6" i="12"/>
  <c r="AH6" i="12"/>
  <c r="AM6" i="12"/>
  <c r="AV5" i="12"/>
  <c r="AC8" i="12"/>
  <c r="AH8" i="12"/>
  <c r="AM8" i="12"/>
  <c r="AV7" i="12"/>
  <c r="AC10" i="12"/>
  <c r="AH10" i="12"/>
  <c r="AM10" i="12"/>
  <c r="AV9" i="12"/>
  <c r="AC12" i="12"/>
  <c r="AH12" i="12"/>
  <c r="AM12" i="12"/>
  <c r="AV11" i="12"/>
  <c r="AC14" i="12"/>
  <c r="AH14" i="12"/>
  <c r="AM14" i="12"/>
  <c r="AV13" i="12"/>
  <c r="AC16" i="12"/>
  <c r="AH16" i="12"/>
  <c r="AM16" i="12"/>
  <c r="AV15" i="12"/>
  <c r="AC18" i="12"/>
  <c r="AH18" i="12"/>
  <c r="AM18" i="12"/>
  <c r="AV17" i="12"/>
  <c r="AC20" i="12"/>
  <c r="AH20" i="12"/>
  <c r="AM20" i="12"/>
  <c r="AV19" i="12"/>
  <c r="C4" i="12"/>
  <c r="H4" i="12"/>
  <c r="M4" i="12"/>
  <c r="R4" i="12"/>
  <c r="W4" i="12"/>
  <c r="AQ3" i="12"/>
  <c r="C6" i="12"/>
  <c r="H6" i="12"/>
  <c r="M6" i="12"/>
  <c r="R6" i="12"/>
  <c r="W6" i="12"/>
  <c r="AQ5" i="12"/>
  <c r="C8" i="12"/>
  <c r="H8" i="12"/>
  <c r="M8" i="12"/>
  <c r="R8" i="12"/>
  <c r="W8" i="12"/>
  <c r="AQ7" i="12"/>
  <c r="C10" i="12"/>
  <c r="H10" i="12"/>
  <c r="M10" i="12"/>
  <c r="R10" i="12"/>
  <c r="W10" i="12"/>
  <c r="AQ9" i="12"/>
  <c r="C12" i="12"/>
  <c r="H12" i="12"/>
  <c r="M12" i="12"/>
  <c r="R12" i="12"/>
  <c r="W12" i="12"/>
  <c r="AQ11" i="12"/>
  <c r="C14" i="12"/>
  <c r="H14" i="12"/>
  <c r="M14" i="12"/>
  <c r="R14" i="12"/>
  <c r="W14" i="12"/>
  <c r="AQ13" i="12"/>
  <c r="C16" i="12"/>
  <c r="H16" i="12"/>
  <c r="M16" i="12"/>
  <c r="R16" i="12"/>
  <c r="W16" i="12"/>
  <c r="AQ15" i="12"/>
  <c r="C18" i="12"/>
  <c r="H18" i="12"/>
  <c r="M18" i="12"/>
  <c r="R18" i="12"/>
  <c r="W18" i="12"/>
  <c r="AQ17" i="12"/>
  <c r="C20" i="12"/>
  <c r="H20" i="12"/>
  <c r="M20" i="12"/>
  <c r="R20" i="12"/>
  <c r="W20" i="12"/>
  <c r="AQ19" i="12"/>
  <c r="AB4" i="12"/>
  <c r="AG4" i="12"/>
  <c r="AL4" i="12"/>
  <c r="F15" i="2"/>
  <c r="J15" i="2"/>
  <c r="AU3" i="12"/>
  <c r="AB6" i="12"/>
  <c r="AG6" i="12"/>
  <c r="AL6" i="12"/>
  <c r="AU5" i="12"/>
  <c r="AB8" i="12"/>
  <c r="AG8" i="12"/>
  <c r="AL8" i="12"/>
  <c r="AU7" i="12"/>
  <c r="AB10" i="12"/>
  <c r="AG10" i="12"/>
  <c r="AL10" i="12"/>
  <c r="AU9" i="12"/>
  <c r="AB12" i="12"/>
  <c r="AG12" i="12"/>
  <c r="AL12" i="12"/>
  <c r="AU11" i="12"/>
  <c r="AB14" i="12"/>
  <c r="AG14" i="12"/>
  <c r="AL14" i="12"/>
  <c r="AU13" i="12"/>
  <c r="AB16" i="12"/>
  <c r="AG16" i="12"/>
  <c r="AL16" i="12"/>
  <c r="AU15" i="12"/>
  <c r="AB18" i="12"/>
  <c r="AG18" i="12"/>
  <c r="AL18" i="12"/>
  <c r="AU17" i="12"/>
  <c r="AB20" i="12"/>
  <c r="AG20" i="12"/>
  <c r="AL20" i="12"/>
  <c r="AU19" i="12"/>
  <c r="E4" i="4"/>
  <c r="J4" i="4"/>
  <c r="O4" i="4"/>
  <c r="T4" i="4"/>
  <c r="Y4" i="4"/>
  <c r="AS3" i="4"/>
  <c r="E6" i="4"/>
  <c r="J6" i="4"/>
  <c r="O6" i="4"/>
  <c r="T6" i="4"/>
  <c r="Y6" i="4"/>
  <c r="AS5" i="4"/>
  <c r="E8" i="4"/>
  <c r="J8" i="4"/>
  <c r="O8" i="4"/>
  <c r="T8" i="4"/>
  <c r="Y8" i="4"/>
  <c r="AS7" i="4"/>
  <c r="E10" i="4"/>
  <c r="J10" i="4"/>
  <c r="O10" i="4"/>
  <c r="T10" i="4"/>
  <c r="Y10" i="4"/>
  <c r="AS9" i="4"/>
  <c r="E14" i="4"/>
  <c r="J14" i="4"/>
  <c r="O14" i="4"/>
  <c r="T14" i="4"/>
  <c r="Y14" i="4"/>
  <c r="AS13" i="4"/>
  <c r="E16" i="4"/>
  <c r="J16" i="4"/>
  <c r="O16" i="4"/>
  <c r="T16" i="4"/>
  <c r="Y16" i="4"/>
  <c r="AS15" i="4"/>
  <c r="E18" i="4"/>
  <c r="J18" i="4"/>
  <c r="O18" i="4"/>
  <c r="T18" i="4"/>
  <c r="Y18" i="4"/>
  <c r="AS17" i="4"/>
  <c r="E20" i="4"/>
  <c r="J20" i="4"/>
  <c r="O20" i="4"/>
  <c r="T20" i="4"/>
  <c r="Y20" i="4"/>
  <c r="AS19" i="4"/>
  <c r="AD4" i="4"/>
  <c r="AI4" i="4"/>
  <c r="AN4" i="4"/>
  <c r="AW3" i="4"/>
  <c r="AD6" i="4"/>
  <c r="AI6" i="4"/>
  <c r="AN6" i="4"/>
  <c r="AW5" i="4"/>
  <c r="AD8" i="4"/>
  <c r="AI8" i="4"/>
  <c r="AN8" i="4"/>
  <c r="AW7" i="4"/>
  <c r="AD10" i="4"/>
  <c r="AI10" i="4"/>
  <c r="AN10" i="4"/>
  <c r="AW9" i="4"/>
  <c r="AD14" i="4"/>
  <c r="AI14" i="4"/>
  <c r="AN14" i="4"/>
  <c r="AW13" i="4"/>
  <c r="AD16" i="4"/>
  <c r="AI16" i="4"/>
  <c r="AN16" i="4"/>
  <c r="AW15" i="4"/>
  <c r="AD18" i="4"/>
  <c r="AI18" i="4"/>
  <c r="AN18" i="4"/>
  <c r="AW17" i="4"/>
  <c r="AD20" i="4"/>
  <c r="AI20" i="4"/>
  <c r="AN20" i="4"/>
  <c r="AW19" i="4"/>
  <c r="D4" i="4"/>
  <c r="I4" i="4"/>
  <c r="N4" i="4"/>
  <c r="S4" i="4"/>
  <c r="X4" i="4"/>
  <c r="AR3" i="4"/>
  <c r="D6" i="4"/>
  <c r="I6" i="4"/>
  <c r="N6" i="4"/>
  <c r="S6" i="4"/>
  <c r="X6" i="4"/>
  <c r="AR5" i="4"/>
  <c r="D8" i="4"/>
  <c r="I8" i="4"/>
  <c r="N8" i="4"/>
  <c r="S8" i="4"/>
  <c r="X8" i="4"/>
  <c r="AR7" i="4"/>
  <c r="D10" i="4"/>
  <c r="I10" i="4"/>
  <c r="N10" i="4"/>
  <c r="S10" i="4"/>
  <c r="X10" i="4"/>
  <c r="AR9" i="4"/>
  <c r="D14" i="4"/>
  <c r="I14" i="4"/>
  <c r="N14" i="4"/>
  <c r="S14" i="4"/>
  <c r="X14" i="4"/>
  <c r="AR13" i="4"/>
  <c r="D16" i="4"/>
  <c r="I16" i="4"/>
  <c r="N16" i="4"/>
  <c r="S16" i="4"/>
  <c r="X16" i="4"/>
  <c r="AR15" i="4"/>
  <c r="D18" i="4"/>
  <c r="I18" i="4"/>
  <c r="N18" i="4"/>
  <c r="S18" i="4"/>
  <c r="X18" i="4"/>
  <c r="AR17" i="4"/>
  <c r="D20" i="4"/>
  <c r="I20" i="4"/>
  <c r="N20" i="4"/>
  <c r="S20" i="4"/>
  <c r="X20" i="4"/>
  <c r="AR19" i="4"/>
  <c r="AC4" i="4"/>
  <c r="AH4" i="4"/>
  <c r="AM4" i="4"/>
  <c r="AV3" i="4"/>
  <c r="AC6" i="4"/>
  <c r="AH6" i="4"/>
  <c r="AM6" i="4"/>
  <c r="AV5" i="4"/>
  <c r="AC8" i="4"/>
  <c r="AH8" i="4"/>
  <c r="AM8" i="4"/>
  <c r="AV7" i="4"/>
  <c r="AC10" i="4"/>
  <c r="AH10" i="4"/>
  <c r="AM10" i="4"/>
  <c r="AV9" i="4"/>
  <c r="AC14" i="4"/>
  <c r="AH14" i="4"/>
  <c r="AM14" i="4"/>
  <c r="AV13" i="4"/>
  <c r="AC16" i="4"/>
  <c r="AH16" i="4"/>
  <c r="AM16" i="4"/>
  <c r="AV15" i="4"/>
  <c r="AC18" i="4"/>
  <c r="AH18" i="4"/>
  <c r="AM18" i="4"/>
  <c r="AV17" i="4"/>
  <c r="AC20" i="4"/>
  <c r="AH20" i="4"/>
  <c r="AM20" i="4"/>
  <c r="AV19" i="4"/>
  <c r="C4" i="4"/>
  <c r="H4" i="4"/>
  <c r="M4" i="4"/>
  <c r="R4" i="4"/>
  <c r="W4" i="4"/>
  <c r="AQ3" i="4"/>
  <c r="C6" i="4"/>
  <c r="H6" i="4"/>
  <c r="M6" i="4"/>
  <c r="R6" i="4"/>
  <c r="W6" i="4"/>
  <c r="AQ5" i="4"/>
  <c r="C8" i="4"/>
  <c r="H8" i="4"/>
  <c r="M8" i="4"/>
  <c r="R8" i="4"/>
  <c r="W8" i="4"/>
  <c r="AQ7" i="4"/>
  <c r="C10" i="4"/>
  <c r="H10" i="4"/>
  <c r="M10" i="4"/>
  <c r="R10" i="4"/>
  <c r="W10" i="4"/>
  <c r="AQ9" i="4"/>
  <c r="C14" i="4"/>
  <c r="H14" i="4"/>
  <c r="M14" i="4"/>
  <c r="R14" i="4"/>
  <c r="W14" i="4"/>
  <c r="AQ13" i="4"/>
  <c r="C16" i="4"/>
  <c r="H16" i="4"/>
  <c r="M16" i="4"/>
  <c r="R16" i="4"/>
  <c r="W16" i="4"/>
  <c r="AQ15" i="4"/>
  <c r="C18" i="4"/>
  <c r="H18" i="4"/>
  <c r="M18" i="4"/>
  <c r="R18" i="4"/>
  <c r="W18" i="4"/>
  <c r="AQ17" i="4"/>
  <c r="C20" i="4"/>
  <c r="H20" i="4"/>
  <c r="M20" i="4"/>
  <c r="R20" i="4"/>
  <c r="W20" i="4"/>
  <c r="AQ19" i="4"/>
  <c r="AB4" i="4"/>
  <c r="AG4" i="4"/>
  <c r="AL4" i="4"/>
  <c r="AU3" i="4"/>
  <c r="AB6" i="4"/>
  <c r="AG6" i="4"/>
  <c r="AL6" i="4"/>
  <c r="AU5" i="4"/>
  <c r="AB8" i="4"/>
  <c r="AG8" i="4"/>
  <c r="AL8" i="4"/>
  <c r="AU7" i="4"/>
  <c r="AB10" i="4"/>
  <c r="AG10" i="4"/>
  <c r="AL10" i="4"/>
  <c r="AU9" i="4"/>
  <c r="AB14" i="4"/>
  <c r="AG14" i="4"/>
  <c r="AL14" i="4"/>
  <c r="AU13" i="4"/>
  <c r="AB16" i="4"/>
  <c r="AG16" i="4"/>
  <c r="AL16" i="4"/>
  <c r="AU15" i="4"/>
  <c r="AB18" i="4"/>
  <c r="AG18" i="4"/>
  <c r="AL18" i="4"/>
  <c r="AU17" i="4"/>
  <c r="AB20" i="4"/>
  <c r="AG20" i="4"/>
  <c r="AL20" i="4"/>
  <c r="AU19" i="4"/>
  <c r="E4" i="6"/>
  <c r="J4" i="6"/>
  <c r="O4" i="6"/>
  <c r="T4" i="6"/>
  <c r="Y4" i="6"/>
  <c r="AS3" i="6"/>
  <c r="E6" i="6"/>
  <c r="J6" i="6"/>
  <c r="O6" i="6"/>
  <c r="T6" i="6"/>
  <c r="Y6" i="6"/>
  <c r="AS5" i="6"/>
  <c r="E8" i="6"/>
  <c r="J8" i="6"/>
  <c r="O8" i="6"/>
  <c r="T8" i="6"/>
  <c r="Y8" i="6"/>
  <c r="AS7" i="6"/>
  <c r="E10" i="6"/>
  <c r="J10" i="6"/>
  <c r="O10" i="6"/>
  <c r="T10" i="6"/>
  <c r="Y10" i="6"/>
  <c r="AS9" i="6"/>
  <c r="E12" i="6"/>
  <c r="J12" i="6"/>
  <c r="O12" i="6"/>
  <c r="T12" i="6"/>
  <c r="Y12" i="6"/>
  <c r="AS11" i="6"/>
  <c r="AD4" i="6"/>
  <c r="AI4" i="6"/>
  <c r="AN4" i="6"/>
  <c r="AW3" i="6"/>
  <c r="AD6" i="6"/>
  <c r="AI6" i="6"/>
  <c r="AN6" i="6"/>
  <c r="AW5" i="6"/>
  <c r="AD8" i="6"/>
  <c r="AI8" i="6"/>
  <c r="AN8" i="6"/>
  <c r="AW7" i="6"/>
  <c r="AD10" i="6"/>
  <c r="AI10" i="6"/>
  <c r="AN10" i="6"/>
  <c r="AW9" i="6"/>
  <c r="AD12" i="6"/>
  <c r="AI12" i="6"/>
  <c r="AN12" i="6"/>
  <c r="AW11" i="6"/>
  <c r="D4" i="6"/>
  <c r="I4" i="6"/>
  <c r="N4" i="6"/>
  <c r="S4" i="6"/>
  <c r="X4" i="6"/>
  <c r="AR3" i="6"/>
  <c r="D6" i="6"/>
  <c r="I6" i="6"/>
  <c r="N6" i="6"/>
  <c r="S6" i="6"/>
  <c r="X6" i="6"/>
  <c r="AR5" i="6"/>
  <c r="D8" i="6"/>
  <c r="I8" i="6"/>
  <c r="N8" i="6"/>
  <c r="S8" i="6"/>
  <c r="X8" i="6"/>
  <c r="AR7" i="6"/>
  <c r="D10" i="6"/>
  <c r="I10" i="6"/>
  <c r="N10" i="6"/>
  <c r="S10" i="6"/>
  <c r="X10" i="6"/>
  <c r="AR9" i="6"/>
  <c r="D12" i="6"/>
  <c r="I12" i="6"/>
  <c r="N12" i="6"/>
  <c r="S12" i="6"/>
  <c r="X12" i="6"/>
  <c r="AR11" i="6"/>
  <c r="AC4" i="6"/>
  <c r="AH4" i="6"/>
  <c r="AM4" i="6"/>
  <c r="AV3" i="6"/>
  <c r="AC6" i="6"/>
  <c r="AH6" i="6"/>
  <c r="AM6" i="6"/>
  <c r="AV5" i="6"/>
  <c r="AC8" i="6"/>
  <c r="AH8" i="6"/>
  <c r="AM8" i="6"/>
  <c r="AV7" i="6"/>
  <c r="AC10" i="6"/>
  <c r="AH10" i="6"/>
  <c r="AM10" i="6"/>
  <c r="AV9" i="6"/>
  <c r="AC12" i="6"/>
  <c r="AH12" i="6"/>
  <c r="AM12" i="6"/>
  <c r="AV11" i="6"/>
  <c r="C4" i="6"/>
  <c r="H4" i="6"/>
  <c r="M4" i="6"/>
  <c r="R4" i="6"/>
  <c r="W4" i="6"/>
  <c r="AQ3" i="6"/>
  <c r="C6" i="6"/>
  <c r="H6" i="6"/>
  <c r="M6" i="6"/>
  <c r="R6" i="6"/>
  <c r="W6" i="6"/>
  <c r="AQ5" i="6"/>
  <c r="C8" i="6"/>
  <c r="H8" i="6"/>
  <c r="M8" i="6"/>
  <c r="R8" i="6"/>
  <c r="W8" i="6"/>
  <c r="AQ7" i="6"/>
  <c r="C10" i="6"/>
  <c r="H10" i="6"/>
  <c r="M10" i="6"/>
  <c r="R10" i="6"/>
  <c r="W10" i="6"/>
  <c r="AQ9" i="6"/>
  <c r="C12" i="6"/>
  <c r="H12" i="6"/>
  <c r="M12" i="6"/>
  <c r="R12" i="6"/>
  <c r="W12" i="6"/>
  <c r="AQ11" i="6"/>
  <c r="AB4" i="6"/>
  <c r="AG4" i="6"/>
  <c r="AL4" i="6"/>
  <c r="AU3" i="6"/>
  <c r="AB6" i="6"/>
  <c r="AG6" i="6"/>
  <c r="AL6" i="6"/>
  <c r="AU5" i="6"/>
  <c r="AB8" i="6"/>
  <c r="AG8" i="6"/>
  <c r="AL8" i="6"/>
  <c r="AU7" i="6"/>
  <c r="AB10" i="6"/>
  <c r="AG10" i="6"/>
  <c r="AL10" i="6"/>
  <c r="AU9" i="6"/>
  <c r="AB12" i="6"/>
  <c r="AG12" i="6"/>
  <c r="AL12" i="6"/>
  <c r="AU11" i="6"/>
  <c r="E4" i="11"/>
  <c r="J4" i="11"/>
  <c r="O4" i="11"/>
  <c r="T4" i="11"/>
  <c r="Y4" i="11"/>
  <c r="AS3" i="11"/>
  <c r="E8" i="11"/>
  <c r="J8" i="11"/>
  <c r="O8" i="11"/>
  <c r="T8" i="11"/>
  <c r="Y8" i="11"/>
  <c r="AS7" i="11"/>
  <c r="E10" i="11"/>
  <c r="J10" i="11"/>
  <c r="O10" i="11"/>
  <c r="T10" i="11"/>
  <c r="Y10" i="11"/>
  <c r="AS9" i="11"/>
  <c r="E12" i="11"/>
  <c r="J12" i="11"/>
  <c r="O12" i="11"/>
  <c r="T12" i="11"/>
  <c r="Y12" i="11"/>
  <c r="AS11" i="11"/>
  <c r="E14" i="11"/>
  <c r="J14" i="11"/>
  <c r="O14" i="11"/>
  <c r="T14" i="11"/>
  <c r="Y14" i="11"/>
  <c r="AS13" i="11"/>
  <c r="E16" i="11"/>
  <c r="J16" i="11"/>
  <c r="O16" i="11"/>
  <c r="T16" i="11"/>
  <c r="Y16" i="11"/>
  <c r="AS15" i="11"/>
  <c r="E18" i="11"/>
  <c r="J18" i="11"/>
  <c r="O18" i="11"/>
  <c r="T18" i="11"/>
  <c r="Y18" i="11"/>
  <c r="AS17" i="11"/>
  <c r="E20" i="11"/>
  <c r="J20" i="11"/>
  <c r="O20" i="11"/>
  <c r="T20" i="11"/>
  <c r="Y20" i="11"/>
  <c r="AS19" i="11"/>
  <c r="E22" i="11"/>
  <c r="J22" i="11"/>
  <c r="O22" i="11"/>
  <c r="T22" i="11"/>
  <c r="Y22" i="11"/>
  <c r="AS21" i="11"/>
  <c r="E24" i="11"/>
  <c r="J24" i="11"/>
  <c r="O24" i="11"/>
  <c r="T24" i="11"/>
  <c r="Y24" i="11"/>
  <c r="AS23" i="11"/>
  <c r="E26" i="11"/>
  <c r="J26" i="11"/>
  <c r="O26" i="11"/>
  <c r="T26" i="11"/>
  <c r="Y26" i="11"/>
  <c r="AS25" i="11"/>
  <c r="E28" i="11"/>
  <c r="J28" i="11"/>
  <c r="O28" i="11"/>
  <c r="T28" i="11"/>
  <c r="Y28" i="11"/>
  <c r="AS27" i="11"/>
  <c r="E30" i="11"/>
  <c r="J30" i="11"/>
  <c r="O30" i="11"/>
  <c r="T30" i="11"/>
  <c r="Y30" i="11"/>
  <c r="AS29" i="11"/>
  <c r="E32" i="11"/>
  <c r="J32" i="11"/>
  <c r="O32" i="11"/>
  <c r="T32" i="11"/>
  <c r="Y32" i="11"/>
  <c r="AS31" i="11"/>
  <c r="E34" i="11"/>
  <c r="J34" i="11"/>
  <c r="O34" i="11"/>
  <c r="T34" i="11"/>
  <c r="Y34" i="11"/>
  <c r="AS33" i="11"/>
  <c r="AD4" i="11"/>
  <c r="AI4" i="11"/>
  <c r="AN4" i="11"/>
  <c r="AW3" i="11"/>
  <c r="AD8" i="11"/>
  <c r="AI8" i="11"/>
  <c r="AN8" i="11"/>
  <c r="AW7" i="11"/>
  <c r="AD10" i="11"/>
  <c r="AI10" i="11"/>
  <c r="AN10" i="11"/>
  <c r="AW9" i="11"/>
  <c r="AD12" i="11"/>
  <c r="AI12" i="11"/>
  <c r="AN12" i="11"/>
  <c r="AW11" i="11"/>
  <c r="AD14" i="11"/>
  <c r="AI14" i="11"/>
  <c r="AN14" i="11"/>
  <c r="AW13" i="11"/>
  <c r="AD16" i="11"/>
  <c r="AI16" i="11"/>
  <c r="AN16" i="11"/>
  <c r="AW15" i="11"/>
  <c r="AD18" i="11"/>
  <c r="AI18" i="11"/>
  <c r="AN18" i="11"/>
  <c r="AW17" i="11"/>
  <c r="AD20" i="11"/>
  <c r="AI20" i="11"/>
  <c r="AN20" i="11"/>
  <c r="AW19" i="11"/>
  <c r="AD22" i="11"/>
  <c r="AI22" i="11"/>
  <c r="AN22" i="11"/>
  <c r="AW21" i="11"/>
  <c r="AD24" i="11"/>
  <c r="AI24" i="11"/>
  <c r="AN24" i="11"/>
  <c r="AW23" i="11"/>
  <c r="AD26" i="11"/>
  <c r="AI26" i="11"/>
  <c r="AN26" i="11"/>
  <c r="AW25" i="11"/>
  <c r="AD28" i="11"/>
  <c r="AI28" i="11"/>
  <c r="AN28" i="11"/>
  <c r="AW27" i="11"/>
  <c r="AD30" i="11"/>
  <c r="AI30" i="11"/>
  <c r="AN30" i="11"/>
  <c r="AW29" i="11"/>
  <c r="AD32" i="11"/>
  <c r="AI32" i="11"/>
  <c r="AN32" i="11"/>
  <c r="AW31" i="11"/>
  <c r="AD34" i="11"/>
  <c r="AI34" i="11"/>
  <c r="AN34" i="11"/>
  <c r="AW33" i="11"/>
  <c r="D4" i="11"/>
  <c r="I4" i="11"/>
  <c r="N4" i="11"/>
  <c r="S4" i="11"/>
  <c r="X4" i="11"/>
  <c r="AR3" i="11"/>
  <c r="D8" i="11"/>
  <c r="I8" i="11"/>
  <c r="N8" i="11"/>
  <c r="S8" i="11"/>
  <c r="X8" i="11"/>
  <c r="AR7" i="11"/>
  <c r="D10" i="11"/>
  <c r="I10" i="11"/>
  <c r="N10" i="11"/>
  <c r="S10" i="11"/>
  <c r="X10" i="11"/>
  <c r="AR9" i="11"/>
  <c r="D12" i="11"/>
  <c r="I12" i="11"/>
  <c r="N12" i="11"/>
  <c r="S12" i="11"/>
  <c r="X12" i="11"/>
  <c r="AR11" i="11"/>
  <c r="D14" i="11"/>
  <c r="I14" i="11"/>
  <c r="N14" i="11"/>
  <c r="S14" i="11"/>
  <c r="X14" i="11"/>
  <c r="AR13" i="11"/>
  <c r="D16" i="11"/>
  <c r="I16" i="11"/>
  <c r="N16" i="11"/>
  <c r="S16" i="11"/>
  <c r="X16" i="11"/>
  <c r="AR15" i="11"/>
  <c r="D18" i="11"/>
  <c r="I18" i="11"/>
  <c r="N18" i="11"/>
  <c r="S18" i="11"/>
  <c r="X18" i="11"/>
  <c r="AR17" i="11"/>
  <c r="D20" i="11"/>
  <c r="I20" i="11"/>
  <c r="N20" i="11"/>
  <c r="S20" i="11"/>
  <c r="X20" i="11"/>
  <c r="AR19" i="11"/>
  <c r="D22" i="11"/>
  <c r="I22" i="11"/>
  <c r="N22" i="11"/>
  <c r="S22" i="11"/>
  <c r="X22" i="11"/>
  <c r="AR21" i="11"/>
  <c r="D24" i="11"/>
  <c r="I24" i="11"/>
  <c r="N24" i="11"/>
  <c r="S24" i="11"/>
  <c r="X24" i="11"/>
  <c r="AR23" i="11"/>
  <c r="D26" i="11"/>
  <c r="I26" i="11"/>
  <c r="N26" i="11"/>
  <c r="S26" i="11"/>
  <c r="X26" i="11"/>
  <c r="AR25" i="11"/>
  <c r="D28" i="11"/>
  <c r="I28" i="11"/>
  <c r="N28" i="11"/>
  <c r="S28" i="11"/>
  <c r="X28" i="11"/>
  <c r="AR27" i="11"/>
  <c r="D30" i="11"/>
  <c r="I30" i="11"/>
  <c r="N30" i="11"/>
  <c r="S30" i="11"/>
  <c r="X30" i="11"/>
  <c r="AR29" i="11"/>
  <c r="D32" i="11"/>
  <c r="I32" i="11"/>
  <c r="N32" i="11"/>
  <c r="S32" i="11"/>
  <c r="X32" i="11"/>
  <c r="AR31" i="11"/>
  <c r="D34" i="11"/>
  <c r="I34" i="11"/>
  <c r="N34" i="11"/>
  <c r="S34" i="11"/>
  <c r="X34" i="11"/>
  <c r="AR33" i="11"/>
  <c r="AC4" i="11"/>
  <c r="AH4" i="11"/>
  <c r="AM4" i="11"/>
  <c r="AV3" i="11"/>
  <c r="AC8" i="11"/>
  <c r="AH8" i="11"/>
  <c r="AM8" i="11"/>
  <c r="AV7" i="11"/>
  <c r="AC10" i="11"/>
  <c r="AH10" i="11"/>
  <c r="AM10" i="11"/>
  <c r="AV9" i="11"/>
  <c r="AC12" i="11"/>
  <c r="AH12" i="11"/>
  <c r="AM12" i="11"/>
  <c r="AV11" i="11"/>
  <c r="AC14" i="11"/>
  <c r="AH14" i="11"/>
  <c r="AM14" i="11"/>
  <c r="AV13" i="11"/>
  <c r="AC16" i="11"/>
  <c r="AH16" i="11"/>
  <c r="AM16" i="11"/>
  <c r="AV15" i="11"/>
  <c r="AC18" i="11"/>
  <c r="AH18" i="11"/>
  <c r="AM18" i="11"/>
  <c r="AV17" i="11"/>
  <c r="AC20" i="11"/>
  <c r="AH20" i="11"/>
  <c r="AM20" i="11"/>
  <c r="AV19" i="11"/>
  <c r="AC22" i="11"/>
  <c r="AH22" i="11"/>
  <c r="AM22" i="11"/>
  <c r="AV21" i="11"/>
  <c r="AC24" i="11"/>
  <c r="AH24" i="11"/>
  <c r="AM24" i="11"/>
  <c r="AV23" i="11"/>
  <c r="AC26" i="11"/>
  <c r="AH26" i="11"/>
  <c r="AM26" i="11"/>
  <c r="AV25" i="11"/>
  <c r="AC28" i="11"/>
  <c r="AH28" i="11"/>
  <c r="AM28" i="11"/>
  <c r="AV27" i="11"/>
  <c r="AC30" i="11"/>
  <c r="AH30" i="11"/>
  <c r="AM30" i="11"/>
  <c r="AV29" i="11"/>
  <c r="AC32" i="11"/>
  <c r="AH32" i="11"/>
  <c r="AM32" i="11"/>
  <c r="AV31" i="11"/>
  <c r="AC34" i="11"/>
  <c r="AH34" i="11"/>
  <c r="AM34" i="11"/>
  <c r="AV33" i="11"/>
  <c r="C4" i="11"/>
  <c r="H4" i="11"/>
  <c r="M4" i="11"/>
  <c r="R4" i="11"/>
  <c r="W4" i="11"/>
  <c r="AQ3" i="11"/>
  <c r="C8" i="11"/>
  <c r="H8" i="11"/>
  <c r="M8" i="11"/>
  <c r="R8" i="11"/>
  <c r="W8" i="11"/>
  <c r="AQ7" i="11"/>
  <c r="C10" i="11"/>
  <c r="H10" i="11"/>
  <c r="M10" i="11"/>
  <c r="R10" i="11"/>
  <c r="W10" i="11"/>
  <c r="AQ9" i="11"/>
  <c r="C12" i="11"/>
  <c r="H12" i="11"/>
  <c r="M12" i="11"/>
  <c r="R12" i="11"/>
  <c r="W12" i="11"/>
  <c r="AQ11" i="11"/>
  <c r="C14" i="11"/>
  <c r="H14" i="11"/>
  <c r="M14" i="11"/>
  <c r="R14" i="11"/>
  <c r="W14" i="11"/>
  <c r="AQ13" i="11"/>
  <c r="C16" i="11"/>
  <c r="H16" i="11"/>
  <c r="M16" i="11"/>
  <c r="R16" i="11"/>
  <c r="W16" i="11"/>
  <c r="AQ15" i="11"/>
  <c r="C18" i="11"/>
  <c r="H18" i="11"/>
  <c r="M18" i="11"/>
  <c r="R18" i="11"/>
  <c r="W18" i="11"/>
  <c r="AQ17" i="11"/>
  <c r="C20" i="11"/>
  <c r="H20" i="11"/>
  <c r="M20" i="11"/>
  <c r="R20" i="11"/>
  <c r="W20" i="11"/>
  <c r="AQ19" i="11"/>
  <c r="C22" i="11"/>
  <c r="H22" i="11"/>
  <c r="M22" i="11"/>
  <c r="R22" i="11"/>
  <c r="W22" i="11"/>
  <c r="AQ21" i="11"/>
  <c r="C24" i="11"/>
  <c r="H24" i="11"/>
  <c r="M24" i="11"/>
  <c r="R24" i="11"/>
  <c r="W24" i="11"/>
  <c r="AQ23" i="11"/>
  <c r="C26" i="11"/>
  <c r="H26" i="11"/>
  <c r="M26" i="11"/>
  <c r="R26" i="11"/>
  <c r="W26" i="11"/>
  <c r="AQ25" i="11"/>
  <c r="C28" i="11"/>
  <c r="H28" i="11"/>
  <c r="M28" i="11"/>
  <c r="R28" i="11"/>
  <c r="W28" i="11"/>
  <c r="AQ27" i="11"/>
  <c r="C30" i="11"/>
  <c r="H30" i="11"/>
  <c r="M30" i="11"/>
  <c r="R30" i="11"/>
  <c r="W30" i="11"/>
  <c r="AQ29" i="11"/>
  <c r="C32" i="11"/>
  <c r="H32" i="11"/>
  <c r="M32" i="11"/>
  <c r="R32" i="11"/>
  <c r="W32" i="11"/>
  <c r="AQ31" i="11"/>
  <c r="C34" i="11"/>
  <c r="H34" i="11"/>
  <c r="M34" i="11"/>
  <c r="R34" i="11"/>
  <c r="W34" i="11"/>
  <c r="AQ33" i="11"/>
  <c r="AB4" i="11"/>
  <c r="AG4" i="11"/>
  <c r="AL4" i="11"/>
  <c r="AU3" i="11"/>
  <c r="AB8" i="11"/>
  <c r="AG8" i="11"/>
  <c r="AL8" i="11"/>
  <c r="AU7" i="11"/>
  <c r="AB10" i="11"/>
  <c r="AG10" i="11"/>
  <c r="AL10" i="11"/>
  <c r="AU9" i="11"/>
  <c r="AB12" i="11"/>
  <c r="AG12" i="11"/>
  <c r="AL12" i="11"/>
  <c r="AU11" i="11"/>
  <c r="AB14" i="11"/>
  <c r="AG14" i="11"/>
  <c r="AL14" i="11"/>
  <c r="AU13" i="11"/>
  <c r="AB16" i="11"/>
  <c r="AG16" i="11"/>
  <c r="AL16" i="11"/>
  <c r="AU15" i="11"/>
  <c r="AB18" i="11"/>
  <c r="AG18" i="11"/>
  <c r="AL18" i="11"/>
  <c r="AU17" i="11"/>
  <c r="AB20" i="11"/>
  <c r="AG20" i="11"/>
  <c r="AL20" i="11"/>
  <c r="AU19" i="11"/>
  <c r="AB22" i="11"/>
  <c r="AG22" i="11"/>
  <c r="AL22" i="11"/>
  <c r="AU21" i="11"/>
  <c r="AB24" i="11"/>
  <c r="AG24" i="11"/>
  <c r="AL24" i="11"/>
  <c r="AU23" i="11"/>
  <c r="AB26" i="11"/>
  <c r="AG26" i="11"/>
  <c r="AL26" i="11"/>
  <c r="AU25" i="11"/>
  <c r="AB28" i="11"/>
  <c r="AG28" i="11"/>
  <c r="AL28" i="11"/>
  <c r="AU27" i="11"/>
  <c r="AB30" i="11"/>
  <c r="AG30" i="11"/>
  <c r="AL30" i="11"/>
  <c r="AU29" i="11"/>
  <c r="AB32" i="11"/>
  <c r="AG32" i="11"/>
  <c r="AL32" i="11"/>
  <c r="AU31" i="11"/>
  <c r="AB34" i="11"/>
  <c r="AG34" i="11"/>
  <c r="AL34" i="11"/>
  <c r="AU33" i="11"/>
  <c r="E4" i="13"/>
  <c r="J4" i="13"/>
  <c r="O4" i="13"/>
  <c r="T4" i="13"/>
  <c r="Y4" i="13"/>
  <c r="AS3" i="13"/>
  <c r="E6" i="13"/>
  <c r="J6" i="13"/>
  <c r="O6" i="13"/>
  <c r="T6" i="13"/>
  <c r="Y6" i="13"/>
  <c r="AS5" i="13"/>
  <c r="E8" i="13"/>
  <c r="J8" i="13"/>
  <c r="O8" i="13"/>
  <c r="T8" i="13"/>
  <c r="Y8" i="13"/>
  <c r="AS7" i="13"/>
  <c r="AD4" i="13"/>
  <c r="AI4" i="13"/>
  <c r="AN4" i="13"/>
  <c r="AW3" i="13"/>
  <c r="AD6" i="13"/>
  <c r="AI6" i="13"/>
  <c r="AN6" i="13"/>
  <c r="AW5" i="13"/>
  <c r="AD8" i="13"/>
  <c r="AI8" i="13"/>
  <c r="AN8" i="13"/>
  <c r="AW7" i="13"/>
  <c r="D4" i="13"/>
  <c r="I4" i="13"/>
  <c r="N4" i="13"/>
  <c r="S4" i="13"/>
  <c r="X4" i="13"/>
  <c r="AR3" i="13"/>
  <c r="D6" i="13"/>
  <c r="I6" i="13"/>
  <c r="N6" i="13"/>
  <c r="S6" i="13"/>
  <c r="X6" i="13"/>
  <c r="AR5" i="13"/>
  <c r="D8" i="13"/>
  <c r="I8" i="13"/>
  <c r="N8" i="13"/>
  <c r="S8" i="13"/>
  <c r="X8" i="13"/>
  <c r="AR7" i="13"/>
  <c r="AC4" i="13"/>
  <c r="AH4" i="13"/>
  <c r="AM4" i="13"/>
  <c r="AV3" i="13"/>
  <c r="AC6" i="13"/>
  <c r="AH6" i="13"/>
  <c r="AM6" i="13"/>
  <c r="AV5" i="13"/>
  <c r="AC8" i="13"/>
  <c r="AH8" i="13"/>
  <c r="AM8" i="13"/>
  <c r="AV7" i="13"/>
  <c r="C4" i="13"/>
  <c r="H4" i="13"/>
  <c r="M4" i="13"/>
  <c r="R4" i="13"/>
  <c r="W4" i="13"/>
  <c r="AQ3" i="13"/>
  <c r="C6" i="13"/>
  <c r="H6" i="13"/>
  <c r="M6" i="13"/>
  <c r="R6" i="13"/>
  <c r="W6" i="13"/>
  <c r="AQ5" i="13"/>
  <c r="C8" i="13"/>
  <c r="H8" i="13"/>
  <c r="M8" i="13"/>
  <c r="R8" i="13"/>
  <c r="W8" i="13"/>
  <c r="AQ7" i="13"/>
  <c r="AB4" i="13"/>
  <c r="AG4" i="13"/>
  <c r="AL4" i="13"/>
  <c r="AU3" i="13"/>
  <c r="AB6" i="13"/>
  <c r="AG6" i="13"/>
  <c r="AL6" i="13"/>
  <c r="AU5" i="13"/>
  <c r="AB8" i="13"/>
  <c r="AG8" i="13"/>
  <c r="AL8" i="13"/>
  <c r="AU7" i="13"/>
  <c r="E4" i="9"/>
  <c r="J4" i="9"/>
  <c r="O4" i="9"/>
  <c r="T4" i="9"/>
  <c r="Y4" i="9"/>
  <c r="AS3" i="9"/>
  <c r="E6" i="9"/>
  <c r="J6" i="9"/>
  <c r="O6" i="9"/>
  <c r="T6" i="9"/>
  <c r="Y6" i="9"/>
  <c r="AS5" i="9"/>
  <c r="E8" i="9"/>
  <c r="J8" i="9"/>
  <c r="O8" i="9"/>
  <c r="T8" i="9"/>
  <c r="Y8" i="9"/>
  <c r="AS7" i="9"/>
  <c r="E10" i="9"/>
  <c r="J10" i="9"/>
  <c r="O10" i="9"/>
  <c r="T10" i="9"/>
  <c r="Y10" i="9"/>
  <c r="AS9" i="9"/>
  <c r="E12" i="9"/>
  <c r="J12" i="9"/>
  <c r="O12" i="9"/>
  <c r="T12" i="9"/>
  <c r="Y12" i="9"/>
  <c r="AS11" i="9"/>
  <c r="E14" i="9"/>
  <c r="J14" i="9"/>
  <c r="O14" i="9"/>
  <c r="T14" i="9"/>
  <c r="Y14" i="9"/>
  <c r="AS13" i="9"/>
  <c r="E16" i="9"/>
  <c r="J16" i="9"/>
  <c r="O16" i="9"/>
  <c r="T16" i="9"/>
  <c r="Y16" i="9"/>
  <c r="AS15" i="9"/>
  <c r="E18" i="9"/>
  <c r="J18" i="9"/>
  <c r="O18" i="9"/>
  <c r="T18" i="9"/>
  <c r="Y18" i="9"/>
  <c r="AS17" i="9"/>
  <c r="E20" i="9"/>
  <c r="J20" i="9"/>
  <c r="O20" i="9"/>
  <c r="T20" i="9"/>
  <c r="Y20" i="9"/>
  <c r="AS19" i="9"/>
  <c r="AD4" i="9"/>
  <c r="AI4" i="9"/>
  <c r="AN4" i="9"/>
  <c r="AW3" i="9"/>
  <c r="AD6" i="9"/>
  <c r="AI6" i="9"/>
  <c r="AN6" i="9"/>
  <c r="AW5" i="9"/>
  <c r="AD8" i="9"/>
  <c r="AI8" i="9"/>
  <c r="AN8" i="9"/>
  <c r="AW7" i="9"/>
  <c r="AD10" i="9"/>
  <c r="AI10" i="9"/>
  <c r="AN10" i="9"/>
  <c r="AW9" i="9"/>
  <c r="AD12" i="9"/>
  <c r="AI12" i="9"/>
  <c r="AN12" i="9"/>
  <c r="AW11" i="9"/>
  <c r="AD14" i="9"/>
  <c r="AI14" i="9"/>
  <c r="AN14" i="9"/>
  <c r="AW13" i="9"/>
  <c r="AD16" i="9"/>
  <c r="AI16" i="9"/>
  <c r="AN16" i="9"/>
  <c r="AW15" i="9"/>
  <c r="AD18" i="9"/>
  <c r="AI18" i="9"/>
  <c r="AN18" i="9"/>
  <c r="AW17" i="9"/>
  <c r="AD20" i="9"/>
  <c r="AI20" i="9"/>
  <c r="AN20" i="9"/>
  <c r="AW19" i="9"/>
  <c r="D4" i="9"/>
  <c r="I4" i="9"/>
  <c r="N4" i="9"/>
  <c r="S4" i="9"/>
  <c r="X4" i="9"/>
  <c r="AR3" i="9"/>
  <c r="D6" i="9"/>
  <c r="I6" i="9"/>
  <c r="N6" i="9"/>
  <c r="S6" i="9"/>
  <c r="X6" i="9"/>
  <c r="AR5" i="9"/>
  <c r="D8" i="9"/>
  <c r="I8" i="9"/>
  <c r="N8" i="9"/>
  <c r="S8" i="9"/>
  <c r="X8" i="9"/>
  <c r="AR7" i="9"/>
  <c r="D10" i="9"/>
  <c r="I10" i="9"/>
  <c r="N10" i="9"/>
  <c r="S10" i="9"/>
  <c r="X10" i="9"/>
  <c r="AR9" i="9"/>
  <c r="D12" i="9"/>
  <c r="I12" i="9"/>
  <c r="N12" i="9"/>
  <c r="S12" i="9"/>
  <c r="X12" i="9"/>
  <c r="AR11" i="9"/>
  <c r="D14" i="9"/>
  <c r="I14" i="9"/>
  <c r="N14" i="9"/>
  <c r="S14" i="9"/>
  <c r="X14" i="9"/>
  <c r="AR13" i="9"/>
  <c r="D16" i="9"/>
  <c r="I16" i="9"/>
  <c r="N16" i="9"/>
  <c r="S16" i="9"/>
  <c r="X16" i="9"/>
  <c r="AR15" i="9"/>
  <c r="D18" i="9"/>
  <c r="I18" i="9"/>
  <c r="N18" i="9"/>
  <c r="S18" i="9"/>
  <c r="X18" i="9"/>
  <c r="AR17" i="9"/>
  <c r="D20" i="9"/>
  <c r="I20" i="9"/>
  <c r="N20" i="9"/>
  <c r="S20" i="9"/>
  <c r="X20" i="9"/>
  <c r="AR19" i="9"/>
  <c r="AC4" i="9"/>
  <c r="AH4" i="9"/>
  <c r="AM4" i="9"/>
  <c r="AV3" i="9"/>
  <c r="AC6" i="9"/>
  <c r="AH6" i="9"/>
  <c r="AM6" i="9"/>
  <c r="AV5" i="9"/>
  <c r="AC8" i="9"/>
  <c r="AH8" i="9"/>
  <c r="AM8" i="9"/>
  <c r="AV7" i="9"/>
  <c r="AC10" i="9"/>
  <c r="AH10" i="9"/>
  <c r="AM10" i="9"/>
  <c r="AV9" i="9"/>
  <c r="AC12" i="9"/>
  <c r="AH12" i="9"/>
  <c r="AM12" i="9"/>
  <c r="AV11" i="9"/>
  <c r="AC14" i="9"/>
  <c r="AH14" i="9"/>
  <c r="AM14" i="9"/>
  <c r="AV13" i="9"/>
  <c r="AC16" i="9"/>
  <c r="AH16" i="9"/>
  <c r="AM16" i="9"/>
  <c r="AV15" i="9"/>
  <c r="AC18" i="9"/>
  <c r="AH18" i="9"/>
  <c r="AM18" i="9"/>
  <c r="AV17" i="9"/>
  <c r="AC20" i="9"/>
  <c r="AH20" i="9"/>
  <c r="AM20" i="9"/>
  <c r="AV19" i="9"/>
  <c r="C4" i="9"/>
  <c r="H4" i="9"/>
  <c r="M4" i="9"/>
  <c r="R4" i="9"/>
  <c r="W4" i="9"/>
  <c r="AQ3" i="9"/>
  <c r="C6" i="9"/>
  <c r="H6" i="9"/>
  <c r="M6" i="9"/>
  <c r="R6" i="9"/>
  <c r="W6" i="9"/>
  <c r="AQ5" i="9"/>
  <c r="C8" i="9"/>
  <c r="H8" i="9"/>
  <c r="M8" i="9"/>
  <c r="R8" i="9"/>
  <c r="W8" i="9"/>
  <c r="AQ7" i="9"/>
  <c r="C10" i="9"/>
  <c r="H10" i="9"/>
  <c r="M10" i="9"/>
  <c r="R10" i="9"/>
  <c r="W10" i="9"/>
  <c r="AQ9" i="9"/>
  <c r="C12" i="9"/>
  <c r="H12" i="9"/>
  <c r="M12" i="9"/>
  <c r="R12" i="9"/>
  <c r="W12" i="9"/>
  <c r="AQ11" i="9"/>
  <c r="C14" i="9"/>
  <c r="H14" i="9"/>
  <c r="M14" i="9"/>
  <c r="R14" i="9"/>
  <c r="W14" i="9"/>
  <c r="AQ13" i="9"/>
  <c r="C16" i="9"/>
  <c r="H16" i="9"/>
  <c r="M16" i="9"/>
  <c r="R16" i="9"/>
  <c r="W16" i="9"/>
  <c r="AQ15" i="9"/>
  <c r="C18" i="9"/>
  <c r="H18" i="9"/>
  <c r="M18" i="9"/>
  <c r="R18" i="9"/>
  <c r="W18" i="9"/>
  <c r="AQ17" i="9"/>
  <c r="C20" i="9"/>
  <c r="H20" i="9"/>
  <c r="M20" i="9"/>
  <c r="R20" i="9"/>
  <c r="W20" i="9"/>
  <c r="AQ19" i="9"/>
  <c r="AB4" i="9"/>
  <c r="AG4" i="9"/>
  <c r="AL4" i="9"/>
  <c r="AU3" i="9"/>
  <c r="AB6" i="9"/>
  <c r="AG6" i="9"/>
  <c r="AL6" i="9"/>
  <c r="AU5" i="9"/>
  <c r="AB8" i="9"/>
  <c r="AG8" i="9"/>
  <c r="AL8" i="9"/>
  <c r="AU7" i="9"/>
  <c r="AB10" i="9"/>
  <c r="AG10" i="9"/>
  <c r="AL10" i="9"/>
  <c r="AU9" i="9"/>
  <c r="AB12" i="9"/>
  <c r="AG12" i="9"/>
  <c r="AL12" i="9"/>
  <c r="AU11" i="9"/>
  <c r="AB14" i="9"/>
  <c r="AG14" i="9"/>
  <c r="AL14" i="9"/>
  <c r="AU13" i="9"/>
  <c r="AB16" i="9"/>
  <c r="AG16" i="9"/>
  <c r="AL16" i="9"/>
  <c r="AU15" i="9"/>
  <c r="AB18" i="9"/>
  <c r="AG18" i="9"/>
  <c r="AL18" i="9"/>
  <c r="AU17" i="9"/>
  <c r="AB20" i="9"/>
  <c r="AG20" i="9"/>
  <c r="AL20" i="9"/>
  <c r="AU19" i="9"/>
  <c r="J4" i="8"/>
  <c r="O4" i="8"/>
  <c r="T4" i="8"/>
  <c r="Y4" i="8"/>
  <c r="AS3" i="8"/>
  <c r="J6" i="8"/>
  <c r="O6" i="8"/>
  <c r="T6" i="8"/>
  <c r="Y6" i="8"/>
  <c r="AS5" i="8"/>
  <c r="J8" i="8"/>
  <c r="O8" i="8"/>
  <c r="T8" i="8"/>
  <c r="Y8" i="8"/>
  <c r="AS7" i="8"/>
  <c r="J10" i="8"/>
  <c r="O10" i="8"/>
  <c r="T10" i="8"/>
  <c r="Y10" i="8"/>
  <c r="AS9" i="8"/>
  <c r="J12" i="8"/>
  <c r="O12" i="8"/>
  <c r="T12" i="8"/>
  <c r="Y12" i="8"/>
  <c r="AS11" i="8"/>
  <c r="J14" i="8"/>
  <c r="O14" i="8"/>
  <c r="T14" i="8"/>
  <c r="Y14" i="8"/>
  <c r="AS13" i="8"/>
  <c r="J16" i="8"/>
  <c r="O16" i="8"/>
  <c r="T16" i="8"/>
  <c r="Y16" i="8"/>
  <c r="AS15" i="8"/>
  <c r="J18" i="8"/>
  <c r="O18" i="8"/>
  <c r="T18" i="8"/>
  <c r="Y18" i="8"/>
  <c r="AS17" i="8"/>
  <c r="J20" i="8"/>
  <c r="O20" i="8"/>
  <c r="T20" i="8"/>
  <c r="Y20" i="8"/>
  <c r="AS19" i="8"/>
  <c r="AH4" i="8"/>
  <c r="AM4" i="8"/>
  <c r="AV3" i="8"/>
  <c r="AH6" i="8"/>
  <c r="AM6" i="8"/>
  <c r="AV5" i="8"/>
  <c r="AH8" i="8"/>
  <c r="AM8" i="8"/>
  <c r="AV7" i="8"/>
  <c r="AH10" i="8"/>
  <c r="AM10" i="8"/>
  <c r="AV9" i="8"/>
  <c r="AH12" i="8"/>
  <c r="AM12" i="8"/>
  <c r="AV11" i="8"/>
  <c r="AH14" i="8"/>
  <c r="AM14" i="8"/>
  <c r="AV13" i="8"/>
  <c r="AH16" i="8"/>
  <c r="AM16" i="8"/>
  <c r="AV15" i="8"/>
  <c r="AH18" i="8"/>
  <c r="AM18" i="8"/>
  <c r="AV17" i="8"/>
  <c r="AH20" i="8"/>
  <c r="AM20" i="8"/>
  <c r="AV19" i="8"/>
  <c r="AU3" i="8"/>
  <c r="AU5" i="8"/>
  <c r="AU7" i="8"/>
  <c r="AU9" i="8"/>
  <c r="AU11" i="8"/>
  <c r="AU13" i="8"/>
  <c r="AU15" i="8"/>
  <c r="AU17" i="8"/>
  <c r="AU19" i="8"/>
  <c r="N15" i="3"/>
  <c r="O15" i="3"/>
  <c r="P15" i="3"/>
  <c r="M15" i="3"/>
  <c r="M16" i="3"/>
  <c r="N14" i="3"/>
  <c r="O14" i="3"/>
  <c r="P14" i="3"/>
  <c r="P16" i="3"/>
  <c r="M14" i="3"/>
  <c r="O16" i="3"/>
  <c r="N16" i="3"/>
  <c r="P9" i="3"/>
  <c r="O9" i="3"/>
  <c r="N9" i="3"/>
  <c r="M9" i="3"/>
  <c r="P8" i="3"/>
  <c r="P10" i="3"/>
  <c r="O8" i="3"/>
  <c r="O10" i="3"/>
  <c r="N8" i="3"/>
  <c r="N10" i="3"/>
  <c r="M8" i="3"/>
  <c r="M10" i="3"/>
  <c r="N4" i="3"/>
  <c r="O4" i="3"/>
  <c r="P4" i="3"/>
  <c r="M4" i="3"/>
  <c r="P2" i="3"/>
  <c r="P3" i="3"/>
  <c r="N2" i="3"/>
  <c r="O2" i="3"/>
  <c r="N3" i="3"/>
  <c r="O3" i="3"/>
  <c r="M3" i="3"/>
  <c r="M2" i="3"/>
  <c r="I18" i="3"/>
  <c r="J18" i="3"/>
  <c r="K18" i="3"/>
  <c r="H18" i="3"/>
  <c r="F16" i="3"/>
  <c r="E16" i="3"/>
  <c r="D16" i="3"/>
  <c r="C16" i="3"/>
  <c r="A15" i="3"/>
  <c r="A14" i="3"/>
  <c r="I10" i="3"/>
  <c r="H10" i="3"/>
  <c r="F10" i="3"/>
  <c r="A9" i="3"/>
  <c r="A8" i="3"/>
  <c r="E10" i="3"/>
  <c r="A3" i="3"/>
  <c r="A2" i="3"/>
  <c r="K4" i="3"/>
  <c r="J10" i="3"/>
  <c r="K10" i="3"/>
  <c r="C10" i="3"/>
  <c r="D10" i="3"/>
  <c r="C4" i="3"/>
  <c r="D4" i="3"/>
  <c r="E4" i="3"/>
  <c r="F4" i="3"/>
  <c r="H4" i="3"/>
  <c r="I4" i="3"/>
  <c r="J4" i="3"/>
  <c r="AL36" i="11"/>
  <c r="AB36" i="11"/>
  <c r="R36" i="11"/>
  <c r="E36" i="11"/>
  <c r="AJ36" i="11"/>
  <c r="Z36" i="11"/>
  <c r="P36" i="11"/>
  <c r="D36" i="11"/>
  <c r="O36" i="11"/>
  <c r="AI36" i="11"/>
  <c r="Y36" i="11"/>
  <c r="M36" i="11"/>
  <c r="C36" i="11"/>
  <c r="N36" i="11"/>
  <c r="AH36" i="11"/>
  <c r="X36" i="11"/>
  <c r="K36" i="11"/>
  <c r="AG36" i="11"/>
  <c r="W36" i="11"/>
  <c r="J36" i="11"/>
  <c r="AO36" i="11"/>
  <c r="AE36" i="11"/>
  <c r="U36" i="11"/>
  <c r="I36" i="11"/>
  <c r="AN36" i="11"/>
  <c r="AD36" i="11"/>
  <c r="T36" i="11"/>
  <c r="H36" i="11"/>
  <c r="AM36" i="11"/>
  <c r="AC36" i="11"/>
  <c r="S36" i="11"/>
  <c r="F36" i="11"/>
  <c r="AI22" i="4"/>
  <c r="Y22" i="4"/>
  <c r="O22" i="4"/>
  <c r="E22" i="4"/>
  <c r="W22" i="4"/>
  <c r="C22" i="4"/>
  <c r="AO22" i="4"/>
  <c r="K22" i="4"/>
  <c r="AN22" i="4"/>
  <c r="T22" i="4"/>
  <c r="AH22" i="4"/>
  <c r="X22" i="4"/>
  <c r="N22" i="4"/>
  <c r="D22" i="4"/>
  <c r="AG22" i="4"/>
  <c r="M22" i="4"/>
  <c r="AE22" i="4"/>
  <c r="U22" i="4"/>
  <c r="AD22" i="4"/>
  <c r="J22" i="4"/>
  <c r="AM22" i="4"/>
  <c r="AC22" i="4"/>
  <c r="S22" i="4"/>
  <c r="I22" i="4"/>
  <c r="AL22" i="4"/>
  <c r="AB22" i="4"/>
  <c r="R22" i="4"/>
  <c r="H22" i="4"/>
  <c r="AJ22" i="4"/>
  <c r="Z22" i="4"/>
  <c r="P22" i="4"/>
  <c r="F22" i="4"/>
  <c r="F14" i="14"/>
  <c r="G19" i="14"/>
  <c r="F13" i="14"/>
  <c r="D19" i="14"/>
  <c r="B14" i="14"/>
  <c r="B3" i="14"/>
  <c r="F4" i="14"/>
  <c r="H5" i="14"/>
  <c r="D5" i="14"/>
  <c r="C9" i="14"/>
  <c r="H14" i="14"/>
  <c r="G17" i="14"/>
  <c r="F15" i="14"/>
  <c r="H17" i="14"/>
  <c r="C15" i="14"/>
  <c r="F19" i="14"/>
  <c r="G5" i="14"/>
  <c r="B7" i="14"/>
  <c r="G14" i="14"/>
  <c r="F17" i="14"/>
  <c r="H19" i="14"/>
  <c r="C14" i="14"/>
  <c r="B15" i="14"/>
  <c r="F5" i="14"/>
  <c r="D7" i="14"/>
  <c r="C7" i="14"/>
  <c r="B5" i="14"/>
  <c r="D14" i="14"/>
  <c r="D4" i="14"/>
  <c r="G13" i="14"/>
  <c r="C17" i="14"/>
  <c r="D3" i="14"/>
  <c r="F3" i="14"/>
  <c r="C5" i="14"/>
  <c r="G15" i="14"/>
  <c r="D15" i="14"/>
  <c r="D17" i="14"/>
  <c r="G3" i="14"/>
  <c r="G7" i="14"/>
  <c r="D9" i="14"/>
  <c r="C3" i="14"/>
  <c r="H15" i="14"/>
  <c r="B17" i="14"/>
  <c r="B13" i="14"/>
  <c r="H3" i="14"/>
  <c r="H7" i="14"/>
  <c r="H9" i="14"/>
  <c r="B9" i="14"/>
  <c r="H13" i="14"/>
  <c r="C13" i="14"/>
  <c r="G4" i="14"/>
  <c r="F7" i="14"/>
  <c r="G9" i="14"/>
  <c r="C4" i="14"/>
  <c r="B4" i="14"/>
  <c r="C19" i="14"/>
  <c r="D13" i="14"/>
  <c r="B19" i="14"/>
  <c r="H4" i="14"/>
  <c r="F9" i="14"/>
  <c r="K19" i="14" l="1"/>
  <c r="M13" i="14"/>
  <c r="L19" i="14"/>
  <c r="L13" i="14"/>
  <c r="K13" i="14"/>
  <c r="K17" i="14"/>
  <c r="M17" i="14"/>
  <c r="M15" i="14"/>
  <c r="L17" i="14"/>
  <c r="M14" i="14"/>
  <c r="K15" i="14"/>
  <c r="L14" i="14"/>
  <c r="L15" i="14"/>
  <c r="K14" i="14"/>
  <c r="M19" i="14"/>
  <c r="M9" i="14"/>
  <c r="M4" i="14"/>
  <c r="M7" i="14"/>
  <c r="M5" i="14"/>
  <c r="M3" i="14"/>
  <c r="L4" i="14"/>
  <c r="L5" i="14"/>
  <c r="L7" i="14"/>
  <c r="L9" i="14"/>
  <c r="L3" i="14"/>
  <c r="K4" i="14"/>
  <c r="K9" i="14"/>
  <c r="K5" i="14"/>
  <c r="K7" i="14"/>
  <c r="K3" i="14"/>
  <c r="J37" i="11"/>
  <c r="I37" i="11"/>
  <c r="H37" i="11"/>
  <c r="Y37" i="11"/>
  <c r="X37" i="11"/>
  <c r="W37" i="11"/>
  <c r="AG37" i="11"/>
  <c r="AI37" i="11"/>
  <c r="AH37" i="11"/>
  <c r="E37" i="11"/>
  <c r="D37" i="11"/>
  <c r="C37" i="11"/>
  <c r="N37" i="11"/>
  <c r="M37" i="11"/>
  <c r="O37" i="11"/>
  <c r="S37" i="11"/>
  <c r="R37" i="11"/>
  <c r="T37" i="11"/>
  <c r="AD37" i="11"/>
  <c r="AC37" i="11"/>
  <c r="AB37" i="11"/>
  <c r="AN37" i="11"/>
  <c r="AM37" i="11"/>
  <c r="AL37" i="11"/>
  <c r="J23" i="4"/>
  <c r="I23" i="4"/>
  <c r="H23" i="4"/>
  <c r="S23" i="4"/>
  <c r="R23" i="4"/>
  <c r="T23" i="4"/>
  <c r="AB23" i="4"/>
  <c r="AD23" i="4"/>
  <c r="AC23" i="4"/>
  <c r="AM23" i="4"/>
  <c r="AN23" i="4"/>
  <c r="AL23" i="4"/>
  <c r="O23" i="4"/>
  <c r="M23" i="4"/>
  <c r="N23" i="4"/>
  <c r="AG23" i="4"/>
  <c r="AI23" i="4"/>
  <c r="AH23" i="4"/>
  <c r="E23" i="4"/>
  <c r="D23" i="4"/>
  <c r="C23" i="4"/>
  <c r="Y23" i="4"/>
  <c r="X23" i="4"/>
  <c r="W23" i="4"/>
  <c r="AU36" i="11" l="1"/>
  <c r="AV36" i="11"/>
  <c r="AQ36" i="11"/>
  <c r="AW36" i="11"/>
  <c r="AR36" i="11"/>
  <c r="AS36" i="11"/>
  <c r="AW22" i="4"/>
  <c r="AQ22" i="4"/>
  <c r="AU22" i="4"/>
  <c r="AR22" i="4"/>
  <c r="AS22" i="4"/>
  <c r="AV22" i="4"/>
  <c r="F16" i="14"/>
  <c r="F6" i="14"/>
  <c r="G16" i="14"/>
  <c r="G6" i="14"/>
  <c r="H6" i="14"/>
  <c r="H16" i="14"/>
  <c r="C16" i="14"/>
  <c r="C6" i="14"/>
  <c r="B16" i="14"/>
  <c r="B6" i="14"/>
  <c r="D6" i="14"/>
  <c r="D16" i="14"/>
  <c r="H8" i="14"/>
  <c r="H18" i="14"/>
  <c r="B18" i="14"/>
  <c r="B8" i="14"/>
  <c r="F18" i="14"/>
  <c r="F8" i="14"/>
  <c r="C8" i="14"/>
  <c r="C18" i="14"/>
  <c r="D18" i="14"/>
  <c r="D8" i="14"/>
  <c r="G18" i="14"/>
  <c r="G8" i="14"/>
  <c r="M18" i="14" l="1"/>
  <c r="L18" i="14"/>
  <c r="K18" i="14"/>
  <c r="M16" i="14"/>
  <c r="K16" i="14"/>
  <c r="L16" i="14"/>
  <c r="M8" i="14"/>
  <c r="M6" i="14"/>
  <c r="L8" i="14"/>
  <c r="L6" i="14"/>
  <c r="K8" i="14"/>
  <c r="K6" i="14"/>
</calcChain>
</file>

<file path=xl/sharedStrings.xml><?xml version="1.0" encoding="utf-8"?>
<sst xmlns="http://schemas.openxmlformats.org/spreadsheetml/2006/main" count="285" uniqueCount="99">
  <si>
    <t>Vraag</t>
  </si>
  <si>
    <t>A</t>
  </si>
  <si>
    <t>Naam</t>
  </si>
  <si>
    <t>Team</t>
  </si>
  <si>
    <t>B</t>
  </si>
  <si>
    <t>C</t>
  </si>
  <si>
    <t>D</t>
  </si>
  <si>
    <t>Score Winst</t>
  </si>
  <si>
    <t>Score VVU</t>
  </si>
  <si>
    <t>Vraag 4</t>
  </si>
  <si>
    <t>Winst</t>
  </si>
  <si>
    <t>VVU</t>
  </si>
  <si>
    <t>Score Risico</t>
  </si>
  <si>
    <t>Vraag 5</t>
  </si>
  <si>
    <t>TopTech</t>
  </si>
  <si>
    <t>Blauw</t>
  </si>
  <si>
    <t>Wit</t>
  </si>
  <si>
    <t>Roland Boer</t>
  </si>
  <si>
    <t>Joyce Rombouts</t>
  </si>
  <si>
    <t>?</t>
  </si>
  <si>
    <t>Joost Boerboom</t>
  </si>
  <si>
    <t>Risico</t>
  </si>
  <si>
    <t>Scorefactor</t>
  </si>
  <si>
    <t>Hans Bokdam</t>
  </si>
  <si>
    <t>Sebastiaan Meijer</t>
  </si>
  <si>
    <t>Daan Wilmer</t>
  </si>
  <si>
    <t>Rood</t>
  </si>
  <si>
    <t>Juan Pablo</t>
  </si>
  <si>
    <t>Rick Assendelft</t>
  </si>
  <si>
    <t>Mark van de Ende</t>
  </si>
  <si>
    <t>Tugba Cetinturk</t>
  </si>
  <si>
    <t>Alexander Bloembergen</t>
  </si>
  <si>
    <t>Jelle Breeuwer</t>
  </si>
  <si>
    <t>Hans</t>
  </si>
  <si>
    <t>Jan Buisman</t>
  </si>
  <si>
    <t>Jesper van der Waal</t>
  </si>
  <si>
    <t>Martijn Schouten</t>
  </si>
  <si>
    <t>Zwart</t>
  </si>
  <si>
    <t>Kristen Wokke</t>
  </si>
  <si>
    <t>Oscar Schneider</t>
  </si>
  <si>
    <t>Walter Hoff</t>
  </si>
  <si>
    <t>Martin Latupeirissa</t>
  </si>
  <si>
    <t>Sven Warmerdam</t>
  </si>
  <si>
    <t>Roze</t>
  </si>
  <si>
    <t>Marlijn</t>
  </si>
  <si>
    <t>Sanne</t>
  </si>
  <si>
    <t>Joris Wiers</t>
  </si>
  <si>
    <t>Ricardo Nuijens</t>
  </si>
  <si>
    <t>Wim Schot</t>
  </si>
  <si>
    <t>Marcel de Jong</t>
  </si>
  <si>
    <t>Sander Dekens</t>
  </si>
  <si>
    <t>Allard Horstman</t>
  </si>
  <si>
    <t>Anika Luteijn</t>
  </si>
  <si>
    <t>Hilde Beck</t>
  </si>
  <si>
    <t>Rick Delbressine</t>
  </si>
  <si>
    <t>Marga van den Hurk</t>
  </si>
  <si>
    <t>Simon Lubach</t>
  </si>
  <si>
    <t>Steven van Hoof</t>
  </si>
  <si>
    <t>Timon Pieck</t>
  </si>
  <si>
    <t>Loek Overes</t>
  </si>
  <si>
    <t>Gert-Jan Tabor</t>
  </si>
  <si>
    <t>Tom Doldersum</t>
  </si>
  <si>
    <t>Vraag 6</t>
  </si>
  <si>
    <t>TU</t>
  </si>
  <si>
    <t>Almende</t>
  </si>
  <si>
    <t>RWS 21-11</t>
  </si>
  <si>
    <t>RWS 18-12</t>
  </si>
  <si>
    <t>Eneco</t>
  </si>
  <si>
    <t>BdeBont</t>
  </si>
  <si>
    <t>Scores individueel</t>
  </si>
  <si>
    <t>Maxima</t>
  </si>
  <si>
    <t>Individueel</t>
  </si>
  <si>
    <t>Netwerk</t>
  </si>
  <si>
    <t>Scores netwerk</t>
  </si>
  <si>
    <t>Remko Pollmann</t>
  </si>
  <si>
    <t>Maarten Buurmans</t>
  </si>
  <si>
    <t>Martine van den Boomen</t>
  </si>
  <si>
    <t>Marc Boer</t>
  </si>
  <si>
    <t>Geen</t>
  </si>
  <si>
    <t>Frank Busser</t>
  </si>
  <si>
    <t>Maurice Reusen</t>
  </si>
  <si>
    <t>Remco Tukker</t>
  </si>
  <si>
    <t>Suki</t>
  </si>
  <si>
    <t>Bart</t>
  </si>
  <si>
    <t>Anne</t>
  </si>
  <si>
    <t>Laurens</t>
  </si>
  <si>
    <t>Marc Hulscher</t>
  </si>
  <si>
    <t>Alex</t>
  </si>
  <si>
    <t>Jonathan Staats</t>
  </si>
  <si>
    <t>Shruti</t>
  </si>
  <si>
    <t>Matthijs Spaan</t>
  </si>
  <si>
    <t>Michel Wilson</t>
  </si>
  <si>
    <t>Frits de Nijs</t>
  </si>
  <si>
    <t>Jan</t>
  </si>
  <si>
    <t>Roemer Vlasveld</t>
  </si>
  <si>
    <t>Minima</t>
  </si>
  <si>
    <t>Gemiddelden</t>
  </si>
  <si>
    <t>Borda</t>
  </si>
  <si>
    <t>Beide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</si>
</sst>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2" fontId="0" fillId="0" borderId="0" xfId="0" applyNumberForma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23"/>
  <sheetViews>
    <sheetView workbookViewId="0">
      <selection activeCell="AQ22" sqref="AQ22"/>
    </sheetView>
  </sheetViews>
  <sheetFormatPr defaultRowHeight="15" x14ac:dyDescent="0.25"/>
  <cols>
    <col min="1" max="1" width="21.28515625" customWidth="1"/>
    <col min="3" max="6" width="2.7109375" customWidth="1"/>
    <col min="7" max="7" width="1.7109375" customWidth="1"/>
    <col min="8" max="11" width="2.7109375" customWidth="1"/>
    <col min="12" max="12" width="1.7109375" customWidth="1"/>
    <col min="13" max="16" width="2.7109375" customWidth="1"/>
    <col min="17" max="17" width="1.7109375" customWidth="1"/>
    <col min="18" max="21" width="2.7109375" customWidth="1"/>
    <col min="22" max="22" width="1.7109375" customWidth="1"/>
    <col min="23" max="26" width="2.7109375" customWidth="1"/>
    <col min="27" max="27" width="1.7109375" customWidth="1"/>
    <col min="28" max="31" width="2.7109375" customWidth="1"/>
    <col min="32" max="32" width="1.7109375" customWidth="1"/>
    <col min="33" max="36" width="2.7109375" customWidth="1"/>
    <col min="37" max="37" width="1.7109375" customWidth="1"/>
    <col min="38" max="41" width="2.7109375" customWidth="1"/>
  </cols>
  <sheetData>
    <row r="1" spans="1:49" x14ac:dyDescent="0.25">
      <c r="A1" s="1"/>
      <c r="C1" s="1" t="s">
        <v>0</v>
      </c>
      <c r="D1" s="1"/>
      <c r="E1" s="1"/>
      <c r="F1" s="1"/>
      <c r="G1" s="1"/>
      <c r="AQ1" s="1" t="s">
        <v>69</v>
      </c>
      <c r="AU1" s="1" t="s">
        <v>73</v>
      </c>
    </row>
    <row r="2" spans="1:49" x14ac:dyDescent="0.25">
      <c r="A2" s="1" t="s">
        <v>2</v>
      </c>
      <c r="B2" s="1" t="s">
        <v>3</v>
      </c>
      <c r="C2" s="10">
        <v>1</v>
      </c>
      <c r="D2" s="10"/>
      <c r="E2" s="10"/>
      <c r="F2" s="10"/>
      <c r="G2" s="3"/>
      <c r="H2" s="10">
        <v>2</v>
      </c>
      <c r="I2" s="10"/>
      <c r="J2" s="10"/>
      <c r="K2" s="10"/>
      <c r="L2" s="3"/>
      <c r="M2" s="10">
        <v>3</v>
      </c>
      <c r="N2" s="10"/>
      <c r="O2" s="10"/>
      <c r="P2" s="10"/>
      <c r="Q2" s="3"/>
      <c r="R2" s="10">
        <v>4</v>
      </c>
      <c r="S2" s="10"/>
      <c r="T2" s="10"/>
      <c r="U2" s="10"/>
      <c r="V2" s="3"/>
      <c r="W2" s="10">
        <v>5</v>
      </c>
      <c r="X2" s="10"/>
      <c r="Y2" s="10"/>
      <c r="Z2" s="10"/>
      <c r="AA2" s="3"/>
      <c r="AB2" s="10">
        <v>6</v>
      </c>
      <c r="AC2" s="10"/>
      <c r="AD2" s="10"/>
      <c r="AE2" s="10"/>
      <c r="AF2" s="3"/>
      <c r="AG2" s="10">
        <v>7</v>
      </c>
      <c r="AH2" s="10"/>
      <c r="AI2" s="10"/>
      <c r="AJ2" s="10"/>
      <c r="AK2" s="3"/>
      <c r="AL2" s="10">
        <v>8</v>
      </c>
      <c r="AM2" s="10"/>
      <c r="AN2" s="10"/>
      <c r="AO2" s="10"/>
      <c r="AQ2" s="1" t="s">
        <v>10</v>
      </c>
      <c r="AR2" s="1" t="s">
        <v>11</v>
      </c>
      <c r="AS2" s="1" t="s">
        <v>21</v>
      </c>
      <c r="AT2" s="1"/>
      <c r="AU2" s="1" t="s">
        <v>10</v>
      </c>
      <c r="AV2" s="1" t="s">
        <v>11</v>
      </c>
      <c r="AW2" s="1" t="s">
        <v>21</v>
      </c>
    </row>
    <row r="3" spans="1:49" x14ac:dyDescent="0.25">
      <c r="A3" t="s">
        <v>24</v>
      </c>
      <c r="B3" t="s">
        <v>19</v>
      </c>
      <c r="C3">
        <v>1</v>
      </c>
      <c r="D3">
        <v>4</v>
      </c>
      <c r="E3">
        <v>3</v>
      </c>
      <c r="F3">
        <v>2</v>
      </c>
      <c r="H3">
        <v>4</v>
      </c>
      <c r="I3">
        <v>1</v>
      </c>
      <c r="J3">
        <v>3</v>
      </c>
      <c r="K3">
        <v>2</v>
      </c>
      <c r="M3">
        <v>3</v>
      </c>
      <c r="N3">
        <v>1</v>
      </c>
      <c r="O3">
        <v>4</v>
      </c>
      <c r="P3">
        <v>2</v>
      </c>
      <c r="R3">
        <v>4</v>
      </c>
      <c r="S3">
        <v>1</v>
      </c>
      <c r="T3">
        <v>3</v>
      </c>
      <c r="U3">
        <v>2</v>
      </c>
      <c r="W3">
        <v>2</v>
      </c>
      <c r="X3">
        <v>3</v>
      </c>
      <c r="Y3">
        <v>1</v>
      </c>
      <c r="Z3">
        <v>4</v>
      </c>
      <c r="AB3">
        <v>1</v>
      </c>
      <c r="AC3">
        <v>2</v>
      </c>
      <c r="AD3">
        <v>4</v>
      </c>
      <c r="AE3">
        <v>3</v>
      </c>
      <c r="AG3">
        <v>3</v>
      </c>
      <c r="AH3">
        <v>4</v>
      </c>
      <c r="AI3">
        <v>2</v>
      </c>
      <c r="AJ3">
        <v>1</v>
      </c>
      <c r="AL3">
        <v>1</v>
      </c>
      <c r="AM3">
        <v>3</v>
      </c>
      <c r="AN3">
        <v>2</v>
      </c>
      <c r="AO3">
        <v>4</v>
      </c>
      <c r="AQ3" s="9">
        <f>((C4+H4+M4+R4+W4)-Scores!$E$15)/(Scores!$I$15-Scores!$E$15)</f>
        <v>0.78448275862068961</v>
      </c>
      <c r="AR3" s="9">
        <f>((D4+I4+N4+S4+X4)-Scores!$E$16)/(Scores!$I$16-Scores!$E$16)</f>
        <v>0.4689655172413793</v>
      </c>
      <c r="AS3" s="9">
        <f>((E4+J4+O4+T4+Y4)-Scores!$E$17)/(Scores!$I$17-Scores!$E$17)</f>
        <v>0.32758620689655171</v>
      </c>
      <c r="AT3" s="9"/>
      <c r="AU3" s="9">
        <f>((AB4+AG4+AL4)-Scores!$F$15)/(Scores!$J$15-Scores!$F$15)</f>
        <v>1</v>
      </c>
      <c r="AV3" s="9">
        <f>((AC4+AH4+AM4)-Scores!$F$16)/(Scores!$J$16-Scores!$F$16)</f>
        <v>0.96551724137931039</v>
      </c>
      <c r="AW3" s="9">
        <f>((AD4+AI4+AN4)-Scores!$F$17)/(Scores!$J$17-Scores!$F$17)</f>
        <v>0.51724137931034486</v>
      </c>
    </row>
    <row r="4" spans="1:49" s="5" customFormat="1" ht="11.25" x14ac:dyDescent="0.2">
      <c r="C4" s="6">
        <f>Scores!$B$3*VLOOKUP(C3,Scores!$A$15:$B$18,2)+Scores!$C$3*VLOOKUP(D3,Scores!$A$15:$B$18,2)+Scores!$D$3*VLOOKUP(E3,Scores!$A$15:$B$18,2)+Scores!$E$3*VLOOKUP(F3,Scores!$A$15:$B$18,2)</f>
        <v>0</v>
      </c>
      <c r="D4" s="6">
        <f>Scores!$G$3*VLOOKUP(C3,Scores!$A$15:$B$18,2)+Scores!$H$3*VLOOKUP(D3,Scores!$A$15:$B$18,2)+Scores!$I$3*VLOOKUP(E3,Scores!$A$15:$B$18,2)+Scores!$J$3*VLOOKUP(F3,Scores!$A$15:$B$18,2)</f>
        <v>62</v>
      </c>
      <c r="E4" s="6">
        <f>Scores!$L$3*VLOOKUP(C3,Scores!$A$15:$B$18,2)+Scores!$M$3*VLOOKUP(D3,Scores!$A$15:$B$18,2)+Scores!$N$3*VLOOKUP(E3,Scores!$A$15:$B$18,2)+Scores!$O$3*VLOOKUP(F3,Scores!$A$15:$B$18,2)</f>
        <v>0</v>
      </c>
      <c r="F4" s="7"/>
      <c r="G4" s="7"/>
      <c r="H4" s="6">
        <f>Scores!$B$4*VLOOKUP(H3,Scores!$A$15:$B$18,2)+Scores!$C$4*VLOOKUP(I3,Scores!$A$15:$B$18,2)+Scores!$D$4*VLOOKUP(J3,Scores!$A$15:$B$18,2)+Scores!$E$4*VLOOKUP(K3,Scores!$A$15:$B$18,2)</f>
        <v>60</v>
      </c>
      <c r="I4" s="6">
        <f>Scores!$G$4*VLOOKUP(H3,Scores!$A$15:$B$18,2)+Scores!$H$4*VLOOKUP(I3,Scores!$A$15:$B$18,2)+Scores!$I$4*VLOOKUP(J3,Scores!$A$15:$B$18,2)+Scores!$J$4*VLOOKUP(K3,Scores!$A$15:$B$18,2)</f>
        <v>35</v>
      </c>
      <c r="J4" s="6">
        <f>Scores!$L$4*VLOOKUP(H3,Scores!$A$15:$B$18,2)+Scores!$M$4*VLOOKUP(I3,Scores!$A$15:$B$18,2)+Scores!$N$4*VLOOKUP(J3,Scores!$A$15:$B$18,2)+Scores!$O$4*VLOOKUP(K3,Scores!$A$15:$B$18,2)</f>
        <v>0</v>
      </c>
      <c r="K4" s="7"/>
      <c r="L4" s="7"/>
      <c r="M4" s="6">
        <f>Scores!$B$5*VLOOKUP(M3,Scores!$A$15:$B$18,2)+Scores!$C$5*VLOOKUP(N3,Scores!$A$15:$B$18,2)+Scores!$D$5*VLOOKUP(O3,Scores!$A$15:$B$18,2)+Scores!$E$5*VLOOKUP(P3,Scores!$A$15:$B$18,2)</f>
        <v>62</v>
      </c>
      <c r="N4" s="6">
        <f>Scores!$G$5*VLOOKUP(M3,Scores!$A$15:$B$18,2)+Scores!$H$5*VLOOKUP(N3,Scores!$A$15:$B$18,2)+Scores!$I$5*VLOOKUP(O3,Scores!$A$15:$B$18,2)+Scores!$J$5*VLOOKUP(P3,Scores!$A$15:$B$18,2)</f>
        <v>39</v>
      </c>
      <c r="O4" s="6">
        <f>Scores!$L$5*VLOOKUP(M3,Scores!$A$15:$B$18,2)+Scores!$M$5*VLOOKUP(N3,Scores!$A$15:$B$18,2)+Scores!$N$5*VLOOKUP(O3,Scores!$A$15:$B$18,2)+Scores!$O$5*VLOOKUP(P3,Scores!$A$15:$B$18,2)</f>
        <v>0</v>
      </c>
      <c r="P4" s="7"/>
      <c r="Q4" s="7"/>
      <c r="R4" s="6">
        <f>Scores!$B$6*VLOOKUP(R3,Scores!$A$15:$B$18,2)+Scores!$C$6*VLOOKUP(S3,Scores!$A$15:$B$18,2)+Scores!$D$6*VLOOKUP(T3,Scores!$A$15:$B$18,2)+Scores!$E$6*VLOOKUP(U3,Scores!$A$15:$B$18,2)</f>
        <v>39</v>
      </c>
      <c r="S4" s="6">
        <f>Scores!$G$6*VLOOKUP(R3,Scores!$A$15:$B$18,2)+Scores!$H$6*VLOOKUP(S3,Scores!$A$15:$B$18,2)+Scores!$I$6*VLOOKUP(T3,Scores!$A$15:$B$18,2)+Scores!$J$6*VLOOKUP(U3,Scores!$A$15:$B$18,2)</f>
        <v>35</v>
      </c>
      <c r="T4" s="6">
        <f>Scores!$L$6*VLOOKUP(R3,Scores!$A$15:$B$18,2)+Scores!$M$6*VLOOKUP(S3,Scores!$A$15:$B$18,2)+Scores!$N$6*VLOOKUP(T3,Scores!$A$15:$B$18,2)+Scores!$O$6*VLOOKUP(U3,Scores!$A$15:$B$18,2)</f>
        <v>35</v>
      </c>
      <c r="U4" s="7"/>
      <c r="V4" s="7"/>
      <c r="W4" s="6">
        <f>Scores!$B$7*VLOOKUP(W3,Scores!$A$15:$B$18,2)+Scores!$C$7*VLOOKUP(X3,Scores!$A$15:$B$18,2)+Scores!$D$7*VLOOKUP(Y3,Scores!$A$15:$B$18,2)+Scores!$E$7*VLOOKUP(Z3,Scores!$A$15:$B$18,2)</f>
        <v>62</v>
      </c>
      <c r="X4" s="6">
        <f>Scores!$G$7*VLOOKUP(W3,Scores!$A$15:$B$18,2)+Scores!$H$7*VLOOKUP(X3,Scores!$A$15:$B$18,2)+Scores!$I$7*VLOOKUP(Y3,Scores!$A$15:$B$18,2)+Scores!$J$7*VLOOKUP(Z3,Scores!$A$15:$B$18,2)</f>
        <v>62</v>
      </c>
      <c r="Y4" s="6">
        <f>Scores!$L$7*VLOOKUP(W3,Scores!$A$15:$B$18,2)+Scores!$M$7*VLOOKUP(X3,Scores!$A$15:$B$18,2)+Scores!$N$7*VLOOKUP(Y3,Scores!$A$15:$B$18,2)+Scores!$O$7*VLOOKUP(Z3,Scores!$A$15:$B$18,2)</f>
        <v>50</v>
      </c>
      <c r="Z4" s="7"/>
      <c r="AA4" s="7"/>
      <c r="AB4" s="6">
        <f>Scores!$B$8*VLOOKUP(AB3,Scores!$A$15:$B$18,2)+Scores!$C$8*VLOOKUP(AC3,Scores!$A$15:$B$18,2)+Scores!$D$8*VLOOKUP(AD3,Scores!$A$15:$B$18,2)+Scores!$E$8*VLOOKUP(AE3,Scores!$A$15:$B$18,2)</f>
        <v>62</v>
      </c>
      <c r="AC4" s="6">
        <f>Scores!$G$8*VLOOKUP(AB3,Scores!$A$15:$B$18,2)+Scores!$H$8*VLOOKUP(AC3,Scores!$A$15:$B$18,2)+Scores!$I$8*VLOOKUP(AD3,Scores!$A$15:$B$18,2)+Scores!$J$8*VLOOKUP(AE3,Scores!$A$15:$B$18,2)</f>
        <v>60</v>
      </c>
      <c r="AD4" s="6">
        <f>Scores!$L$8*VLOOKUP(AB3,Scores!$A$15:$B$18,2)+Scores!$M$8*VLOOKUP(AC3,Scores!$A$15:$B$18,2)+Scores!$N$8*VLOOKUP(AD3,Scores!$A$15:$B$18,2)+Scores!$O$8*VLOOKUP(AE3,Scores!$A$15:$B$18,2)</f>
        <v>48</v>
      </c>
      <c r="AE4" s="7"/>
      <c r="AF4" s="7"/>
      <c r="AG4" s="6">
        <f>Scores!$B$9*VLOOKUP(AG3,Scores!$A$15:$B$18,2)+Scores!$C$9*VLOOKUP(AH3,Scores!$A$15:$B$18,2)+Scores!$D$9*VLOOKUP(AI3,Scores!$A$15:$B$18,2)+Scores!$E$9*VLOOKUP(AJ3,Scores!$A$15:$B$18,2)</f>
        <v>0</v>
      </c>
      <c r="AH4" s="6">
        <f>Scores!$G$9*VLOOKUP(AG3,Scores!$A$15:$B$18,2)+Scores!$H$9*VLOOKUP(AH3,Scores!$A$15:$B$18,2)+Scores!$I$9*VLOOKUP(AI3,Scores!$A$15:$B$18,2)+Scores!$J$9*VLOOKUP(AJ3,Scores!$A$15:$B$18,2)</f>
        <v>62</v>
      </c>
      <c r="AI4" s="6">
        <f>Scores!$L$9*VLOOKUP(AG3,Scores!$A$15:$B$18,2)+Scores!$M$9*VLOOKUP(AH3,Scores!$A$15:$B$18,2)+Scores!$N$9*VLOOKUP(AI3,Scores!$A$15:$B$18,2)+Scores!$O$9*VLOOKUP(AJ3,Scores!$A$15:$B$18,2)</f>
        <v>0</v>
      </c>
      <c r="AJ4" s="7"/>
      <c r="AK4" s="7"/>
      <c r="AL4" s="6">
        <f>Scores!$B$10*VLOOKUP(AL3,Scores!$A$15:$B$18,2)+Scores!$C$10*VLOOKUP(AM3,Scores!$A$15:$B$18,2)+Scores!$D$10*VLOOKUP(AN3,Scores!$A$15:$B$18,2)+Scores!$E$10*VLOOKUP(AO3,Scores!$A$15:$B$18,2)</f>
        <v>0</v>
      </c>
      <c r="AM4" s="6">
        <f>Scores!$G$10*VLOOKUP(AL3,Scores!$A$15:$B$18,2)+Scores!$H$10*VLOOKUP(AM3,Scores!$A$15:$B$18,2)+Scores!$I$10*VLOOKUP(AN3,Scores!$A$15:$B$18,2)+Scores!$J$10*VLOOKUP(AO3,Scores!$A$15:$B$18,2)</f>
        <v>0</v>
      </c>
      <c r="AN4" s="6">
        <f>Scores!$L$10*VLOOKUP(AL3,Scores!$A$15:$B$18,2)+Scores!$M$10*VLOOKUP(AM3,Scores!$A$15:$B$18,2)+Scores!$N$10*VLOOKUP(AN3,Scores!$A$15:$B$18,2)+Scores!$O$10*VLOOKUP(AO3,Scores!$A$15:$B$18,2)</f>
        <v>0</v>
      </c>
      <c r="AO4" s="7"/>
    </row>
    <row r="5" spans="1:49" x14ac:dyDescent="0.25">
      <c r="A5" t="s">
        <v>25</v>
      </c>
      <c r="B5" t="s">
        <v>26</v>
      </c>
      <c r="C5">
        <v>1</v>
      </c>
      <c r="D5">
        <v>4</v>
      </c>
      <c r="E5">
        <v>3</v>
      </c>
      <c r="F5">
        <v>2</v>
      </c>
      <c r="H5">
        <v>3</v>
      </c>
      <c r="I5">
        <v>1</v>
      </c>
      <c r="J5">
        <v>4</v>
      </c>
      <c r="K5">
        <v>2</v>
      </c>
      <c r="M5">
        <v>3</v>
      </c>
      <c r="N5">
        <v>1</v>
      </c>
      <c r="O5">
        <v>4</v>
      </c>
      <c r="P5">
        <v>2</v>
      </c>
      <c r="R5">
        <v>3</v>
      </c>
      <c r="S5">
        <v>1</v>
      </c>
      <c r="T5">
        <v>4</v>
      </c>
      <c r="U5">
        <v>2</v>
      </c>
      <c r="W5">
        <v>2</v>
      </c>
      <c r="X5">
        <v>3</v>
      </c>
      <c r="Y5">
        <v>1</v>
      </c>
      <c r="Z5">
        <v>4</v>
      </c>
      <c r="AB5">
        <v>1</v>
      </c>
      <c r="AC5">
        <v>3</v>
      </c>
      <c r="AD5">
        <v>4</v>
      </c>
      <c r="AE5">
        <v>2</v>
      </c>
      <c r="AG5">
        <v>4</v>
      </c>
      <c r="AH5">
        <v>3</v>
      </c>
      <c r="AI5">
        <v>2</v>
      </c>
      <c r="AJ5">
        <v>1</v>
      </c>
      <c r="AL5">
        <v>3</v>
      </c>
      <c r="AM5">
        <v>1</v>
      </c>
      <c r="AN5">
        <v>2</v>
      </c>
      <c r="AO5">
        <v>4</v>
      </c>
      <c r="AQ5" s="9">
        <f>((C6+H6+M6+R6+W6)-Scores!$E$15)/(Scores!$I$15-Scores!$E$15)</f>
        <v>0.76724137931034486</v>
      </c>
      <c r="AR5" s="9">
        <f>((D6+I6+N6+S6+X6)-Scores!$E$16)/(Scores!$I$16-Scores!$E$16)</f>
        <v>0.52413793103448281</v>
      </c>
      <c r="AS5" s="9">
        <f>((E6+J6+O6+T6+Y6)-Scores!$E$17)/(Scores!$I$17-Scores!$E$17)</f>
        <v>0.29310344827586204</v>
      </c>
      <c r="AT5" s="9"/>
      <c r="AU5" s="9">
        <f>((AB6+AG6+AL6)-Scores!$F$15)/(Scores!$J$15-Scores!$F$15)</f>
        <v>0.93103448275862066</v>
      </c>
      <c r="AV5" s="9">
        <f>((AC6+AH6+AM6)-Scores!$F$16)/(Scores!$J$16-Scores!$F$16)</f>
        <v>0.96551724137931039</v>
      </c>
      <c r="AW5" s="9">
        <f>((AD6+AI6+AN6)-Scores!$F$17)/(Scores!$J$17-Scores!$F$17)</f>
        <v>0.58620689655172409</v>
      </c>
    </row>
    <row r="6" spans="1:49" s="5" customFormat="1" ht="11.25" x14ac:dyDescent="0.2">
      <c r="C6" s="6">
        <f>Scores!$B$3*VLOOKUP(C5,Scores!$A$15:$B$18,2)+Scores!$C$3*VLOOKUP(D5,Scores!$A$15:$B$18,2)+Scores!$D$3*VLOOKUP(E5,Scores!$A$15:$B$18,2)+Scores!$E$3*VLOOKUP(F5,Scores!$A$15:$B$18,2)</f>
        <v>0</v>
      </c>
      <c r="D6" s="6">
        <f>Scores!$G$3*VLOOKUP(C5,Scores!$A$15:$B$18,2)+Scores!$H$3*VLOOKUP(D5,Scores!$A$15:$B$18,2)+Scores!$I$3*VLOOKUP(E5,Scores!$A$15:$B$18,2)+Scores!$J$3*VLOOKUP(F5,Scores!$A$15:$B$18,2)</f>
        <v>62</v>
      </c>
      <c r="E6" s="6">
        <f>Scores!$L$3*VLOOKUP(C5,Scores!$A$15:$B$18,2)+Scores!$M$3*VLOOKUP(D5,Scores!$A$15:$B$18,2)+Scores!$N$3*VLOOKUP(E5,Scores!$A$15:$B$18,2)+Scores!$O$3*VLOOKUP(F5,Scores!$A$15:$B$18,2)</f>
        <v>0</v>
      </c>
      <c r="F6" s="7"/>
      <c r="G6" s="7"/>
      <c r="H6" s="6">
        <f>Scores!$B$4*VLOOKUP(H5,Scores!$A$15:$B$18,2)+Scores!$C$4*VLOOKUP(I5,Scores!$A$15:$B$18,2)+Scores!$D$4*VLOOKUP(J5,Scores!$A$15:$B$18,2)+Scores!$E$4*VLOOKUP(K5,Scores!$A$15:$B$18,2)</f>
        <v>56</v>
      </c>
      <c r="I6" s="6">
        <f>Scores!$G$4*VLOOKUP(H5,Scores!$A$15:$B$18,2)+Scores!$H$4*VLOOKUP(I5,Scores!$A$15:$B$18,2)+Scores!$I$4*VLOOKUP(J5,Scores!$A$15:$B$18,2)+Scores!$J$4*VLOOKUP(K5,Scores!$A$15:$B$18,2)</f>
        <v>39</v>
      </c>
      <c r="J6" s="6">
        <f>Scores!$L$4*VLOOKUP(H5,Scores!$A$15:$B$18,2)+Scores!$M$4*VLOOKUP(I5,Scores!$A$15:$B$18,2)+Scores!$N$4*VLOOKUP(J5,Scores!$A$15:$B$18,2)+Scores!$O$4*VLOOKUP(K5,Scores!$A$15:$B$18,2)</f>
        <v>0</v>
      </c>
      <c r="K6" s="7"/>
      <c r="L6" s="7"/>
      <c r="M6" s="6">
        <f>Scores!$B$5*VLOOKUP(M5,Scores!$A$15:$B$18,2)+Scores!$C$5*VLOOKUP(N5,Scores!$A$15:$B$18,2)+Scores!$D$5*VLOOKUP(O5,Scores!$A$15:$B$18,2)+Scores!$E$5*VLOOKUP(P5,Scores!$A$15:$B$18,2)</f>
        <v>62</v>
      </c>
      <c r="N6" s="6">
        <f>Scores!$G$5*VLOOKUP(M5,Scores!$A$15:$B$18,2)+Scores!$H$5*VLOOKUP(N5,Scores!$A$15:$B$18,2)+Scores!$I$5*VLOOKUP(O5,Scores!$A$15:$B$18,2)+Scores!$J$5*VLOOKUP(P5,Scores!$A$15:$B$18,2)</f>
        <v>39</v>
      </c>
      <c r="O6" s="6">
        <f>Scores!$L$5*VLOOKUP(M5,Scores!$A$15:$B$18,2)+Scores!$M$5*VLOOKUP(N5,Scores!$A$15:$B$18,2)+Scores!$N$5*VLOOKUP(O5,Scores!$A$15:$B$18,2)+Scores!$O$5*VLOOKUP(P5,Scores!$A$15:$B$18,2)</f>
        <v>0</v>
      </c>
      <c r="P6" s="7"/>
      <c r="Q6" s="7"/>
      <c r="R6" s="6">
        <f>Scores!$B$6*VLOOKUP(R5,Scores!$A$15:$B$18,2)+Scores!$C$6*VLOOKUP(S5,Scores!$A$15:$B$18,2)+Scores!$D$6*VLOOKUP(T5,Scores!$A$15:$B$18,2)+Scores!$E$6*VLOOKUP(U5,Scores!$A$15:$B$18,2)</f>
        <v>41</v>
      </c>
      <c r="S6" s="6">
        <f>Scores!$G$6*VLOOKUP(R5,Scores!$A$15:$B$18,2)+Scores!$H$6*VLOOKUP(S5,Scores!$A$15:$B$18,2)+Scores!$I$6*VLOOKUP(T5,Scores!$A$15:$B$18,2)+Scores!$J$6*VLOOKUP(U5,Scores!$A$15:$B$18,2)</f>
        <v>39</v>
      </c>
      <c r="T6" s="6">
        <f>Scores!$L$6*VLOOKUP(R5,Scores!$A$15:$B$18,2)+Scores!$M$6*VLOOKUP(S5,Scores!$A$15:$B$18,2)+Scores!$N$6*VLOOKUP(T5,Scores!$A$15:$B$18,2)+Scores!$O$6*VLOOKUP(U5,Scores!$A$15:$B$18,2)</f>
        <v>33</v>
      </c>
      <c r="U6" s="7"/>
      <c r="V6" s="7"/>
      <c r="W6" s="6">
        <f>Scores!$B$7*VLOOKUP(W5,Scores!$A$15:$B$18,2)+Scores!$C$7*VLOOKUP(X5,Scores!$A$15:$B$18,2)+Scores!$D$7*VLOOKUP(Y5,Scores!$A$15:$B$18,2)+Scores!$E$7*VLOOKUP(Z5,Scores!$A$15:$B$18,2)</f>
        <v>62</v>
      </c>
      <c r="X6" s="6">
        <f>Scores!$G$7*VLOOKUP(W5,Scores!$A$15:$B$18,2)+Scores!$H$7*VLOOKUP(X5,Scores!$A$15:$B$18,2)+Scores!$I$7*VLOOKUP(Y5,Scores!$A$15:$B$18,2)+Scores!$J$7*VLOOKUP(Z5,Scores!$A$15:$B$18,2)</f>
        <v>62</v>
      </c>
      <c r="Y6" s="6">
        <f>Scores!$L$7*VLOOKUP(W5,Scores!$A$15:$B$18,2)+Scores!$M$7*VLOOKUP(X5,Scores!$A$15:$B$18,2)+Scores!$N$7*VLOOKUP(Y5,Scores!$A$15:$B$18,2)+Scores!$O$7*VLOOKUP(Z5,Scores!$A$15:$B$18,2)</f>
        <v>50</v>
      </c>
      <c r="Z6" s="7"/>
      <c r="AA6" s="7"/>
      <c r="AB6" s="6">
        <f>Scores!$B$8*VLOOKUP(AB5,Scores!$A$15:$B$18,2)+Scores!$C$8*VLOOKUP(AC5,Scores!$A$15:$B$18,2)+Scores!$D$8*VLOOKUP(AD5,Scores!$A$15:$B$18,2)+Scores!$E$8*VLOOKUP(AE5,Scores!$A$15:$B$18,2)</f>
        <v>60</v>
      </c>
      <c r="AC6" s="6">
        <f>Scores!$G$8*VLOOKUP(AB5,Scores!$A$15:$B$18,2)+Scores!$H$8*VLOOKUP(AC5,Scores!$A$15:$B$18,2)+Scores!$I$8*VLOOKUP(AD5,Scores!$A$15:$B$18,2)+Scores!$J$8*VLOOKUP(AE5,Scores!$A$15:$B$18,2)</f>
        <v>62</v>
      </c>
      <c r="AD6" s="6">
        <f>Scores!$L$8*VLOOKUP(AB5,Scores!$A$15:$B$18,2)+Scores!$M$8*VLOOKUP(AC5,Scores!$A$15:$B$18,2)+Scores!$N$8*VLOOKUP(AD5,Scores!$A$15:$B$18,2)+Scores!$O$8*VLOOKUP(AE5,Scores!$A$15:$B$18,2)</f>
        <v>50</v>
      </c>
      <c r="AE6" s="7"/>
      <c r="AF6" s="7"/>
      <c r="AG6" s="6">
        <f>Scores!$B$9*VLOOKUP(AG5,Scores!$A$15:$B$18,2)+Scores!$C$9*VLOOKUP(AH5,Scores!$A$15:$B$18,2)+Scores!$D$9*VLOOKUP(AI5,Scores!$A$15:$B$18,2)+Scores!$E$9*VLOOKUP(AJ5,Scores!$A$15:$B$18,2)</f>
        <v>0</v>
      </c>
      <c r="AH6" s="6">
        <f>Scores!$G$9*VLOOKUP(AG5,Scores!$A$15:$B$18,2)+Scores!$H$9*VLOOKUP(AH5,Scores!$A$15:$B$18,2)+Scores!$I$9*VLOOKUP(AI5,Scores!$A$15:$B$18,2)+Scores!$J$9*VLOOKUP(AJ5,Scores!$A$15:$B$18,2)</f>
        <v>60</v>
      </c>
      <c r="AI6" s="6">
        <f>Scores!$L$9*VLOOKUP(AG5,Scores!$A$15:$B$18,2)+Scores!$M$9*VLOOKUP(AH5,Scores!$A$15:$B$18,2)+Scores!$N$9*VLOOKUP(AI5,Scores!$A$15:$B$18,2)+Scores!$O$9*VLOOKUP(AJ5,Scores!$A$15:$B$18,2)</f>
        <v>0</v>
      </c>
      <c r="AJ6" s="7"/>
      <c r="AK6" s="7"/>
      <c r="AL6" s="6">
        <f>Scores!$B$10*VLOOKUP(AL5,Scores!$A$15:$B$18,2)+Scores!$C$10*VLOOKUP(AM5,Scores!$A$15:$B$18,2)+Scores!$D$10*VLOOKUP(AN5,Scores!$A$15:$B$18,2)+Scores!$E$10*VLOOKUP(AO5,Scores!$A$15:$B$18,2)</f>
        <v>0</v>
      </c>
      <c r="AM6" s="6">
        <f>Scores!$G$10*VLOOKUP(AL5,Scores!$A$15:$B$18,2)+Scores!$H$10*VLOOKUP(AM5,Scores!$A$15:$B$18,2)+Scores!$I$10*VLOOKUP(AN5,Scores!$A$15:$B$18,2)+Scores!$J$10*VLOOKUP(AO5,Scores!$A$15:$B$18,2)</f>
        <v>0</v>
      </c>
      <c r="AN6" s="6">
        <f>Scores!$L$10*VLOOKUP(AL5,Scores!$A$15:$B$18,2)+Scores!$M$10*VLOOKUP(AM5,Scores!$A$15:$B$18,2)+Scores!$N$10*VLOOKUP(AN5,Scores!$A$15:$B$18,2)+Scores!$O$10*VLOOKUP(AO5,Scores!$A$15:$B$18,2)</f>
        <v>0</v>
      </c>
      <c r="AO6" s="7"/>
    </row>
    <row r="7" spans="1:49" x14ac:dyDescent="0.25">
      <c r="A7" t="s">
        <v>88</v>
      </c>
      <c r="B7" t="s">
        <v>19</v>
      </c>
      <c r="C7">
        <v>1</v>
      </c>
      <c r="D7">
        <v>3</v>
      </c>
      <c r="E7">
        <v>4</v>
      </c>
      <c r="F7">
        <v>2</v>
      </c>
      <c r="H7">
        <v>4</v>
      </c>
      <c r="I7">
        <v>1</v>
      </c>
      <c r="J7">
        <v>3</v>
      </c>
      <c r="K7">
        <v>2</v>
      </c>
      <c r="M7">
        <v>3</v>
      </c>
      <c r="N7">
        <v>1</v>
      </c>
      <c r="O7">
        <v>4</v>
      </c>
      <c r="P7">
        <v>2</v>
      </c>
      <c r="R7">
        <v>4</v>
      </c>
      <c r="S7">
        <v>2</v>
      </c>
      <c r="T7">
        <v>3</v>
      </c>
      <c r="U7">
        <v>1</v>
      </c>
      <c r="W7">
        <v>2</v>
      </c>
      <c r="X7">
        <v>3</v>
      </c>
      <c r="Y7">
        <v>1</v>
      </c>
      <c r="Z7">
        <v>4</v>
      </c>
      <c r="AB7">
        <v>1</v>
      </c>
      <c r="AC7">
        <v>3</v>
      </c>
      <c r="AD7">
        <v>4</v>
      </c>
      <c r="AE7">
        <v>2</v>
      </c>
      <c r="AG7">
        <v>2</v>
      </c>
      <c r="AH7">
        <v>1</v>
      </c>
      <c r="AI7">
        <v>3</v>
      </c>
      <c r="AJ7">
        <v>4</v>
      </c>
      <c r="AL7">
        <v>2</v>
      </c>
      <c r="AM7">
        <v>1</v>
      </c>
      <c r="AN7">
        <v>3</v>
      </c>
      <c r="AO7">
        <v>4</v>
      </c>
      <c r="AQ7" s="9">
        <f>((C8+H8+M8+R8+W8)-Scores!$E$15)/(Scores!$I$15-Scores!$E$15)</f>
        <v>0.91379310344827591</v>
      </c>
      <c r="AR7" s="9">
        <f>((D8+I8+N8+S8+X8)-Scores!$E$16)/(Scores!$I$16-Scores!$E$16)</f>
        <v>0.52413793103448281</v>
      </c>
      <c r="AS7" s="9">
        <f>((E8+J8+O8+T8+Y8)-Scores!$E$17)/(Scores!$I$17-Scores!$E$17)</f>
        <v>0.41379310344827586</v>
      </c>
      <c r="AT7" s="9"/>
      <c r="AU7" s="9">
        <f>((AB8+AG8+AL8)-Scores!$F$15)/(Scores!$J$15-Scores!$F$15)</f>
        <v>0.93103448275862066</v>
      </c>
      <c r="AV7" s="9">
        <f>((AC8+AH8+AM8)-Scores!$F$16)/(Scores!$J$16-Scores!$F$16)</f>
        <v>0.5</v>
      </c>
      <c r="AW7" s="9">
        <f>((AD8+AI8+AN8)-Scores!$F$17)/(Scores!$J$17-Scores!$F$17)</f>
        <v>0.58620689655172409</v>
      </c>
    </row>
    <row r="8" spans="1:49" s="5" customFormat="1" ht="11.25" x14ac:dyDescent="0.2">
      <c r="C8" s="6">
        <f>Scores!$B$3*VLOOKUP(C7,Scores!$A$15:$B$18,2)+Scores!$C$3*VLOOKUP(D7,Scores!$A$15:$B$18,2)+Scores!$D$3*VLOOKUP(E7,Scores!$A$15:$B$18,2)+Scores!$E$3*VLOOKUP(F7,Scores!$A$15:$B$18,2)</f>
        <v>0</v>
      </c>
      <c r="D8" s="6">
        <f>Scores!$G$3*VLOOKUP(C7,Scores!$A$15:$B$18,2)+Scores!$H$3*VLOOKUP(D7,Scores!$A$15:$B$18,2)+Scores!$I$3*VLOOKUP(E7,Scores!$A$15:$B$18,2)+Scores!$J$3*VLOOKUP(F7,Scores!$A$15:$B$18,2)</f>
        <v>60</v>
      </c>
      <c r="E8" s="6">
        <f>Scores!$L$3*VLOOKUP(C7,Scores!$A$15:$B$18,2)+Scores!$M$3*VLOOKUP(D7,Scores!$A$15:$B$18,2)+Scores!$N$3*VLOOKUP(E7,Scores!$A$15:$B$18,2)+Scores!$O$3*VLOOKUP(F7,Scores!$A$15:$B$18,2)</f>
        <v>0</v>
      </c>
      <c r="F8" s="7"/>
      <c r="G8" s="7"/>
      <c r="H8" s="6">
        <f>Scores!$B$4*VLOOKUP(H7,Scores!$A$15:$B$18,2)+Scores!$C$4*VLOOKUP(I7,Scores!$A$15:$B$18,2)+Scores!$D$4*VLOOKUP(J7,Scores!$A$15:$B$18,2)+Scores!$E$4*VLOOKUP(K7,Scores!$A$15:$B$18,2)</f>
        <v>60</v>
      </c>
      <c r="I8" s="6">
        <f>Scores!$G$4*VLOOKUP(H7,Scores!$A$15:$B$18,2)+Scores!$H$4*VLOOKUP(I7,Scores!$A$15:$B$18,2)+Scores!$I$4*VLOOKUP(J7,Scores!$A$15:$B$18,2)+Scores!$J$4*VLOOKUP(K7,Scores!$A$15:$B$18,2)</f>
        <v>35</v>
      </c>
      <c r="J8" s="6">
        <f>Scores!$L$4*VLOOKUP(H7,Scores!$A$15:$B$18,2)+Scores!$M$4*VLOOKUP(I7,Scores!$A$15:$B$18,2)+Scores!$N$4*VLOOKUP(J7,Scores!$A$15:$B$18,2)+Scores!$O$4*VLOOKUP(K7,Scores!$A$15:$B$18,2)</f>
        <v>0</v>
      </c>
      <c r="K8" s="7"/>
      <c r="L8" s="7"/>
      <c r="M8" s="6">
        <f>Scores!$B$5*VLOOKUP(M7,Scores!$A$15:$B$18,2)+Scores!$C$5*VLOOKUP(N7,Scores!$A$15:$B$18,2)+Scores!$D$5*VLOOKUP(O7,Scores!$A$15:$B$18,2)+Scores!$E$5*VLOOKUP(P7,Scores!$A$15:$B$18,2)</f>
        <v>62</v>
      </c>
      <c r="N8" s="6">
        <f>Scores!$G$5*VLOOKUP(M7,Scores!$A$15:$B$18,2)+Scores!$H$5*VLOOKUP(N7,Scores!$A$15:$B$18,2)+Scores!$I$5*VLOOKUP(O7,Scores!$A$15:$B$18,2)+Scores!$J$5*VLOOKUP(P7,Scores!$A$15:$B$18,2)</f>
        <v>39</v>
      </c>
      <c r="O8" s="6">
        <f>Scores!$L$5*VLOOKUP(M7,Scores!$A$15:$B$18,2)+Scores!$M$5*VLOOKUP(N7,Scores!$A$15:$B$18,2)+Scores!$N$5*VLOOKUP(O7,Scores!$A$15:$B$18,2)+Scores!$O$5*VLOOKUP(P7,Scores!$A$15:$B$18,2)</f>
        <v>0</v>
      </c>
      <c r="P8" s="7"/>
      <c r="Q8" s="7"/>
      <c r="R8" s="6">
        <f>Scores!$B$6*VLOOKUP(R7,Scores!$A$15:$B$18,2)+Scores!$C$6*VLOOKUP(S7,Scores!$A$15:$B$18,2)+Scores!$D$6*VLOOKUP(T7,Scores!$A$15:$B$18,2)+Scores!$E$6*VLOOKUP(U7,Scores!$A$15:$B$18,2)</f>
        <v>54</v>
      </c>
      <c r="S8" s="6">
        <f>Scores!$G$6*VLOOKUP(R7,Scores!$A$15:$B$18,2)+Scores!$H$6*VLOOKUP(S7,Scores!$A$15:$B$18,2)+Scores!$I$6*VLOOKUP(T7,Scores!$A$15:$B$18,2)+Scores!$J$6*VLOOKUP(U7,Scores!$A$15:$B$18,2)</f>
        <v>45</v>
      </c>
      <c r="T8" s="6">
        <f>Scores!$L$6*VLOOKUP(R7,Scores!$A$15:$B$18,2)+Scores!$M$6*VLOOKUP(S7,Scores!$A$15:$B$18,2)+Scores!$N$6*VLOOKUP(T7,Scores!$A$15:$B$18,2)+Scores!$O$6*VLOOKUP(U7,Scores!$A$15:$B$18,2)</f>
        <v>40</v>
      </c>
      <c r="U8" s="7"/>
      <c r="V8" s="7"/>
      <c r="W8" s="6">
        <f>Scores!$B$7*VLOOKUP(W7,Scores!$A$15:$B$18,2)+Scores!$C$7*VLOOKUP(X7,Scores!$A$15:$B$18,2)+Scores!$D$7*VLOOKUP(Y7,Scores!$A$15:$B$18,2)+Scores!$E$7*VLOOKUP(Z7,Scores!$A$15:$B$18,2)</f>
        <v>62</v>
      </c>
      <c r="X8" s="6">
        <f>Scores!$G$7*VLOOKUP(W7,Scores!$A$15:$B$18,2)+Scores!$H$7*VLOOKUP(X7,Scores!$A$15:$B$18,2)+Scores!$I$7*VLOOKUP(Y7,Scores!$A$15:$B$18,2)+Scores!$J$7*VLOOKUP(Z7,Scores!$A$15:$B$18,2)</f>
        <v>62</v>
      </c>
      <c r="Y8" s="6">
        <f>Scores!$L$7*VLOOKUP(W7,Scores!$A$15:$B$18,2)+Scores!$M$7*VLOOKUP(X7,Scores!$A$15:$B$18,2)+Scores!$N$7*VLOOKUP(Y7,Scores!$A$15:$B$18,2)+Scores!$O$7*VLOOKUP(Z7,Scores!$A$15:$B$18,2)</f>
        <v>50</v>
      </c>
      <c r="Z8" s="7"/>
      <c r="AA8" s="7"/>
      <c r="AB8" s="6">
        <f>Scores!$B$8*VLOOKUP(AB7,Scores!$A$15:$B$18,2)+Scores!$C$8*VLOOKUP(AC7,Scores!$A$15:$B$18,2)+Scores!$D$8*VLOOKUP(AD7,Scores!$A$15:$B$18,2)+Scores!$E$8*VLOOKUP(AE7,Scores!$A$15:$B$18,2)</f>
        <v>60</v>
      </c>
      <c r="AC8" s="6">
        <f>Scores!$G$8*VLOOKUP(AB7,Scores!$A$15:$B$18,2)+Scores!$H$8*VLOOKUP(AC7,Scores!$A$15:$B$18,2)+Scores!$I$8*VLOOKUP(AD7,Scores!$A$15:$B$18,2)+Scores!$J$8*VLOOKUP(AE7,Scores!$A$15:$B$18,2)</f>
        <v>62</v>
      </c>
      <c r="AD8" s="6">
        <f>Scores!$L$8*VLOOKUP(AB7,Scores!$A$15:$B$18,2)+Scores!$M$8*VLOOKUP(AC7,Scores!$A$15:$B$18,2)+Scores!$N$8*VLOOKUP(AD7,Scores!$A$15:$B$18,2)+Scores!$O$8*VLOOKUP(AE7,Scores!$A$15:$B$18,2)</f>
        <v>50</v>
      </c>
      <c r="AE8" s="7"/>
      <c r="AF8" s="7"/>
      <c r="AG8" s="6">
        <f>Scores!$B$9*VLOOKUP(AG7,Scores!$A$15:$B$18,2)+Scores!$C$9*VLOOKUP(AH7,Scores!$A$15:$B$18,2)+Scores!$D$9*VLOOKUP(AI7,Scores!$A$15:$B$18,2)+Scores!$E$9*VLOOKUP(AJ7,Scores!$A$15:$B$18,2)</f>
        <v>0</v>
      </c>
      <c r="AH8" s="6">
        <f>Scores!$G$9*VLOOKUP(AG7,Scores!$A$15:$B$18,2)+Scores!$H$9*VLOOKUP(AH7,Scores!$A$15:$B$18,2)+Scores!$I$9*VLOOKUP(AI7,Scores!$A$15:$B$18,2)+Scores!$J$9*VLOOKUP(AJ7,Scores!$A$15:$B$18,2)</f>
        <v>33</v>
      </c>
      <c r="AI8" s="6">
        <f>Scores!$L$9*VLOOKUP(AG7,Scores!$A$15:$B$18,2)+Scores!$M$9*VLOOKUP(AH7,Scores!$A$15:$B$18,2)+Scores!$N$9*VLOOKUP(AI7,Scores!$A$15:$B$18,2)+Scores!$O$9*VLOOKUP(AJ7,Scores!$A$15:$B$18,2)</f>
        <v>0</v>
      </c>
      <c r="AJ8" s="7"/>
      <c r="AK8" s="7"/>
      <c r="AL8" s="6">
        <f>Scores!$B$10*VLOOKUP(AL7,Scores!$A$15:$B$18,2)+Scores!$C$10*VLOOKUP(AM7,Scores!$A$15:$B$18,2)+Scores!$D$10*VLOOKUP(AN7,Scores!$A$15:$B$18,2)+Scores!$E$10*VLOOKUP(AO7,Scores!$A$15:$B$18,2)</f>
        <v>0</v>
      </c>
      <c r="AM8" s="6">
        <f>Scores!$G$10*VLOOKUP(AL7,Scores!$A$15:$B$18,2)+Scores!$H$10*VLOOKUP(AM7,Scores!$A$15:$B$18,2)+Scores!$I$10*VLOOKUP(AN7,Scores!$A$15:$B$18,2)+Scores!$J$10*VLOOKUP(AO7,Scores!$A$15:$B$18,2)</f>
        <v>0</v>
      </c>
      <c r="AN8" s="6">
        <f>Scores!$L$10*VLOOKUP(AL7,Scores!$A$15:$B$18,2)+Scores!$M$10*VLOOKUP(AM7,Scores!$A$15:$B$18,2)+Scores!$N$10*VLOOKUP(AN7,Scores!$A$15:$B$18,2)+Scores!$O$10*VLOOKUP(AO7,Scores!$A$15:$B$18,2)</f>
        <v>0</v>
      </c>
      <c r="AO8" s="7"/>
    </row>
    <row r="9" spans="1:49" x14ac:dyDescent="0.25">
      <c r="A9" t="s">
        <v>19</v>
      </c>
      <c r="B9" t="s">
        <v>19</v>
      </c>
      <c r="C9">
        <v>1</v>
      </c>
      <c r="D9">
        <v>4</v>
      </c>
      <c r="E9">
        <v>3</v>
      </c>
      <c r="F9">
        <v>2</v>
      </c>
      <c r="H9">
        <v>4</v>
      </c>
      <c r="I9">
        <v>1</v>
      </c>
      <c r="J9">
        <v>3</v>
      </c>
      <c r="K9">
        <v>2</v>
      </c>
      <c r="M9">
        <v>3</v>
      </c>
      <c r="N9">
        <v>1</v>
      </c>
      <c r="O9">
        <v>4</v>
      </c>
      <c r="P9">
        <v>2</v>
      </c>
      <c r="R9">
        <v>4</v>
      </c>
      <c r="S9">
        <v>1</v>
      </c>
      <c r="T9">
        <v>3</v>
      </c>
      <c r="U9">
        <v>2</v>
      </c>
      <c r="W9">
        <v>2</v>
      </c>
      <c r="X9">
        <v>3</v>
      </c>
      <c r="Y9">
        <v>1</v>
      </c>
      <c r="Z9">
        <v>4</v>
      </c>
      <c r="AB9">
        <v>1</v>
      </c>
      <c r="AC9">
        <v>3</v>
      </c>
      <c r="AD9">
        <v>4</v>
      </c>
      <c r="AE9">
        <v>2</v>
      </c>
      <c r="AG9">
        <v>3</v>
      </c>
      <c r="AH9">
        <v>4</v>
      </c>
      <c r="AI9">
        <v>2</v>
      </c>
      <c r="AJ9">
        <v>1</v>
      </c>
      <c r="AL9">
        <v>3</v>
      </c>
      <c r="AM9">
        <v>1</v>
      </c>
      <c r="AN9">
        <v>2</v>
      </c>
      <c r="AO9">
        <v>4</v>
      </c>
      <c r="AQ9" s="9">
        <f>((C10+H10+M10+R10+W10)-Scores!$E$15)/(Scores!$I$15-Scores!$E$15)</f>
        <v>0.78448275862068961</v>
      </c>
      <c r="AR9" s="9">
        <f>((D10+I10+N10+S10+X10)-Scores!$E$16)/(Scores!$I$16-Scores!$E$16)</f>
        <v>0.4689655172413793</v>
      </c>
      <c r="AS9" s="9">
        <f>((E10+J10+O10+T10+Y10)-Scores!$E$17)/(Scores!$I$17-Scores!$E$17)</f>
        <v>0.32758620689655171</v>
      </c>
      <c r="AT9" s="9"/>
      <c r="AU9" s="9">
        <f>((AB10+AG10+AL10)-Scores!$F$15)/(Scores!$J$15-Scores!$F$15)</f>
        <v>0.93103448275862066</v>
      </c>
      <c r="AV9" s="9">
        <f>((AC10+AH10+AM10)-Scores!$F$16)/(Scores!$J$16-Scores!$F$16)</f>
        <v>1</v>
      </c>
      <c r="AW9" s="9">
        <f>((AD10+AI10+AN10)-Scores!$F$17)/(Scores!$J$17-Scores!$F$17)</f>
        <v>0.58620689655172409</v>
      </c>
    </row>
    <row r="10" spans="1:49" s="5" customFormat="1" ht="11.25" x14ac:dyDescent="0.2">
      <c r="C10" s="6">
        <f>Scores!$B$3*VLOOKUP(C9,Scores!$A$15:$B$18,2)+Scores!$C$3*VLOOKUP(D9,Scores!$A$15:$B$18,2)+Scores!$D$3*VLOOKUP(E9,Scores!$A$15:$B$18,2)+Scores!$E$3*VLOOKUP(F9,Scores!$A$15:$B$18,2)</f>
        <v>0</v>
      </c>
      <c r="D10" s="6">
        <f>Scores!$G$3*VLOOKUP(C9,Scores!$A$15:$B$18,2)+Scores!$H$3*VLOOKUP(D9,Scores!$A$15:$B$18,2)+Scores!$I$3*VLOOKUP(E9,Scores!$A$15:$B$18,2)+Scores!$J$3*VLOOKUP(F9,Scores!$A$15:$B$18,2)</f>
        <v>62</v>
      </c>
      <c r="E10" s="6">
        <f>Scores!$L$3*VLOOKUP(C9,Scores!$A$15:$B$18,2)+Scores!$M$3*VLOOKUP(D9,Scores!$A$15:$B$18,2)+Scores!$N$3*VLOOKUP(E9,Scores!$A$15:$B$18,2)+Scores!$O$3*VLOOKUP(F9,Scores!$A$15:$B$18,2)</f>
        <v>0</v>
      </c>
      <c r="F10" s="7"/>
      <c r="G10" s="7"/>
      <c r="H10" s="6">
        <f>Scores!$B$4*VLOOKUP(H9,Scores!$A$15:$B$18,2)+Scores!$C$4*VLOOKUP(I9,Scores!$A$15:$B$18,2)+Scores!$D$4*VLOOKUP(J9,Scores!$A$15:$B$18,2)+Scores!$E$4*VLOOKUP(K9,Scores!$A$15:$B$18,2)</f>
        <v>60</v>
      </c>
      <c r="I10" s="6">
        <f>Scores!$G$4*VLOOKUP(H9,Scores!$A$15:$B$18,2)+Scores!$H$4*VLOOKUP(I9,Scores!$A$15:$B$18,2)+Scores!$I$4*VLOOKUP(J9,Scores!$A$15:$B$18,2)+Scores!$J$4*VLOOKUP(K9,Scores!$A$15:$B$18,2)</f>
        <v>35</v>
      </c>
      <c r="J10" s="6">
        <f>Scores!$L$4*VLOOKUP(H9,Scores!$A$15:$B$18,2)+Scores!$M$4*VLOOKUP(I9,Scores!$A$15:$B$18,2)+Scores!$N$4*VLOOKUP(J9,Scores!$A$15:$B$18,2)+Scores!$O$4*VLOOKUP(K9,Scores!$A$15:$B$18,2)</f>
        <v>0</v>
      </c>
      <c r="K10" s="7"/>
      <c r="L10" s="7"/>
      <c r="M10" s="6">
        <f>Scores!$B$5*VLOOKUP(M9,Scores!$A$15:$B$18,2)+Scores!$C$5*VLOOKUP(N9,Scores!$A$15:$B$18,2)+Scores!$D$5*VLOOKUP(O9,Scores!$A$15:$B$18,2)+Scores!$E$5*VLOOKUP(P9,Scores!$A$15:$B$18,2)</f>
        <v>62</v>
      </c>
      <c r="N10" s="6">
        <f>Scores!$G$5*VLOOKUP(M9,Scores!$A$15:$B$18,2)+Scores!$H$5*VLOOKUP(N9,Scores!$A$15:$B$18,2)+Scores!$I$5*VLOOKUP(O9,Scores!$A$15:$B$18,2)+Scores!$J$5*VLOOKUP(P9,Scores!$A$15:$B$18,2)</f>
        <v>39</v>
      </c>
      <c r="O10" s="6">
        <f>Scores!$L$5*VLOOKUP(M9,Scores!$A$15:$B$18,2)+Scores!$M$5*VLOOKUP(N9,Scores!$A$15:$B$18,2)+Scores!$N$5*VLOOKUP(O9,Scores!$A$15:$B$18,2)+Scores!$O$5*VLOOKUP(P9,Scores!$A$15:$B$18,2)</f>
        <v>0</v>
      </c>
      <c r="P10" s="7"/>
      <c r="Q10" s="7"/>
      <c r="R10" s="6">
        <f>Scores!$B$6*VLOOKUP(R9,Scores!$A$15:$B$18,2)+Scores!$C$6*VLOOKUP(S9,Scores!$A$15:$B$18,2)+Scores!$D$6*VLOOKUP(T9,Scores!$A$15:$B$18,2)+Scores!$E$6*VLOOKUP(U9,Scores!$A$15:$B$18,2)</f>
        <v>39</v>
      </c>
      <c r="S10" s="6">
        <f>Scores!$G$6*VLOOKUP(R9,Scores!$A$15:$B$18,2)+Scores!$H$6*VLOOKUP(S9,Scores!$A$15:$B$18,2)+Scores!$I$6*VLOOKUP(T9,Scores!$A$15:$B$18,2)+Scores!$J$6*VLOOKUP(U9,Scores!$A$15:$B$18,2)</f>
        <v>35</v>
      </c>
      <c r="T10" s="6">
        <f>Scores!$L$6*VLOOKUP(R9,Scores!$A$15:$B$18,2)+Scores!$M$6*VLOOKUP(S9,Scores!$A$15:$B$18,2)+Scores!$N$6*VLOOKUP(T9,Scores!$A$15:$B$18,2)+Scores!$O$6*VLOOKUP(U9,Scores!$A$15:$B$18,2)</f>
        <v>35</v>
      </c>
      <c r="U10" s="7"/>
      <c r="V10" s="7"/>
      <c r="W10" s="6">
        <f>Scores!$B$7*VLOOKUP(W9,Scores!$A$15:$B$18,2)+Scores!$C$7*VLOOKUP(X9,Scores!$A$15:$B$18,2)+Scores!$D$7*VLOOKUP(Y9,Scores!$A$15:$B$18,2)+Scores!$E$7*VLOOKUP(Z9,Scores!$A$15:$B$18,2)</f>
        <v>62</v>
      </c>
      <c r="X10" s="6">
        <f>Scores!$G$7*VLOOKUP(W9,Scores!$A$15:$B$18,2)+Scores!$H$7*VLOOKUP(X9,Scores!$A$15:$B$18,2)+Scores!$I$7*VLOOKUP(Y9,Scores!$A$15:$B$18,2)+Scores!$J$7*VLOOKUP(Z9,Scores!$A$15:$B$18,2)</f>
        <v>62</v>
      </c>
      <c r="Y10" s="6">
        <f>Scores!$L$7*VLOOKUP(W9,Scores!$A$15:$B$18,2)+Scores!$M$7*VLOOKUP(X9,Scores!$A$15:$B$18,2)+Scores!$N$7*VLOOKUP(Y9,Scores!$A$15:$B$18,2)+Scores!$O$7*VLOOKUP(Z9,Scores!$A$15:$B$18,2)</f>
        <v>50</v>
      </c>
      <c r="Z10" s="7"/>
      <c r="AA10" s="7"/>
      <c r="AB10" s="6">
        <f>Scores!$B$8*VLOOKUP(AB9,Scores!$A$15:$B$18,2)+Scores!$C$8*VLOOKUP(AC9,Scores!$A$15:$B$18,2)+Scores!$D$8*VLOOKUP(AD9,Scores!$A$15:$B$18,2)+Scores!$E$8*VLOOKUP(AE9,Scores!$A$15:$B$18,2)</f>
        <v>60</v>
      </c>
      <c r="AC10" s="6">
        <f>Scores!$G$8*VLOOKUP(AB9,Scores!$A$15:$B$18,2)+Scores!$H$8*VLOOKUP(AC9,Scores!$A$15:$B$18,2)+Scores!$I$8*VLOOKUP(AD9,Scores!$A$15:$B$18,2)+Scores!$J$8*VLOOKUP(AE9,Scores!$A$15:$B$18,2)</f>
        <v>62</v>
      </c>
      <c r="AD10" s="6">
        <f>Scores!$L$8*VLOOKUP(AB9,Scores!$A$15:$B$18,2)+Scores!$M$8*VLOOKUP(AC9,Scores!$A$15:$B$18,2)+Scores!$N$8*VLOOKUP(AD9,Scores!$A$15:$B$18,2)+Scores!$O$8*VLOOKUP(AE9,Scores!$A$15:$B$18,2)</f>
        <v>50</v>
      </c>
      <c r="AE10" s="7"/>
      <c r="AF10" s="7"/>
      <c r="AG10" s="6">
        <f>Scores!$B$9*VLOOKUP(AG9,Scores!$A$15:$B$18,2)+Scores!$C$9*VLOOKUP(AH9,Scores!$A$15:$B$18,2)+Scores!$D$9*VLOOKUP(AI9,Scores!$A$15:$B$18,2)+Scores!$E$9*VLOOKUP(AJ9,Scores!$A$15:$B$18,2)</f>
        <v>0</v>
      </c>
      <c r="AH10" s="6">
        <f>Scores!$G$9*VLOOKUP(AG9,Scores!$A$15:$B$18,2)+Scores!$H$9*VLOOKUP(AH9,Scores!$A$15:$B$18,2)+Scores!$I$9*VLOOKUP(AI9,Scores!$A$15:$B$18,2)+Scores!$J$9*VLOOKUP(AJ9,Scores!$A$15:$B$18,2)</f>
        <v>62</v>
      </c>
      <c r="AI10" s="6">
        <f>Scores!$L$9*VLOOKUP(AG9,Scores!$A$15:$B$18,2)+Scores!$M$9*VLOOKUP(AH9,Scores!$A$15:$B$18,2)+Scores!$N$9*VLOOKUP(AI9,Scores!$A$15:$B$18,2)+Scores!$O$9*VLOOKUP(AJ9,Scores!$A$15:$B$18,2)</f>
        <v>0</v>
      </c>
      <c r="AJ10" s="7"/>
      <c r="AK10" s="7"/>
      <c r="AL10" s="6">
        <f>Scores!$B$10*VLOOKUP(AL9,Scores!$A$15:$B$18,2)+Scores!$C$10*VLOOKUP(AM9,Scores!$A$15:$B$18,2)+Scores!$D$10*VLOOKUP(AN9,Scores!$A$15:$B$18,2)+Scores!$E$10*VLOOKUP(AO9,Scores!$A$15:$B$18,2)</f>
        <v>0</v>
      </c>
      <c r="AM10" s="6">
        <f>Scores!$G$10*VLOOKUP(AL9,Scores!$A$15:$B$18,2)+Scores!$H$10*VLOOKUP(AM9,Scores!$A$15:$B$18,2)+Scores!$I$10*VLOOKUP(AN9,Scores!$A$15:$B$18,2)+Scores!$J$10*VLOOKUP(AO9,Scores!$A$15:$B$18,2)</f>
        <v>0</v>
      </c>
      <c r="AN10" s="6">
        <f>Scores!$L$10*VLOOKUP(AL9,Scores!$A$15:$B$18,2)+Scores!$M$10*VLOOKUP(AM9,Scores!$A$15:$B$18,2)+Scores!$N$10*VLOOKUP(AN9,Scores!$A$15:$B$18,2)+Scores!$O$10*VLOOKUP(AO9,Scores!$A$15:$B$18,2)</f>
        <v>0</v>
      </c>
      <c r="AO10" s="7"/>
    </row>
    <row r="11" spans="1:49" x14ac:dyDescent="0.25">
      <c r="A11" t="s">
        <v>89</v>
      </c>
      <c r="B11" t="s">
        <v>19</v>
      </c>
      <c r="C11">
        <v>1</v>
      </c>
      <c r="D11">
        <v>4</v>
      </c>
      <c r="E11">
        <v>3</v>
      </c>
      <c r="F11">
        <v>2</v>
      </c>
      <c r="H11">
        <v>3</v>
      </c>
      <c r="I11">
        <v>4</v>
      </c>
      <c r="J11">
        <v>2</v>
      </c>
      <c r="K11">
        <v>1</v>
      </c>
      <c r="M11">
        <v>2</v>
      </c>
      <c r="N11">
        <v>3</v>
      </c>
      <c r="O11">
        <v>4</v>
      </c>
      <c r="P11">
        <v>1</v>
      </c>
      <c r="R11">
        <v>3</v>
      </c>
      <c r="S11">
        <v>4</v>
      </c>
      <c r="T11">
        <v>2</v>
      </c>
      <c r="U11">
        <v>1</v>
      </c>
      <c r="W11">
        <v>1</v>
      </c>
      <c r="X11">
        <v>3</v>
      </c>
      <c r="Y11">
        <v>2</v>
      </c>
      <c r="Z11">
        <v>4</v>
      </c>
      <c r="AB11">
        <v>1</v>
      </c>
      <c r="AC11">
        <v>3</v>
      </c>
      <c r="AD11">
        <v>4</v>
      </c>
      <c r="AE11">
        <v>2</v>
      </c>
      <c r="AG11">
        <v>3</v>
      </c>
      <c r="AH11">
        <v>4</v>
      </c>
      <c r="AI11">
        <v>2</v>
      </c>
      <c r="AJ11">
        <v>1</v>
      </c>
      <c r="AL11">
        <v>1</v>
      </c>
      <c r="AM11">
        <v>2</v>
      </c>
      <c r="AN11">
        <v>3</v>
      </c>
      <c r="AO11">
        <v>4</v>
      </c>
      <c r="AQ11" s="9">
        <f>((C12+H12+M12+R12+W12)-Scores!$E$15)/(Scores!$I$15-Scores!$E$15)</f>
        <v>0.68965517241379315</v>
      </c>
      <c r="AR11" s="9">
        <f>((D12+I12+N12+S12+X12)-Scores!$E$16)/(Scores!$I$16-Scores!$E$16)</f>
        <v>0.7931034482758621</v>
      </c>
      <c r="AS11" s="9">
        <f>((E12+J12+O12+T12+Y12)-Scores!$E$17)/(Scores!$I$17-Scores!$E$17)</f>
        <v>0.75862068965517238</v>
      </c>
      <c r="AT11" s="9"/>
      <c r="AU11" s="9">
        <f>((AB12+AG12+AL12)-Scores!$F$15)/(Scores!$J$15-Scores!$F$15)</f>
        <v>0.93103448275862066</v>
      </c>
      <c r="AV11" s="9">
        <f>((AC12+AH12+AM12)-Scores!$F$16)/(Scores!$J$16-Scores!$F$16)</f>
        <v>1</v>
      </c>
      <c r="AW11" s="9">
        <f>((AD12+AI12+AN12)-Scores!$F$17)/(Scores!$J$17-Scores!$F$17)</f>
        <v>0.58620689655172409</v>
      </c>
    </row>
    <row r="12" spans="1:49" s="5" customFormat="1" ht="11.25" x14ac:dyDescent="0.2">
      <c r="C12" s="6">
        <f>Scores!$B$3*VLOOKUP(C11,Scores!$A$15:$B$18,2)+Scores!$C$3*VLOOKUP(D11,Scores!$A$15:$B$18,2)+Scores!$D$3*VLOOKUP(E11,Scores!$A$15:$B$18,2)+Scores!$E$3*VLOOKUP(F11,Scores!$A$15:$B$18,2)</f>
        <v>0</v>
      </c>
      <c r="D12" s="6">
        <f>Scores!$G$3*VLOOKUP(C11,Scores!$A$15:$B$18,2)+Scores!$H$3*VLOOKUP(D11,Scores!$A$15:$B$18,2)+Scores!$I$3*VLOOKUP(E11,Scores!$A$15:$B$18,2)+Scores!$J$3*VLOOKUP(F11,Scores!$A$15:$B$18,2)</f>
        <v>62</v>
      </c>
      <c r="E12" s="6">
        <f>Scores!$L$3*VLOOKUP(C11,Scores!$A$15:$B$18,2)+Scores!$M$3*VLOOKUP(D11,Scores!$A$15:$B$18,2)+Scores!$N$3*VLOOKUP(E11,Scores!$A$15:$B$18,2)+Scores!$O$3*VLOOKUP(F11,Scores!$A$15:$B$18,2)</f>
        <v>0</v>
      </c>
      <c r="F12" s="7"/>
      <c r="G12" s="7"/>
      <c r="H12" s="6">
        <f>Scores!$B$4*VLOOKUP(H11,Scores!$A$15:$B$18,2)+Scores!$C$4*VLOOKUP(I11,Scores!$A$15:$B$18,2)+Scores!$D$4*VLOOKUP(J11,Scores!$A$15:$B$18,2)+Scores!$E$4*VLOOKUP(K11,Scores!$A$15:$B$18,2)</f>
        <v>42</v>
      </c>
      <c r="I12" s="6">
        <f>Scores!$G$4*VLOOKUP(H11,Scores!$A$15:$B$18,2)+Scores!$H$4*VLOOKUP(I11,Scores!$A$15:$B$18,2)+Scores!$I$4*VLOOKUP(J11,Scores!$A$15:$B$18,2)+Scores!$J$4*VLOOKUP(K11,Scores!$A$15:$B$18,2)</f>
        <v>53</v>
      </c>
      <c r="J12" s="6">
        <f>Scores!$L$4*VLOOKUP(H11,Scores!$A$15:$B$18,2)+Scores!$M$4*VLOOKUP(I11,Scores!$A$15:$B$18,2)+Scores!$N$4*VLOOKUP(J11,Scores!$A$15:$B$18,2)+Scores!$O$4*VLOOKUP(K11,Scores!$A$15:$B$18,2)</f>
        <v>0</v>
      </c>
      <c r="K12" s="7"/>
      <c r="L12" s="7"/>
      <c r="M12" s="6">
        <f>Scores!$B$5*VLOOKUP(M11,Scores!$A$15:$B$18,2)+Scores!$C$5*VLOOKUP(N11,Scores!$A$15:$B$18,2)+Scores!$D$5*VLOOKUP(O11,Scores!$A$15:$B$18,2)+Scores!$E$5*VLOOKUP(P11,Scores!$A$15:$B$18,2)</f>
        <v>53</v>
      </c>
      <c r="N12" s="6">
        <f>Scores!$G$5*VLOOKUP(M11,Scores!$A$15:$B$18,2)+Scores!$H$5*VLOOKUP(N11,Scores!$A$15:$B$18,2)+Scores!$I$5*VLOOKUP(O11,Scores!$A$15:$B$18,2)+Scores!$J$5*VLOOKUP(P11,Scores!$A$15:$B$18,2)</f>
        <v>55</v>
      </c>
      <c r="O12" s="6">
        <f>Scores!$L$5*VLOOKUP(M11,Scores!$A$15:$B$18,2)+Scores!$M$5*VLOOKUP(N11,Scores!$A$15:$B$18,2)+Scores!$N$5*VLOOKUP(O11,Scores!$A$15:$B$18,2)+Scores!$O$5*VLOOKUP(P11,Scores!$A$15:$B$18,2)</f>
        <v>0</v>
      </c>
      <c r="P12" s="7"/>
      <c r="Q12" s="7"/>
      <c r="R12" s="6">
        <f>Scores!$B$6*VLOOKUP(R11,Scores!$A$15:$B$18,2)+Scores!$C$6*VLOOKUP(S11,Scores!$A$15:$B$18,2)+Scores!$D$6*VLOOKUP(T11,Scores!$A$15:$B$18,2)+Scores!$E$6*VLOOKUP(U11,Scores!$A$15:$B$18,2)</f>
        <v>60</v>
      </c>
      <c r="S12" s="6">
        <f>Scores!$G$6*VLOOKUP(R11,Scores!$A$15:$B$18,2)+Scores!$H$6*VLOOKUP(S11,Scores!$A$15:$B$18,2)+Scores!$I$6*VLOOKUP(T11,Scores!$A$15:$B$18,2)+Scores!$J$6*VLOOKUP(U11,Scores!$A$15:$B$18,2)</f>
        <v>53</v>
      </c>
      <c r="T12" s="6">
        <f>Scores!$L$6*VLOOKUP(R11,Scores!$A$15:$B$18,2)+Scores!$M$6*VLOOKUP(S11,Scores!$A$15:$B$18,2)+Scores!$N$6*VLOOKUP(T11,Scores!$A$15:$B$18,2)+Scores!$O$6*VLOOKUP(U11,Scores!$A$15:$B$18,2)</f>
        <v>50</v>
      </c>
      <c r="U12" s="7"/>
      <c r="V12" s="7"/>
      <c r="W12" s="6">
        <f>Scores!$B$7*VLOOKUP(W11,Scores!$A$15:$B$18,2)+Scores!$C$7*VLOOKUP(X11,Scores!$A$15:$B$18,2)+Scores!$D$7*VLOOKUP(Y11,Scores!$A$15:$B$18,2)+Scores!$E$7*VLOOKUP(Z11,Scores!$A$15:$B$18,2)</f>
        <v>57</v>
      </c>
      <c r="X12" s="6">
        <f>Scores!$G$7*VLOOKUP(W11,Scores!$A$15:$B$18,2)+Scores!$H$7*VLOOKUP(X11,Scores!$A$15:$B$18,2)+Scores!$I$7*VLOOKUP(Y11,Scores!$A$15:$B$18,2)+Scores!$J$7*VLOOKUP(Z11,Scores!$A$15:$B$18,2)</f>
        <v>57</v>
      </c>
      <c r="Y12" s="6">
        <f>Scores!$L$7*VLOOKUP(W11,Scores!$A$15:$B$18,2)+Scores!$M$7*VLOOKUP(X11,Scores!$A$15:$B$18,2)+Scores!$N$7*VLOOKUP(Y11,Scores!$A$15:$B$18,2)+Scores!$O$7*VLOOKUP(Z11,Scores!$A$15:$B$18,2)</f>
        <v>60</v>
      </c>
      <c r="Z12" s="7"/>
      <c r="AA12" s="7"/>
      <c r="AB12" s="6">
        <f>Scores!$B$8*VLOOKUP(AB11,Scores!$A$15:$B$18,2)+Scores!$C$8*VLOOKUP(AC11,Scores!$A$15:$B$18,2)+Scores!$D$8*VLOOKUP(AD11,Scores!$A$15:$B$18,2)+Scores!$E$8*VLOOKUP(AE11,Scores!$A$15:$B$18,2)</f>
        <v>60</v>
      </c>
      <c r="AC12" s="6">
        <f>Scores!$G$8*VLOOKUP(AB11,Scores!$A$15:$B$18,2)+Scores!$H$8*VLOOKUP(AC11,Scores!$A$15:$B$18,2)+Scores!$I$8*VLOOKUP(AD11,Scores!$A$15:$B$18,2)+Scores!$J$8*VLOOKUP(AE11,Scores!$A$15:$B$18,2)</f>
        <v>62</v>
      </c>
      <c r="AD12" s="6">
        <f>Scores!$L$8*VLOOKUP(AB11,Scores!$A$15:$B$18,2)+Scores!$M$8*VLOOKUP(AC11,Scores!$A$15:$B$18,2)+Scores!$N$8*VLOOKUP(AD11,Scores!$A$15:$B$18,2)+Scores!$O$8*VLOOKUP(AE11,Scores!$A$15:$B$18,2)</f>
        <v>50</v>
      </c>
      <c r="AE12" s="7"/>
      <c r="AF12" s="7"/>
      <c r="AG12" s="6">
        <f>Scores!$B$9*VLOOKUP(AG11,Scores!$A$15:$B$18,2)+Scores!$C$9*VLOOKUP(AH11,Scores!$A$15:$B$18,2)+Scores!$D$9*VLOOKUP(AI11,Scores!$A$15:$B$18,2)+Scores!$E$9*VLOOKUP(AJ11,Scores!$A$15:$B$18,2)</f>
        <v>0</v>
      </c>
      <c r="AH12" s="6">
        <f>Scores!$G$9*VLOOKUP(AG11,Scores!$A$15:$B$18,2)+Scores!$H$9*VLOOKUP(AH11,Scores!$A$15:$B$18,2)+Scores!$I$9*VLOOKUP(AI11,Scores!$A$15:$B$18,2)+Scores!$J$9*VLOOKUP(AJ11,Scores!$A$15:$B$18,2)</f>
        <v>62</v>
      </c>
      <c r="AI12" s="6">
        <f>Scores!$L$9*VLOOKUP(AG11,Scores!$A$15:$B$18,2)+Scores!$M$9*VLOOKUP(AH11,Scores!$A$15:$B$18,2)+Scores!$N$9*VLOOKUP(AI11,Scores!$A$15:$B$18,2)+Scores!$O$9*VLOOKUP(AJ11,Scores!$A$15:$B$18,2)</f>
        <v>0</v>
      </c>
      <c r="AJ12" s="7"/>
      <c r="AK12" s="7"/>
      <c r="AL12" s="6">
        <f>Scores!$B$10*VLOOKUP(AL11,Scores!$A$15:$B$18,2)+Scores!$C$10*VLOOKUP(AM11,Scores!$A$15:$B$18,2)+Scores!$D$10*VLOOKUP(AN11,Scores!$A$15:$B$18,2)+Scores!$E$10*VLOOKUP(AO11,Scores!$A$15:$B$18,2)</f>
        <v>0</v>
      </c>
      <c r="AM12" s="6">
        <f>Scores!$G$10*VLOOKUP(AL11,Scores!$A$15:$B$18,2)+Scores!$H$10*VLOOKUP(AM11,Scores!$A$15:$B$18,2)+Scores!$I$10*VLOOKUP(AN11,Scores!$A$15:$B$18,2)+Scores!$J$10*VLOOKUP(AO11,Scores!$A$15:$B$18,2)</f>
        <v>0</v>
      </c>
      <c r="AN12" s="6">
        <f>Scores!$L$10*VLOOKUP(AL11,Scores!$A$15:$B$18,2)+Scores!$M$10*VLOOKUP(AM11,Scores!$A$15:$B$18,2)+Scores!$N$10*VLOOKUP(AN11,Scores!$A$15:$B$18,2)+Scores!$O$10*VLOOKUP(AO11,Scores!$A$15:$B$18,2)</f>
        <v>0</v>
      </c>
      <c r="AO12" s="7"/>
    </row>
    <row r="13" spans="1:49" x14ac:dyDescent="0.25">
      <c r="A13" t="s">
        <v>90</v>
      </c>
      <c r="B13" t="s">
        <v>19</v>
      </c>
      <c r="C13">
        <v>1</v>
      </c>
      <c r="D13">
        <v>4</v>
      </c>
      <c r="E13">
        <v>3</v>
      </c>
      <c r="F13">
        <v>2</v>
      </c>
      <c r="H13">
        <v>4</v>
      </c>
      <c r="I13">
        <v>1</v>
      </c>
      <c r="J13">
        <v>3</v>
      </c>
      <c r="K13">
        <v>2</v>
      </c>
      <c r="M13">
        <v>3</v>
      </c>
      <c r="N13">
        <v>1</v>
      </c>
      <c r="O13">
        <v>4</v>
      </c>
      <c r="P13">
        <v>2</v>
      </c>
      <c r="R13">
        <v>3</v>
      </c>
      <c r="S13">
        <v>1</v>
      </c>
      <c r="T13">
        <v>4</v>
      </c>
      <c r="U13">
        <v>2</v>
      </c>
      <c r="W13">
        <v>2</v>
      </c>
      <c r="X13">
        <v>3</v>
      </c>
      <c r="Y13">
        <v>1</v>
      </c>
      <c r="Z13">
        <v>4</v>
      </c>
      <c r="AB13">
        <v>1</v>
      </c>
      <c r="AC13">
        <v>2</v>
      </c>
      <c r="AD13">
        <v>3</v>
      </c>
      <c r="AE13">
        <v>4</v>
      </c>
      <c r="AG13">
        <v>3</v>
      </c>
      <c r="AH13">
        <v>4</v>
      </c>
      <c r="AI13">
        <v>2</v>
      </c>
      <c r="AJ13">
        <v>1</v>
      </c>
      <c r="AL13">
        <v>1</v>
      </c>
      <c r="AM13">
        <v>2</v>
      </c>
      <c r="AN13">
        <v>3</v>
      </c>
      <c r="AO13">
        <v>4</v>
      </c>
      <c r="AQ13" s="9">
        <f>((C14+H14+M14+R14+W14)-Scores!$E$15)/(Scores!$I$15-Scores!$E$15)</f>
        <v>0.80172413793103448</v>
      </c>
      <c r="AR13" s="9">
        <f>((D14+I14+N14+S14+X14)-Scores!$E$16)/(Scores!$I$16-Scores!$E$16)</f>
        <v>0.49655172413793103</v>
      </c>
      <c r="AS13" s="9">
        <f>((E14+J14+O14+T14+Y14)-Scores!$E$17)/(Scores!$I$17-Scores!$E$17)</f>
        <v>0.29310344827586204</v>
      </c>
      <c r="AT13" s="9"/>
      <c r="AU13" s="9">
        <f>((AB14+AG14+AL14)-Scores!$F$15)/(Scores!$J$15-Scores!$F$15)</f>
        <v>0.93103448275862066</v>
      </c>
      <c r="AV13" s="9">
        <f>((AC14+AH14+AM14)-Scores!$F$16)/(Scores!$J$16-Scores!$F$16)</f>
        <v>0.89655172413793105</v>
      </c>
      <c r="AW13" s="9">
        <f>((AD14+AI14+AN14)-Scores!$F$17)/(Scores!$J$17-Scores!$F$17)</f>
        <v>0.31034482758620691</v>
      </c>
    </row>
    <row r="14" spans="1:49" s="5" customFormat="1" ht="11.25" x14ac:dyDescent="0.2">
      <c r="C14" s="6">
        <f>Scores!$B$3*VLOOKUP(C13,Scores!$A$15:$B$18,2)+Scores!$C$3*VLOOKUP(D13,Scores!$A$15:$B$18,2)+Scores!$D$3*VLOOKUP(E13,Scores!$A$15:$B$18,2)+Scores!$E$3*VLOOKUP(F13,Scores!$A$15:$B$18,2)</f>
        <v>0</v>
      </c>
      <c r="D14" s="6">
        <f>Scores!$G$3*VLOOKUP(C13,Scores!$A$15:$B$18,2)+Scores!$H$3*VLOOKUP(D13,Scores!$A$15:$B$18,2)+Scores!$I$3*VLOOKUP(E13,Scores!$A$15:$B$18,2)+Scores!$J$3*VLOOKUP(F13,Scores!$A$15:$B$18,2)</f>
        <v>62</v>
      </c>
      <c r="E14" s="6">
        <f>Scores!$L$3*VLOOKUP(C13,Scores!$A$15:$B$18,2)+Scores!$M$3*VLOOKUP(D13,Scores!$A$15:$B$18,2)+Scores!$N$3*VLOOKUP(E13,Scores!$A$15:$B$18,2)+Scores!$O$3*VLOOKUP(F13,Scores!$A$15:$B$18,2)</f>
        <v>0</v>
      </c>
      <c r="F14" s="7"/>
      <c r="G14" s="7"/>
      <c r="H14" s="6">
        <f>Scores!$B$4*VLOOKUP(H13,Scores!$A$15:$B$18,2)+Scores!$C$4*VLOOKUP(I13,Scores!$A$15:$B$18,2)+Scores!$D$4*VLOOKUP(J13,Scores!$A$15:$B$18,2)+Scores!$E$4*VLOOKUP(K13,Scores!$A$15:$B$18,2)</f>
        <v>60</v>
      </c>
      <c r="I14" s="6">
        <f>Scores!$G$4*VLOOKUP(H13,Scores!$A$15:$B$18,2)+Scores!$H$4*VLOOKUP(I13,Scores!$A$15:$B$18,2)+Scores!$I$4*VLOOKUP(J13,Scores!$A$15:$B$18,2)+Scores!$J$4*VLOOKUP(K13,Scores!$A$15:$B$18,2)</f>
        <v>35</v>
      </c>
      <c r="J14" s="6">
        <f>Scores!$L$4*VLOOKUP(H13,Scores!$A$15:$B$18,2)+Scores!$M$4*VLOOKUP(I13,Scores!$A$15:$B$18,2)+Scores!$N$4*VLOOKUP(J13,Scores!$A$15:$B$18,2)+Scores!$O$4*VLOOKUP(K13,Scores!$A$15:$B$18,2)</f>
        <v>0</v>
      </c>
      <c r="K14" s="7"/>
      <c r="L14" s="7"/>
      <c r="M14" s="6">
        <f>Scores!$B$5*VLOOKUP(M13,Scores!$A$15:$B$18,2)+Scores!$C$5*VLOOKUP(N13,Scores!$A$15:$B$18,2)+Scores!$D$5*VLOOKUP(O13,Scores!$A$15:$B$18,2)+Scores!$E$5*VLOOKUP(P13,Scores!$A$15:$B$18,2)</f>
        <v>62</v>
      </c>
      <c r="N14" s="6">
        <f>Scores!$G$5*VLOOKUP(M13,Scores!$A$15:$B$18,2)+Scores!$H$5*VLOOKUP(N13,Scores!$A$15:$B$18,2)+Scores!$I$5*VLOOKUP(O13,Scores!$A$15:$B$18,2)+Scores!$J$5*VLOOKUP(P13,Scores!$A$15:$B$18,2)</f>
        <v>39</v>
      </c>
      <c r="O14" s="6">
        <f>Scores!$L$5*VLOOKUP(M13,Scores!$A$15:$B$18,2)+Scores!$M$5*VLOOKUP(N13,Scores!$A$15:$B$18,2)+Scores!$N$5*VLOOKUP(O13,Scores!$A$15:$B$18,2)+Scores!$O$5*VLOOKUP(P13,Scores!$A$15:$B$18,2)</f>
        <v>0</v>
      </c>
      <c r="P14" s="7"/>
      <c r="Q14" s="7"/>
      <c r="R14" s="6">
        <f>Scores!$B$6*VLOOKUP(R13,Scores!$A$15:$B$18,2)+Scores!$C$6*VLOOKUP(S13,Scores!$A$15:$B$18,2)+Scores!$D$6*VLOOKUP(T13,Scores!$A$15:$B$18,2)+Scores!$E$6*VLOOKUP(U13,Scores!$A$15:$B$18,2)</f>
        <v>41</v>
      </c>
      <c r="S14" s="6">
        <f>Scores!$G$6*VLOOKUP(R13,Scores!$A$15:$B$18,2)+Scores!$H$6*VLOOKUP(S13,Scores!$A$15:$B$18,2)+Scores!$I$6*VLOOKUP(T13,Scores!$A$15:$B$18,2)+Scores!$J$6*VLOOKUP(U13,Scores!$A$15:$B$18,2)</f>
        <v>39</v>
      </c>
      <c r="T14" s="6">
        <f>Scores!$L$6*VLOOKUP(R13,Scores!$A$15:$B$18,2)+Scores!$M$6*VLOOKUP(S13,Scores!$A$15:$B$18,2)+Scores!$N$6*VLOOKUP(T13,Scores!$A$15:$B$18,2)+Scores!$O$6*VLOOKUP(U13,Scores!$A$15:$B$18,2)</f>
        <v>33</v>
      </c>
      <c r="U14" s="7"/>
      <c r="V14" s="7"/>
      <c r="W14" s="6">
        <f>Scores!$B$7*VLOOKUP(W13,Scores!$A$15:$B$18,2)+Scores!$C$7*VLOOKUP(X13,Scores!$A$15:$B$18,2)+Scores!$D$7*VLOOKUP(Y13,Scores!$A$15:$B$18,2)+Scores!$E$7*VLOOKUP(Z13,Scores!$A$15:$B$18,2)</f>
        <v>62</v>
      </c>
      <c r="X14" s="6">
        <f>Scores!$G$7*VLOOKUP(W13,Scores!$A$15:$B$18,2)+Scores!$H$7*VLOOKUP(X13,Scores!$A$15:$B$18,2)+Scores!$I$7*VLOOKUP(Y13,Scores!$A$15:$B$18,2)+Scores!$J$7*VLOOKUP(Z13,Scores!$A$15:$B$18,2)</f>
        <v>62</v>
      </c>
      <c r="Y14" s="6">
        <f>Scores!$L$7*VLOOKUP(W13,Scores!$A$15:$B$18,2)+Scores!$M$7*VLOOKUP(X13,Scores!$A$15:$B$18,2)+Scores!$N$7*VLOOKUP(Y13,Scores!$A$15:$B$18,2)+Scores!$O$7*VLOOKUP(Z13,Scores!$A$15:$B$18,2)</f>
        <v>50</v>
      </c>
      <c r="Z14" s="7"/>
      <c r="AA14" s="7"/>
      <c r="AB14" s="6">
        <f>Scores!$B$8*VLOOKUP(AB13,Scores!$A$15:$B$18,2)+Scores!$C$8*VLOOKUP(AC13,Scores!$A$15:$B$18,2)+Scores!$D$8*VLOOKUP(AD13,Scores!$A$15:$B$18,2)+Scores!$E$8*VLOOKUP(AE13,Scores!$A$15:$B$18,2)</f>
        <v>60</v>
      </c>
      <c r="AC14" s="6">
        <f>Scores!$G$8*VLOOKUP(AB13,Scores!$A$15:$B$18,2)+Scores!$H$8*VLOOKUP(AC13,Scores!$A$15:$B$18,2)+Scores!$I$8*VLOOKUP(AD13,Scores!$A$15:$B$18,2)+Scores!$J$8*VLOOKUP(AE13,Scores!$A$15:$B$18,2)</f>
        <v>56</v>
      </c>
      <c r="AD14" s="6">
        <f>Scores!$L$8*VLOOKUP(AB13,Scores!$A$15:$B$18,2)+Scores!$M$8*VLOOKUP(AC13,Scores!$A$15:$B$18,2)+Scores!$N$8*VLOOKUP(AD13,Scores!$A$15:$B$18,2)+Scores!$O$8*VLOOKUP(AE13,Scores!$A$15:$B$18,2)</f>
        <v>42</v>
      </c>
      <c r="AE14" s="7"/>
      <c r="AF14" s="7"/>
      <c r="AG14" s="6">
        <f>Scores!$B$9*VLOOKUP(AG13,Scores!$A$15:$B$18,2)+Scores!$C$9*VLOOKUP(AH13,Scores!$A$15:$B$18,2)+Scores!$D$9*VLOOKUP(AI13,Scores!$A$15:$B$18,2)+Scores!$E$9*VLOOKUP(AJ13,Scores!$A$15:$B$18,2)</f>
        <v>0</v>
      </c>
      <c r="AH14" s="6">
        <f>Scores!$G$9*VLOOKUP(AG13,Scores!$A$15:$B$18,2)+Scores!$H$9*VLOOKUP(AH13,Scores!$A$15:$B$18,2)+Scores!$I$9*VLOOKUP(AI13,Scores!$A$15:$B$18,2)+Scores!$J$9*VLOOKUP(AJ13,Scores!$A$15:$B$18,2)</f>
        <v>62</v>
      </c>
      <c r="AI14" s="6">
        <f>Scores!$L$9*VLOOKUP(AG13,Scores!$A$15:$B$18,2)+Scores!$M$9*VLOOKUP(AH13,Scores!$A$15:$B$18,2)+Scores!$N$9*VLOOKUP(AI13,Scores!$A$15:$B$18,2)+Scores!$O$9*VLOOKUP(AJ13,Scores!$A$15:$B$18,2)</f>
        <v>0</v>
      </c>
      <c r="AJ14" s="7"/>
      <c r="AK14" s="7"/>
      <c r="AL14" s="6">
        <f>Scores!$B$10*VLOOKUP(AL13,Scores!$A$15:$B$18,2)+Scores!$C$10*VLOOKUP(AM13,Scores!$A$15:$B$18,2)+Scores!$D$10*VLOOKUP(AN13,Scores!$A$15:$B$18,2)+Scores!$E$10*VLOOKUP(AO13,Scores!$A$15:$B$18,2)</f>
        <v>0</v>
      </c>
      <c r="AM14" s="6">
        <f>Scores!$G$10*VLOOKUP(AL13,Scores!$A$15:$B$18,2)+Scores!$H$10*VLOOKUP(AM13,Scores!$A$15:$B$18,2)+Scores!$I$10*VLOOKUP(AN13,Scores!$A$15:$B$18,2)+Scores!$J$10*VLOOKUP(AO13,Scores!$A$15:$B$18,2)</f>
        <v>0</v>
      </c>
      <c r="AN14" s="6">
        <f>Scores!$L$10*VLOOKUP(AL13,Scores!$A$15:$B$18,2)+Scores!$M$10*VLOOKUP(AM13,Scores!$A$15:$B$18,2)+Scores!$N$10*VLOOKUP(AN13,Scores!$A$15:$B$18,2)+Scores!$O$10*VLOOKUP(AO13,Scores!$A$15:$B$18,2)</f>
        <v>0</v>
      </c>
      <c r="AO14" s="7"/>
    </row>
    <row r="15" spans="1:49" x14ac:dyDescent="0.25">
      <c r="A15" t="s">
        <v>91</v>
      </c>
      <c r="B15" t="s">
        <v>19</v>
      </c>
      <c r="C15">
        <v>1</v>
      </c>
      <c r="D15">
        <v>4</v>
      </c>
      <c r="E15">
        <v>3</v>
      </c>
      <c r="F15">
        <v>2</v>
      </c>
      <c r="H15">
        <v>4</v>
      </c>
      <c r="I15">
        <v>1</v>
      </c>
      <c r="J15">
        <v>3</v>
      </c>
      <c r="K15">
        <v>2</v>
      </c>
      <c r="M15">
        <v>3</v>
      </c>
      <c r="N15">
        <v>1</v>
      </c>
      <c r="O15">
        <v>4</v>
      </c>
      <c r="P15">
        <v>2</v>
      </c>
      <c r="R15">
        <v>4</v>
      </c>
      <c r="S15">
        <v>1</v>
      </c>
      <c r="T15">
        <v>3</v>
      </c>
      <c r="U15">
        <v>2</v>
      </c>
      <c r="W15">
        <v>2</v>
      </c>
      <c r="X15">
        <v>3</v>
      </c>
      <c r="Y15">
        <v>1</v>
      </c>
      <c r="Z15">
        <v>4</v>
      </c>
      <c r="AB15">
        <v>1</v>
      </c>
      <c r="AC15">
        <v>2</v>
      </c>
      <c r="AD15">
        <v>4</v>
      </c>
      <c r="AE15">
        <v>3</v>
      </c>
      <c r="AG15">
        <v>3</v>
      </c>
      <c r="AH15">
        <v>2</v>
      </c>
      <c r="AI15">
        <v>4</v>
      </c>
      <c r="AJ15">
        <v>1</v>
      </c>
      <c r="AL15">
        <v>1</v>
      </c>
      <c r="AM15">
        <v>2</v>
      </c>
      <c r="AN15">
        <v>3</v>
      </c>
      <c r="AO15">
        <v>4</v>
      </c>
      <c r="AQ15" s="9">
        <f>((C16+H16+M16+R16+W16)-Scores!$E$15)/(Scores!$I$15-Scores!$E$15)</f>
        <v>0.78448275862068961</v>
      </c>
      <c r="AR15" s="9">
        <f>((D16+I16+N16+S16+X16)-Scores!$E$16)/(Scores!$I$16-Scores!$E$16)</f>
        <v>0.4689655172413793</v>
      </c>
      <c r="AS15" s="9">
        <f>((E16+J16+O16+T16+Y16)-Scores!$E$17)/(Scores!$I$17-Scores!$E$17)</f>
        <v>0.32758620689655171</v>
      </c>
      <c r="AT15" s="9"/>
      <c r="AU15" s="9">
        <f>((AB16+AG16+AL16)-Scores!$F$15)/(Scores!$J$15-Scores!$F$15)</f>
        <v>1</v>
      </c>
      <c r="AV15" s="9">
        <f>((AC16+AH16+AM16)-Scores!$F$16)/(Scores!$J$16-Scores!$F$16)</f>
        <v>0.82758620689655171</v>
      </c>
      <c r="AW15" s="9">
        <f>((AD16+AI16+AN16)-Scores!$F$17)/(Scores!$J$17-Scores!$F$17)</f>
        <v>0.51724137931034486</v>
      </c>
    </row>
    <row r="16" spans="1:49" s="5" customFormat="1" ht="11.25" x14ac:dyDescent="0.2">
      <c r="C16" s="6">
        <f>Scores!$B$3*VLOOKUP(C15,Scores!$A$15:$B$18,2)+Scores!$C$3*VLOOKUP(D15,Scores!$A$15:$B$18,2)+Scores!$D$3*VLOOKUP(E15,Scores!$A$15:$B$18,2)+Scores!$E$3*VLOOKUP(F15,Scores!$A$15:$B$18,2)</f>
        <v>0</v>
      </c>
      <c r="D16" s="6">
        <f>Scores!$G$3*VLOOKUP(C15,Scores!$A$15:$B$18,2)+Scores!$H$3*VLOOKUP(D15,Scores!$A$15:$B$18,2)+Scores!$I$3*VLOOKUP(E15,Scores!$A$15:$B$18,2)+Scores!$J$3*VLOOKUP(F15,Scores!$A$15:$B$18,2)</f>
        <v>62</v>
      </c>
      <c r="E16" s="6">
        <f>Scores!$L$3*VLOOKUP(C15,Scores!$A$15:$B$18,2)+Scores!$M$3*VLOOKUP(D15,Scores!$A$15:$B$18,2)+Scores!$N$3*VLOOKUP(E15,Scores!$A$15:$B$18,2)+Scores!$O$3*VLOOKUP(F15,Scores!$A$15:$B$18,2)</f>
        <v>0</v>
      </c>
      <c r="F16" s="7"/>
      <c r="G16" s="7"/>
      <c r="H16" s="6">
        <f>Scores!$B$4*VLOOKUP(H15,Scores!$A$15:$B$18,2)+Scores!$C$4*VLOOKUP(I15,Scores!$A$15:$B$18,2)+Scores!$D$4*VLOOKUP(J15,Scores!$A$15:$B$18,2)+Scores!$E$4*VLOOKUP(K15,Scores!$A$15:$B$18,2)</f>
        <v>60</v>
      </c>
      <c r="I16" s="6">
        <f>Scores!$G$4*VLOOKUP(H15,Scores!$A$15:$B$18,2)+Scores!$H$4*VLOOKUP(I15,Scores!$A$15:$B$18,2)+Scores!$I$4*VLOOKUP(J15,Scores!$A$15:$B$18,2)+Scores!$J$4*VLOOKUP(K15,Scores!$A$15:$B$18,2)</f>
        <v>35</v>
      </c>
      <c r="J16" s="6">
        <f>Scores!$L$4*VLOOKUP(H15,Scores!$A$15:$B$18,2)+Scores!$M$4*VLOOKUP(I15,Scores!$A$15:$B$18,2)+Scores!$N$4*VLOOKUP(J15,Scores!$A$15:$B$18,2)+Scores!$O$4*VLOOKUP(K15,Scores!$A$15:$B$18,2)</f>
        <v>0</v>
      </c>
      <c r="K16" s="7"/>
      <c r="L16" s="7"/>
      <c r="M16" s="6">
        <f>Scores!$B$5*VLOOKUP(M15,Scores!$A$15:$B$18,2)+Scores!$C$5*VLOOKUP(N15,Scores!$A$15:$B$18,2)+Scores!$D$5*VLOOKUP(O15,Scores!$A$15:$B$18,2)+Scores!$E$5*VLOOKUP(P15,Scores!$A$15:$B$18,2)</f>
        <v>62</v>
      </c>
      <c r="N16" s="6">
        <f>Scores!$G$5*VLOOKUP(M15,Scores!$A$15:$B$18,2)+Scores!$H$5*VLOOKUP(N15,Scores!$A$15:$B$18,2)+Scores!$I$5*VLOOKUP(O15,Scores!$A$15:$B$18,2)+Scores!$J$5*VLOOKUP(P15,Scores!$A$15:$B$18,2)</f>
        <v>39</v>
      </c>
      <c r="O16" s="6">
        <f>Scores!$L$5*VLOOKUP(M15,Scores!$A$15:$B$18,2)+Scores!$M$5*VLOOKUP(N15,Scores!$A$15:$B$18,2)+Scores!$N$5*VLOOKUP(O15,Scores!$A$15:$B$18,2)+Scores!$O$5*VLOOKUP(P15,Scores!$A$15:$B$18,2)</f>
        <v>0</v>
      </c>
      <c r="P16" s="7"/>
      <c r="Q16" s="7"/>
      <c r="R16" s="6">
        <f>Scores!$B$6*VLOOKUP(R15,Scores!$A$15:$B$18,2)+Scores!$C$6*VLOOKUP(S15,Scores!$A$15:$B$18,2)+Scores!$D$6*VLOOKUP(T15,Scores!$A$15:$B$18,2)+Scores!$E$6*VLOOKUP(U15,Scores!$A$15:$B$18,2)</f>
        <v>39</v>
      </c>
      <c r="S16" s="6">
        <f>Scores!$G$6*VLOOKUP(R15,Scores!$A$15:$B$18,2)+Scores!$H$6*VLOOKUP(S15,Scores!$A$15:$B$18,2)+Scores!$I$6*VLOOKUP(T15,Scores!$A$15:$B$18,2)+Scores!$J$6*VLOOKUP(U15,Scores!$A$15:$B$18,2)</f>
        <v>35</v>
      </c>
      <c r="T16" s="6">
        <f>Scores!$L$6*VLOOKUP(R15,Scores!$A$15:$B$18,2)+Scores!$M$6*VLOOKUP(S15,Scores!$A$15:$B$18,2)+Scores!$N$6*VLOOKUP(T15,Scores!$A$15:$B$18,2)+Scores!$O$6*VLOOKUP(U15,Scores!$A$15:$B$18,2)</f>
        <v>35</v>
      </c>
      <c r="U16" s="7"/>
      <c r="V16" s="7"/>
      <c r="W16" s="6">
        <f>Scores!$B$7*VLOOKUP(W15,Scores!$A$15:$B$18,2)+Scores!$C$7*VLOOKUP(X15,Scores!$A$15:$B$18,2)+Scores!$D$7*VLOOKUP(Y15,Scores!$A$15:$B$18,2)+Scores!$E$7*VLOOKUP(Z15,Scores!$A$15:$B$18,2)</f>
        <v>62</v>
      </c>
      <c r="X16" s="6">
        <f>Scores!$G$7*VLOOKUP(W15,Scores!$A$15:$B$18,2)+Scores!$H$7*VLOOKUP(X15,Scores!$A$15:$B$18,2)+Scores!$I$7*VLOOKUP(Y15,Scores!$A$15:$B$18,2)+Scores!$J$7*VLOOKUP(Z15,Scores!$A$15:$B$18,2)</f>
        <v>62</v>
      </c>
      <c r="Y16" s="6">
        <f>Scores!$L$7*VLOOKUP(W15,Scores!$A$15:$B$18,2)+Scores!$M$7*VLOOKUP(X15,Scores!$A$15:$B$18,2)+Scores!$N$7*VLOOKUP(Y15,Scores!$A$15:$B$18,2)+Scores!$O$7*VLOOKUP(Z15,Scores!$A$15:$B$18,2)</f>
        <v>50</v>
      </c>
      <c r="Z16" s="7"/>
      <c r="AA16" s="7"/>
      <c r="AB16" s="6">
        <f>Scores!$B$8*VLOOKUP(AB15,Scores!$A$15:$B$18,2)+Scores!$C$8*VLOOKUP(AC15,Scores!$A$15:$B$18,2)+Scores!$D$8*VLOOKUP(AD15,Scores!$A$15:$B$18,2)+Scores!$E$8*VLOOKUP(AE15,Scores!$A$15:$B$18,2)</f>
        <v>62</v>
      </c>
      <c r="AC16" s="6">
        <f>Scores!$G$8*VLOOKUP(AB15,Scores!$A$15:$B$18,2)+Scores!$H$8*VLOOKUP(AC15,Scores!$A$15:$B$18,2)+Scores!$I$8*VLOOKUP(AD15,Scores!$A$15:$B$18,2)+Scores!$J$8*VLOOKUP(AE15,Scores!$A$15:$B$18,2)</f>
        <v>60</v>
      </c>
      <c r="AD16" s="6">
        <f>Scores!$L$8*VLOOKUP(AB15,Scores!$A$15:$B$18,2)+Scores!$M$8*VLOOKUP(AC15,Scores!$A$15:$B$18,2)+Scores!$N$8*VLOOKUP(AD15,Scores!$A$15:$B$18,2)+Scores!$O$8*VLOOKUP(AE15,Scores!$A$15:$B$18,2)</f>
        <v>48</v>
      </c>
      <c r="AE16" s="7"/>
      <c r="AF16" s="7"/>
      <c r="AG16" s="6">
        <f>Scores!$B$9*VLOOKUP(AG15,Scores!$A$15:$B$18,2)+Scores!$C$9*VLOOKUP(AH15,Scores!$A$15:$B$18,2)+Scores!$D$9*VLOOKUP(AI15,Scores!$A$15:$B$18,2)+Scores!$E$9*VLOOKUP(AJ15,Scores!$A$15:$B$18,2)</f>
        <v>0</v>
      </c>
      <c r="AH16" s="6">
        <f>Scores!$G$9*VLOOKUP(AG15,Scores!$A$15:$B$18,2)+Scores!$H$9*VLOOKUP(AH15,Scores!$A$15:$B$18,2)+Scores!$I$9*VLOOKUP(AI15,Scores!$A$15:$B$18,2)+Scores!$J$9*VLOOKUP(AJ15,Scores!$A$15:$B$18,2)</f>
        <v>54</v>
      </c>
      <c r="AI16" s="6">
        <f>Scores!$L$9*VLOOKUP(AG15,Scores!$A$15:$B$18,2)+Scores!$M$9*VLOOKUP(AH15,Scores!$A$15:$B$18,2)+Scores!$N$9*VLOOKUP(AI15,Scores!$A$15:$B$18,2)+Scores!$O$9*VLOOKUP(AJ15,Scores!$A$15:$B$18,2)</f>
        <v>0</v>
      </c>
      <c r="AJ16" s="7"/>
      <c r="AK16" s="7"/>
      <c r="AL16" s="6">
        <f>Scores!$B$10*VLOOKUP(AL15,Scores!$A$15:$B$18,2)+Scores!$C$10*VLOOKUP(AM15,Scores!$A$15:$B$18,2)+Scores!$D$10*VLOOKUP(AN15,Scores!$A$15:$B$18,2)+Scores!$E$10*VLOOKUP(AO15,Scores!$A$15:$B$18,2)</f>
        <v>0</v>
      </c>
      <c r="AM16" s="6">
        <f>Scores!$G$10*VLOOKUP(AL15,Scores!$A$15:$B$18,2)+Scores!$H$10*VLOOKUP(AM15,Scores!$A$15:$B$18,2)+Scores!$I$10*VLOOKUP(AN15,Scores!$A$15:$B$18,2)+Scores!$J$10*VLOOKUP(AO15,Scores!$A$15:$B$18,2)</f>
        <v>0</v>
      </c>
      <c r="AN16" s="6">
        <f>Scores!$L$10*VLOOKUP(AL15,Scores!$A$15:$B$18,2)+Scores!$M$10*VLOOKUP(AM15,Scores!$A$15:$B$18,2)+Scores!$N$10*VLOOKUP(AN15,Scores!$A$15:$B$18,2)+Scores!$O$10*VLOOKUP(AO15,Scores!$A$15:$B$18,2)</f>
        <v>0</v>
      </c>
      <c r="AO16" s="7"/>
    </row>
    <row r="17" spans="1:49" x14ac:dyDescent="0.25">
      <c r="A17" t="s">
        <v>92</v>
      </c>
      <c r="B17" t="s">
        <v>19</v>
      </c>
      <c r="C17">
        <v>1</v>
      </c>
      <c r="D17">
        <v>4</v>
      </c>
      <c r="E17">
        <v>3</v>
      </c>
      <c r="F17">
        <v>2</v>
      </c>
      <c r="H17">
        <v>2</v>
      </c>
      <c r="I17">
        <v>3</v>
      </c>
      <c r="J17">
        <v>4</v>
      </c>
      <c r="K17">
        <v>1</v>
      </c>
      <c r="M17">
        <v>3</v>
      </c>
      <c r="N17">
        <v>1</v>
      </c>
      <c r="O17">
        <v>4</v>
      </c>
      <c r="P17">
        <v>2</v>
      </c>
      <c r="R17">
        <v>4</v>
      </c>
      <c r="S17">
        <v>2</v>
      </c>
      <c r="T17">
        <v>3</v>
      </c>
      <c r="U17">
        <v>1</v>
      </c>
      <c r="W17">
        <v>2</v>
      </c>
      <c r="X17">
        <v>3</v>
      </c>
      <c r="Y17">
        <v>1</v>
      </c>
      <c r="Z17">
        <v>4</v>
      </c>
      <c r="AB17">
        <v>1</v>
      </c>
      <c r="AC17">
        <v>3</v>
      </c>
      <c r="AD17">
        <v>4</v>
      </c>
      <c r="AE17">
        <v>2</v>
      </c>
      <c r="AG17">
        <v>3</v>
      </c>
      <c r="AH17">
        <v>4</v>
      </c>
      <c r="AI17">
        <v>2</v>
      </c>
      <c r="AJ17">
        <v>1</v>
      </c>
      <c r="AL17">
        <v>2</v>
      </c>
      <c r="AM17">
        <v>1</v>
      </c>
      <c r="AN17">
        <v>3</v>
      </c>
      <c r="AO17">
        <v>4</v>
      </c>
      <c r="AQ17" s="9">
        <f>((C18+H18+M18+R18+W18)-Scores!$E$15)/(Scores!$I$15-Scores!$E$15)</f>
        <v>0.74137931034482762</v>
      </c>
      <c r="AR17" s="9">
        <f>((D18+I18+N18+S18+X18)-Scores!$E$16)/(Scores!$I$16-Scores!$E$16)</f>
        <v>0.67586206896551726</v>
      </c>
      <c r="AS17" s="9">
        <f>((E18+J18+O18+T18+Y18)-Scores!$E$17)/(Scores!$I$17-Scores!$E$17)</f>
        <v>0.41379310344827586</v>
      </c>
      <c r="AT17" s="9"/>
      <c r="AU17" s="9">
        <f>((AB18+AG18+AL18)-Scores!$F$15)/(Scores!$J$15-Scores!$F$15)</f>
        <v>0.93103448275862066</v>
      </c>
      <c r="AV17" s="9">
        <f>((AC18+AH18+AM18)-Scores!$F$16)/(Scores!$J$16-Scores!$F$16)</f>
        <v>1</v>
      </c>
      <c r="AW17" s="9">
        <f>((AD18+AI18+AN18)-Scores!$F$17)/(Scores!$J$17-Scores!$F$17)</f>
        <v>0.58620689655172409</v>
      </c>
    </row>
    <row r="18" spans="1:49" s="5" customFormat="1" ht="11.25" x14ac:dyDescent="0.2">
      <c r="C18" s="6">
        <f>Scores!$B$3*VLOOKUP(C17,Scores!$A$15:$B$18,2)+Scores!$C$3*VLOOKUP(D17,Scores!$A$15:$B$18,2)+Scores!$D$3*VLOOKUP(E17,Scores!$A$15:$B$18,2)+Scores!$E$3*VLOOKUP(F17,Scores!$A$15:$B$18,2)</f>
        <v>0</v>
      </c>
      <c r="D18" s="6">
        <f>Scores!$G$3*VLOOKUP(C17,Scores!$A$15:$B$18,2)+Scores!$H$3*VLOOKUP(D17,Scores!$A$15:$B$18,2)+Scores!$I$3*VLOOKUP(E17,Scores!$A$15:$B$18,2)+Scores!$J$3*VLOOKUP(F17,Scores!$A$15:$B$18,2)</f>
        <v>62</v>
      </c>
      <c r="E18" s="6">
        <f>Scores!$L$3*VLOOKUP(C17,Scores!$A$15:$B$18,2)+Scores!$M$3*VLOOKUP(D17,Scores!$A$15:$B$18,2)+Scores!$N$3*VLOOKUP(E17,Scores!$A$15:$B$18,2)+Scores!$O$3*VLOOKUP(F17,Scores!$A$15:$B$18,2)</f>
        <v>0</v>
      </c>
      <c r="F18" s="7"/>
      <c r="G18" s="7"/>
      <c r="H18" s="6">
        <f>Scores!$B$4*VLOOKUP(H17,Scores!$A$15:$B$18,2)+Scores!$C$4*VLOOKUP(I17,Scores!$A$15:$B$18,2)+Scores!$D$4*VLOOKUP(J17,Scores!$A$15:$B$18,2)+Scores!$E$4*VLOOKUP(K17,Scores!$A$15:$B$18,2)</f>
        <v>40</v>
      </c>
      <c r="I18" s="6">
        <f>Scores!$G$4*VLOOKUP(H17,Scores!$A$15:$B$18,2)+Scores!$H$4*VLOOKUP(I17,Scores!$A$15:$B$18,2)+Scores!$I$4*VLOOKUP(J17,Scores!$A$15:$B$18,2)+Scores!$J$4*VLOOKUP(K17,Scores!$A$15:$B$18,2)</f>
        <v>55</v>
      </c>
      <c r="J18" s="6">
        <f>Scores!$L$4*VLOOKUP(H17,Scores!$A$15:$B$18,2)+Scores!$M$4*VLOOKUP(I17,Scores!$A$15:$B$18,2)+Scores!$N$4*VLOOKUP(J17,Scores!$A$15:$B$18,2)+Scores!$O$4*VLOOKUP(K17,Scores!$A$15:$B$18,2)</f>
        <v>0</v>
      </c>
      <c r="K18" s="7"/>
      <c r="L18" s="7"/>
      <c r="M18" s="6">
        <f>Scores!$B$5*VLOOKUP(M17,Scores!$A$15:$B$18,2)+Scores!$C$5*VLOOKUP(N17,Scores!$A$15:$B$18,2)+Scores!$D$5*VLOOKUP(O17,Scores!$A$15:$B$18,2)+Scores!$E$5*VLOOKUP(P17,Scores!$A$15:$B$18,2)</f>
        <v>62</v>
      </c>
      <c r="N18" s="6">
        <f>Scores!$G$5*VLOOKUP(M17,Scores!$A$15:$B$18,2)+Scores!$H$5*VLOOKUP(N17,Scores!$A$15:$B$18,2)+Scores!$I$5*VLOOKUP(O17,Scores!$A$15:$B$18,2)+Scores!$J$5*VLOOKUP(P17,Scores!$A$15:$B$18,2)</f>
        <v>39</v>
      </c>
      <c r="O18" s="6">
        <f>Scores!$L$5*VLOOKUP(M17,Scores!$A$15:$B$18,2)+Scores!$M$5*VLOOKUP(N17,Scores!$A$15:$B$18,2)+Scores!$N$5*VLOOKUP(O17,Scores!$A$15:$B$18,2)+Scores!$O$5*VLOOKUP(P17,Scores!$A$15:$B$18,2)</f>
        <v>0</v>
      </c>
      <c r="P18" s="7"/>
      <c r="Q18" s="7"/>
      <c r="R18" s="6">
        <f>Scores!$B$6*VLOOKUP(R17,Scores!$A$15:$B$18,2)+Scores!$C$6*VLOOKUP(S17,Scores!$A$15:$B$18,2)+Scores!$D$6*VLOOKUP(T17,Scores!$A$15:$B$18,2)+Scores!$E$6*VLOOKUP(U17,Scores!$A$15:$B$18,2)</f>
        <v>54</v>
      </c>
      <c r="S18" s="6">
        <f>Scores!$G$6*VLOOKUP(R17,Scores!$A$15:$B$18,2)+Scores!$H$6*VLOOKUP(S17,Scores!$A$15:$B$18,2)+Scores!$I$6*VLOOKUP(T17,Scores!$A$15:$B$18,2)+Scores!$J$6*VLOOKUP(U17,Scores!$A$15:$B$18,2)</f>
        <v>45</v>
      </c>
      <c r="T18" s="6">
        <f>Scores!$L$6*VLOOKUP(R17,Scores!$A$15:$B$18,2)+Scores!$M$6*VLOOKUP(S17,Scores!$A$15:$B$18,2)+Scores!$N$6*VLOOKUP(T17,Scores!$A$15:$B$18,2)+Scores!$O$6*VLOOKUP(U17,Scores!$A$15:$B$18,2)</f>
        <v>40</v>
      </c>
      <c r="U18" s="7"/>
      <c r="V18" s="7"/>
      <c r="W18" s="6">
        <f>Scores!$B$7*VLOOKUP(W17,Scores!$A$15:$B$18,2)+Scores!$C$7*VLOOKUP(X17,Scores!$A$15:$B$18,2)+Scores!$D$7*VLOOKUP(Y17,Scores!$A$15:$B$18,2)+Scores!$E$7*VLOOKUP(Z17,Scores!$A$15:$B$18,2)</f>
        <v>62</v>
      </c>
      <c r="X18" s="6">
        <f>Scores!$G$7*VLOOKUP(W17,Scores!$A$15:$B$18,2)+Scores!$H$7*VLOOKUP(X17,Scores!$A$15:$B$18,2)+Scores!$I$7*VLOOKUP(Y17,Scores!$A$15:$B$18,2)+Scores!$J$7*VLOOKUP(Z17,Scores!$A$15:$B$18,2)</f>
        <v>62</v>
      </c>
      <c r="Y18" s="6">
        <f>Scores!$L$7*VLOOKUP(W17,Scores!$A$15:$B$18,2)+Scores!$M$7*VLOOKUP(X17,Scores!$A$15:$B$18,2)+Scores!$N$7*VLOOKUP(Y17,Scores!$A$15:$B$18,2)+Scores!$O$7*VLOOKUP(Z17,Scores!$A$15:$B$18,2)</f>
        <v>50</v>
      </c>
      <c r="Z18" s="7"/>
      <c r="AA18" s="7"/>
      <c r="AB18" s="6">
        <f>Scores!$B$8*VLOOKUP(AB17,Scores!$A$15:$B$18,2)+Scores!$C$8*VLOOKUP(AC17,Scores!$A$15:$B$18,2)+Scores!$D$8*VLOOKUP(AD17,Scores!$A$15:$B$18,2)+Scores!$E$8*VLOOKUP(AE17,Scores!$A$15:$B$18,2)</f>
        <v>60</v>
      </c>
      <c r="AC18" s="6">
        <f>Scores!$G$8*VLOOKUP(AB17,Scores!$A$15:$B$18,2)+Scores!$H$8*VLOOKUP(AC17,Scores!$A$15:$B$18,2)+Scores!$I$8*VLOOKUP(AD17,Scores!$A$15:$B$18,2)+Scores!$J$8*VLOOKUP(AE17,Scores!$A$15:$B$18,2)</f>
        <v>62</v>
      </c>
      <c r="AD18" s="6">
        <f>Scores!$L$8*VLOOKUP(AB17,Scores!$A$15:$B$18,2)+Scores!$M$8*VLOOKUP(AC17,Scores!$A$15:$B$18,2)+Scores!$N$8*VLOOKUP(AD17,Scores!$A$15:$B$18,2)+Scores!$O$8*VLOOKUP(AE17,Scores!$A$15:$B$18,2)</f>
        <v>50</v>
      </c>
      <c r="AE18" s="7"/>
      <c r="AF18" s="7"/>
      <c r="AG18" s="6">
        <f>Scores!$B$9*VLOOKUP(AG17,Scores!$A$15:$B$18,2)+Scores!$C$9*VLOOKUP(AH17,Scores!$A$15:$B$18,2)+Scores!$D$9*VLOOKUP(AI17,Scores!$A$15:$B$18,2)+Scores!$E$9*VLOOKUP(AJ17,Scores!$A$15:$B$18,2)</f>
        <v>0</v>
      </c>
      <c r="AH18" s="6">
        <f>Scores!$G$9*VLOOKUP(AG17,Scores!$A$15:$B$18,2)+Scores!$H$9*VLOOKUP(AH17,Scores!$A$15:$B$18,2)+Scores!$I$9*VLOOKUP(AI17,Scores!$A$15:$B$18,2)+Scores!$J$9*VLOOKUP(AJ17,Scores!$A$15:$B$18,2)</f>
        <v>62</v>
      </c>
      <c r="AI18" s="6">
        <f>Scores!$L$9*VLOOKUP(AG17,Scores!$A$15:$B$18,2)+Scores!$M$9*VLOOKUP(AH17,Scores!$A$15:$B$18,2)+Scores!$N$9*VLOOKUP(AI17,Scores!$A$15:$B$18,2)+Scores!$O$9*VLOOKUP(AJ17,Scores!$A$15:$B$18,2)</f>
        <v>0</v>
      </c>
      <c r="AJ18" s="7"/>
      <c r="AK18" s="7"/>
      <c r="AL18" s="6">
        <f>Scores!$B$10*VLOOKUP(AL17,Scores!$A$15:$B$18,2)+Scores!$C$10*VLOOKUP(AM17,Scores!$A$15:$B$18,2)+Scores!$D$10*VLOOKUP(AN17,Scores!$A$15:$B$18,2)+Scores!$E$10*VLOOKUP(AO17,Scores!$A$15:$B$18,2)</f>
        <v>0</v>
      </c>
      <c r="AM18" s="6">
        <f>Scores!$G$10*VLOOKUP(AL17,Scores!$A$15:$B$18,2)+Scores!$H$10*VLOOKUP(AM17,Scores!$A$15:$B$18,2)+Scores!$I$10*VLOOKUP(AN17,Scores!$A$15:$B$18,2)+Scores!$J$10*VLOOKUP(AO17,Scores!$A$15:$B$18,2)</f>
        <v>0</v>
      </c>
      <c r="AN18" s="6">
        <f>Scores!$L$10*VLOOKUP(AL17,Scores!$A$15:$B$18,2)+Scores!$M$10*VLOOKUP(AM17,Scores!$A$15:$B$18,2)+Scores!$N$10*VLOOKUP(AN17,Scores!$A$15:$B$18,2)+Scores!$O$10*VLOOKUP(AO17,Scores!$A$15:$B$18,2)</f>
        <v>0</v>
      </c>
      <c r="AO18" s="7"/>
    </row>
    <row r="19" spans="1:49" x14ac:dyDescent="0.25">
      <c r="A19" t="s">
        <v>93</v>
      </c>
      <c r="B19" t="s">
        <v>19</v>
      </c>
      <c r="C19">
        <v>1</v>
      </c>
      <c r="D19">
        <v>4</v>
      </c>
      <c r="E19">
        <v>3</v>
      </c>
      <c r="F19">
        <v>2</v>
      </c>
      <c r="H19">
        <v>1</v>
      </c>
      <c r="I19">
        <v>4</v>
      </c>
      <c r="J19">
        <v>2</v>
      </c>
      <c r="K19">
        <v>3</v>
      </c>
      <c r="M19">
        <v>2</v>
      </c>
      <c r="N19">
        <v>3</v>
      </c>
      <c r="O19">
        <v>4</v>
      </c>
      <c r="P19">
        <v>1</v>
      </c>
      <c r="R19">
        <v>4</v>
      </c>
      <c r="S19">
        <v>1</v>
      </c>
      <c r="T19">
        <v>2</v>
      </c>
      <c r="U19">
        <v>3</v>
      </c>
      <c r="W19">
        <v>4</v>
      </c>
      <c r="X19">
        <v>1</v>
      </c>
      <c r="Y19">
        <v>2</v>
      </c>
      <c r="Z19">
        <v>3</v>
      </c>
      <c r="AB19">
        <v>4</v>
      </c>
      <c r="AC19">
        <v>2</v>
      </c>
      <c r="AD19">
        <v>1</v>
      </c>
      <c r="AE19">
        <v>3</v>
      </c>
      <c r="AG19">
        <v>1</v>
      </c>
      <c r="AH19">
        <v>3</v>
      </c>
      <c r="AI19">
        <v>2</v>
      </c>
      <c r="AJ19">
        <v>4</v>
      </c>
      <c r="AL19">
        <v>1</v>
      </c>
      <c r="AM19">
        <v>2</v>
      </c>
      <c r="AN19">
        <v>3</v>
      </c>
      <c r="AO19">
        <v>4</v>
      </c>
      <c r="AQ19" s="9">
        <f>((C20+H20+M20+R20+W20)-Scores!$E$15)/(Scores!$I$15-Scores!$E$15)</f>
        <v>0.31896551724137934</v>
      </c>
      <c r="AR19" s="9">
        <f>((D20+I20+N20+S20+X20)-Scores!$E$16)/(Scores!$I$16-Scores!$E$16)</f>
        <v>0.62758620689655176</v>
      </c>
      <c r="AS19" s="9">
        <f>((E20+J20+O20+T20+Y20)-Scores!$E$17)/(Scores!$I$17-Scores!$E$17)</f>
        <v>0.34482758620689657</v>
      </c>
      <c r="AT19" s="9"/>
      <c r="AU19" s="9">
        <f>((AB20+AG20+AL20)-Scores!$F$15)/(Scores!$J$15-Scores!$F$15)</f>
        <v>6.8965517241379309E-2</v>
      </c>
      <c r="AV19" s="9">
        <f>((AC20+AH20+AM20)-Scores!$F$16)/(Scores!$J$16-Scores!$F$16)</f>
        <v>0.15517241379310345</v>
      </c>
      <c r="AW19" s="9">
        <f>((AD20+AI20+AN20)-Scores!$F$17)/(Scores!$J$17-Scores!$F$17)</f>
        <v>0.20689655172413793</v>
      </c>
    </row>
    <row r="20" spans="1:49" s="5" customFormat="1" ht="11.25" x14ac:dyDescent="0.2">
      <c r="C20" s="6">
        <f>Scores!$B$3*VLOOKUP(C19,Scores!$A$15:$B$18,2)+Scores!$C$3*VLOOKUP(D19,Scores!$A$15:$B$18,2)+Scores!$D$3*VLOOKUP(E19,Scores!$A$15:$B$18,2)+Scores!$E$3*VLOOKUP(F19,Scores!$A$15:$B$18,2)</f>
        <v>0</v>
      </c>
      <c r="D20" s="6">
        <f>Scores!$G$3*VLOOKUP(C19,Scores!$A$15:$B$18,2)+Scores!$H$3*VLOOKUP(D19,Scores!$A$15:$B$18,2)+Scores!$I$3*VLOOKUP(E19,Scores!$A$15:$B$18,2)+Scores!$J$3*VLOOKUP(F19,Scores!$A$15:$B$18,2)</f>
        <v>62</v>
      </c>
      <c r="E20" s="6">
        <f>Scores!$L$3*VLOOKUP(C19,Scores!$A$15:$B$18,2)+Scores!$M$3*VLOOKUP(D19,Scores!$A$15:$B$18,2)+Scores!$N$3*VLOOKUP(E19,Scores!$A$15:$B$18,2)+Scores!$O$3*VLOOKUP(F19,Scores!$A$15:$B$18,2)</f>
        <v>0</v>
      </c>
      <c r="F20" s="7"/>
      <c r="G20" s="7"/>
      <c r="H20" s="6">
        <f>Scores!$B$4*VLOOKUP(H19,Scores!$A$15:$B$18,2)+Scores!$C$4*VLOOKUP(I19,Scores!$A$15:$B$18,2)+Scores!$D$4*VLOOKUP(J19,Scores!$A$15:$B$18,2)+Scores!$E$4*VLOOKUP(K19,Scores!$A$15:$B$18,2)</f>
        <v>35</v>
      </c>
      <c r="I20" s="6">
        <f>Scores!$G$4*VLOOKUP(H19,Scores!$A$15:$B$18,2)+Scores!$H$4*VLOOKUP(I19,Scores!$A$15:$B$18,2)+Scores!$I$4*VLOOKUP(J19,Scores!$A$15:$B$18,2)+Scores!$J$4*VLOOKUP(K19,Scores!$A$15:$B$18,2)</f>
        <v>60</v>
      </c>
      <c r="J20" s="6">
        <f>Scores!$L$4*VLOOKUP(H19,Scores!$A$15:$B$18,2)+Scores!$M$4*VLOOKUP(I19,Scores!$A$15:$B$18,2)+Scores!$N$4*VLOOKUP(J19,Scores!$A$15:$B$18,2)+Scores!$O$4*VLOOKUP(K19,Scores!$A$15:$B$18,2)</f>
        <v>0</v>
      </c>
      <c r="K20" s="7"/>
      <c r="L20" s="7"/>
      <c r="M20" s="6">
        <f>Scores!$B$5*VLOOKUP(M19,Scores!$A$15:$B$18,2)+Scores!$C$5*VLOOKUP(N19,Scores!$A$15:$B$18,2)+Scores!$D$5*VLOOKUP(O19,Scores!$A$15:$B$18,2)+Scores!$E$5*VLOOKUP(P19,Scores!$A$15:$B$18,2)</f>
        <v>53</v>
      </c>
      <c r="N20" s="6">
        <f>Scores!$G$5*VLOOKUP(M19,Scores!$A$15:$B$18,2)+Scores!$H$5*VLOOKUP(N19,Scores!$A$15:$B$18,2)+Scores!$I$5*VLOOKUP(O19,Scores!$A$15:$B$18,2)+Scores!$J$5*VLOOKUP(P19,Scores!$A$15:$B$18,2)</f>
        <v>55</v>
      </c>
      <c r="O20" s="6">
        <f>Scores!$L$5*VLOOKUP(M19,Scores!$A$15:$B$18,2)+Scores!$M$5*VLOOKUP(N19,Scores!$A$15:$B$18,2)+Scores!$N$5*VLOOKUP(O19,Scores!$A$15:$B$18,2)+Scores!$O$5*VLOOKUP(P19,Scores!$A$15:$B$18,2)</f>
        <v>0</v>
      </c>
      <c r="P20" s="7"/>
      <c r="Q20" s="7"/>
      <c r="R20" s="6">
        <f>Scores!$B$6*VLOOKUP(R19,Scores!$A$15:$B$18,2)+Scores!$C$6*VLOOKUP(S19,Scores!$A$15:$B$18,2)+Scores!$D$6*VLOOKUP(T19,Scores!$A$15:$B$18,2)+Scores!$E$6*VLOOKUP(U19,Scores!$A$15:$B$18,2)</f>
        <v>35</v>
      </c>
      <c r="S20" s="6">
        <f>Scores!$G$6*VLOOKUP(R19,Scores!$A$15:$B$18,2)+Scores!$H$6*VLOOKUP(S19,Scores!$A$15:$B$18,2)+Scores!$I$6*VLOOKUP(T19,Scores!$A$15:$B$18,2)+Scores!$J$6*VLOOKUP(U19,Scores!$A$15:$B$18,2)</f>
        <v>33</v>
      </c>
      <c r="T20" s="6">
        <f>Scores!$L$6*VLOOKUP(R19,Scores!$A$15:$B$18,2)+Scores!$M$6*VLOOKUP(S19,Scores!$A$15:$B$18,2)+Scores!$N$6*VLOOKUP(T19,Scores!$A$15:$B$18,2)+Scores!$O$6*VLOOKUP(U19,Scores!$A$15:$B$18,2)</f>
        <v>39</v>
      </c>
      <c r="U20" s="7"/>
      <c r="V20" s="7"/>
      <c r="W20" s="6">
        <f>Scores!$B$7*VLOOKUP(W19,Scores!$A$15:$B$18,2)+Scores!$C$7*VLOOKUP(X19,Scores!$A$15:$B$18,2)+Scores!$D$7*VLOOKUP(Y19,Scores!$A$15:$B$18,2)+Scores!$E$7*VLOOKUP(Z19,Scores!$A$15:$B$18,2)</f>
        <v>46</v>
      </c>
      <c r="X20" s="6">
        <f>Scores!$G$7*VLOOKUP(W19,Scores!$A$15:$B$18,2)+Scores!$H$7*VLOOKUP(X19,Scores!$A$15:$B$18,2)+Scores!$I$7*VLOOKUP(Y19,Scores!$A$15:$B$18,2)+Scores!$J$7*VLOOKUP(Z19,Scores!$A$15:$B$18,2)</f>
        <v>46</v>
      </c>
      <c r="Y20" s="6">
        <f>Scores!$L$7*VLOOKUP(W19,Scores!$A$15:$B$18,2)+Scores!$M$7*VLOOKUP(X19,Scores!$A$15:$B$18,2)+Scores!$N$7*VLOOKUP(Y19,Scores!$A$15:$B$18,2)+Scores!$O$7*VLOOKUP(Z19,Scores!$A$15:$B$18,2)</f>
        <v>47</v>
      </c>
      <c r="Z20" s="7"/>
      <c r="AA20" s="7"/>
      <c r="AB20" s="6">
        <f>Scores!$B$8*VLOOKUP(AB19,Scores!$A$15:$B$18,2)+Scores!$C$8*VLOOKUP(AC19,Scores!$A$15:$B$18,2)+Scores!$D$8*VLOOKUP(AD19,Scores!$A$15:$B$18,2)+Scores!$E$8*VLOOKUP(AE19,Scores!$A$15:$B$18,2)</f>
        <v>35</v>
      </c>
      <c r="AC20" s="6">
        <f>Scores!$G$8*VLOOKUP(AB19,Scores!$A$15:$B$18,2)+Scores!$H$8*VLOOKUP(AC19,Scores!$A$15:$B$18,2)+Scores!$I$8*VLOOKUP(AD19,Scores!$A$15:$B$18,2)+Scores!$J$8*VLOOKUP(AE19,Scores!$A$15:$B$18,2)</f>
        <v>33</v>
      </c>
      <c r="AD20" s="6">
        <f>Scores!$L$8*VLOOKUP(AB19,Scores!$A$15:$B$18,2)+Scores!$M$8*VLOOKUP(AC19,Scores!$A$15:$B$18,2)+Scores!$N$8*VLOOKUP(AD19,Scores!$A$15:$B$18,2)+Scores!$O$8*VLOOKUP(AE19,Scores!$A$15:$B$18,2)</f>
        <v>39</v>
      </c>
      <c r="AE20" s="7"/>
      <c r="AF20" s="7"/>
      <c r="AG20" s="6">
        <f>Scores!$B$9*VLOOKUP(AG19,Scores!$A$15:$B$18,2)+Scores!$C$9*VLOOKUP(AH19,Scores!$A$15:$B$18,2)+Scores!$D$9*VLOOKUP(AI19,Scores!$A$15:$B$18,2)+Scores!$E$9*VLOOKUP(AJ19,Scores!$A$15:$B$18,2)</f>
        <v>0</v>
      </c>
      <c r="AH20" s="6">
        <f>Scores!$G$9*VLOOKUP(AG19,Scores!$A$15:$B$18,2)+Scores!$H$9*VLOOKUP(AH19,Scores!$A$15:$B$18,2)+Scores!$I$9*VLOOKUP(AI19,Scores!$A$15:$B$18,2)+Scores!$J$9*VLOOKUP(AJ19,Scores!$A$15:$B$18,2)</f>
        <v>42</v>
      </c>
      <c r="AI20" s="6">
        <f>Scores!$L$9*VLOOKUP(AG19,Scores!$A$15:$B$18,2)+Scores!$M$9*VLOOKUP(AH19,Scores!$A$15:$B$18,2)+Scores!$N$9*VLOOKUP(AI19,Scores!$A$15:$B$18,2)+Scores!$O$9*VLOOKUP(AJ19,Scores!$A$15:$B$18,2)</f>
        <v>0</v>
      </c>
      <c r="AJ20" s="7"/>
      <c r="AK20" s="7"/>
      <c r="AL20" s="6">
        <f>Scores!$B$10*VLOOKUP(AL19,Scores!$A$15:$B$18,2)+Scores!$C$10*VLOOKUP(AM19,Scores!$A$15:$B$18,2)+Scores!$D$10*VLOOKUP(AN19,Scores!$A$15:$B$18,2)+Scores!$E$10*VLOOKUP(AO19,Scores!$A$15:$B$18,2)</f>
        <v>0</v>
      </c>
      <c r="AM20" s="6">
        <f>Scores!$G$10*VLOOKUP(AL19,Scores!$A$15:$B$18,2)+Scores!$H$10*VLOOKUP(AM19,Scores!$A$15:$B$18,2)+Scores!$I$10*VLOOKUP(AN19,Scores!$A$15:$B$18,2)+Scores!$J$10*VLOOKUP(AO19,Scores!$A$15:$B$18,2)</f>
        <v>0</v>
      </c>
      <c r="AN20" s="6">
        <f>Scores!$L$10*VLOOKUP(AL19,Scores!$A$15:$B$18,2)+Scores!$M$10*VLOOKUP(AM19,Scores!$A$15:$B$18,2)+Scores!$N$10*VLOOKUP(AN19,Scores!$A$15:$B$18,2)+Scores!$O$10*VLOOKUP(AO19,Scores!$A$15:$B$18,2)</f>
        <v>0</v>
      </c>
      <c r="AO20" s="7"/>
    </row>
    <row r="22" spans="1:49" x14ac:dyDescent="0.25">
      <c r="A22" s="8" t="s">
        <v>97</v>
      </c>
      <c r="C22">
        <f>BordaCOunt((C3:F3,C5:F5,C7:F7,C9:F9,C11:F11,C13:F13,C15:F15,C17:F17,C19:F19),1)</f>
        <v>1</v>
      </c>
      <c r="D22">
        <f>BordaCOunt((C3:F3,C5:F5,C7:F7,C9:F9,C11:F11,C13:F13,C15:F15,C17:F17,C19:F19),2)</f>
        <v>4</v>
      </c>
      <c r="E22">
        <f>BordaCOunt((C3:F3,C5:F5,C7:F7,C9:F9,C11:F11,C13:F13,C15:F15,C17:F17,C19:F19),3)</f>
        <v>3</v>
      </c>
      <c r="F22">
        <f>BordaCOunt((C3:F3,C5:F5,C7:F7,C9:F9,C11:F11,C13:F13,C15:F15,C17:F17,C19:F19),4)</f>
        <v>2</v>
      </c>
      <c r="H22">
        <f>BordaCOunt((H3:K3,H5:K5,H7:K7,H9:K9,H11:K11,H13:K13,H15:K15,H17:K17,H19:K19),1)</f>
        <v>4</v>
      </c>
      <c r="I22">
        <f>BordaCOunt((H3:K3,H5:K5,H7:K7,H9:K9,H11:K11,H13:K13,H15:K15,H17:K17,H19:K19),2)</f>
        <v>1</v>
      </c>
      <c r="J22">
        <f>BordaCOunt((H3:K3,H5:K5,H7:K7,H9:K9,H11:K11,H13:K13,H15:K15,H17:K17,H19:K19),3)</f>
        <v>3</v>
      </c>
      <c r="K22">
        <f>BordaCOunt((H3:K3,H5:K5,H7:K7,H9:K9,H11:K11,H13:K13,H15:K15,H17:K17,H19:K19),4)</f>
        <v>2</v>
      </c>
      <c r="M22">
        <f>BordaCOunt((M3:P3,M5:P5,M7:P7,M9:P9,M11:P11,M13:P13,M15:P15,M17:P17,M19:P19),1)</f>
        <v>3</v>
      </c>
      <c r="N22">
        <f>BordaCOunt((M3:P3,M5:P5,M7:P7,M9:P9,M11:P11,M13:P13,M15:P15,M17:P17,M19:P19),2)</f>
        <v>1</v>
      </c>
      <c r="O22">
        <f>BordaCOunt((M3:P3,M5:P5,M7:P7,M9:P9,M11:P11,M13:P13,M15:P15,M17:P17,M19:P19),3)</f>
        <v>4</v>
      </c>
      <c r="P22">
        <f>BordaCOunt((M3:P3,M5:P5,M7:P7,M9:P9,M11:P11,M13:P13,M15:P15,M17:P17,M19:P19),4)</f>
        <v>2</v>
      </c>
      <c r="R22">
        <f>BordaCOunt((R3:U3,R5:U5,R7:U7,R9:U9,R11:U11,R13:U13,R15:U15,R17:U17,R19:U19),1)</f>
        <v>4</v>
      </c>
      <c r="S22">
        <f>BordaCOunt((R3:U3,R5:U5,R7:U7,R9:U9,R11:U11,R13:U13,R15:U15,R17:U17,R19:U19),2)</f>
        <v>3</v>
      </c>
      <c r="T22">
        <f>BordaCOunt((R3:U3,R5:U5,R7:U7,R9:U9,R11:U11,R13:U13,R15:U15,R17:U17,R19:U19),3)</f>
        <v>1</v>
      </c>
      <c r="U22">
        <f>BordaCOunt((R3:U3,R5:U5,R7:U7,R9:U9,R11:U11,R13:U13,R15:U15,R17:U17,R19:U19),4)</f>
        <v>2</v>
      </c>
      <c r="W22">
        <f>BordaCOunt((W3:Z3,W5:Z5,W7:Z7,W9:Z9,W11:Z11,W13:Z13,W15:Z15,W17:Z17,W19:Z19),1)</f>
        <v>2</v>
      </c>
      <c r="X22">
        <f>BordaCOunt((W3:Z3,W5:Z5,W7:Z7,W9:Z9,W11:Z11,W13:Z13,W15:Z15,W17:Z17,W19:Z19),2)</f>
        <v>3</v>
      </c>
      <c r="Y22">
        <f>BordaCOunt((W3:Z3,W5:Z5,W7:Z7,W9:Z9,W11:Z11,W13:Z13,W15:Z15,W17:Z17,W19:Z19),3)</f>
        <v>1</v>
      </c>
      <c r="Z22">
        <f>BordaCOunt((W3:Z3,W5:Z5,W7:Z7,W9:Z9,W11:Z11,W13:Z13,W15:Z15,W17:Z17,W19:Z19),4)</f>
        <v>4</v>
      </c>
      <c r="AB22">
        <f>BordaCOunt((AB3:AE3,AB5:AE5,AB7:AE7,AB9:AE9,AB11:AE11,AB13:AE13,AB15:AE15,AB17:AE17,AB19:AE19),1)</f>
        <v>1</v>
      </c>
      <c r="AC22">
        <f>BordaCOunt((AB3:AE3,AB5:AE5,AB7:AE7,AB9:AE9,AB11:AE11,AB13:AE13,AB15:AE15,AB17:AE17,AB19:AE19),2)</f>
        <v>3</v>
      </c>
      <c r="AD22">
        <f>BordaCOunt((AB3:AE3,AB5:AE5,AB7:AE7,AB9:AE9,AB11:AE11,AB13:AE13,AB15:AE15,AB17:AE17,AB19:AE19),3)</f>
        <v>4</v>
      </c>
      <c r="AE22">
        <f>BordaCOunt((AB3:AE3,AB5:AE5,AB7:AE7,AB9:AE9,AB11:AE11,AB13:AE13,AB15:AE15,AB17:AE17,AB19:AE19),4)</f>
        <v>2</v>
      </c>
      <c r="AG22">
        <f>BordaCOunt((AG3:AJ3,AG5:AJ5,AG7:AJ7,AG9:AJ9,AG11:AJ11,AG13:AJ13,AG15:AJ15,AG17:AJ17,AG19:AJ19),1)</f>
        <v>3</v>
      </c>
      <c r="AH22">
        <f>BordaCOunt((AG3:AJ3,AG5:AJ5,AG7:AJ7,AG9:AJ9,AG11:AJ11,AG13:AJ13,AG15:AJ15,AG17:AJ17,AG19:AJ19),2)</f>
        <v>4</v>
      </c>
      <c r="AI22">
        <f>BordaCOunt((AG3:AJ3,AG5:AJ5,AG7:AJ7,AG9:AJ9,AG11:AJ11,AG13:AJ13,AG15:AJ15,AG17:AJ17,AG19:AJ19),3)</f>
        <v>2</v>
      </c>
      <c r="AJ22">
        <f>BordaCOunt((AG3:AJ3,AG5:AJ5,AG7:AJ7,AG9:AJ9,AG11:AJ11,AG13:AJ13,AG15:AJ15,AG17:AJ17,AG19:AJ19),4)</f>
        <v>1</v>
      </c>
      <c r="AL22">
        <f>BordaCOunt((AL3:AO3,AL5:AO5,AL7:AO7,AL9:AO9,AL11:AO11,AL13:AO13,AL15:AO15,AL17:AO17,AL19:AO19),1)</f>
        <v>1</v>
      </c>
      <c r="AM22">
        <f>BordaCOunt((AL3:AO3,AL5:AO5,AL7:AO7,AL9:AO9,AL11:AO11,AL13:AO13,AL15:AO15,AL17:AO17,AL19:AO19),2)</f>
        <v>2</v>
      </c>
      <c r="AN22">
        <f>BordaCOunt((AL3:AO3,AL5:AO5,AL7:AO7,AL9:AO9,AL11:AO11,AL13:AO13,AL15:AO15,AL17:AO17,AL19:AO19),3)</f>
        <v>3</v>
      </c>
      <c r="AO22">
        <f>BordaCOunt((AL3:AO3,AL5:AO5,AL7:AO7,AL9:AO9,AL11:AO11,AL13:AO13,AL15:AO15,AL17:AO17,AL19:AO19),4)</f>
        <v>4</v>
      </c>
      <c r="AP22" s="1"/>
      <c r="AQ22" s="9">
        <f>((C23+H23+M23+R23+W23)-Scores!$E$15)/(Scores!$I$15-Scores!$E$15)</f>
        <v>0.84482758620689657</v>
      </c>
      <c r="AR22" s="9">
        <f>((D23+I23+N23+S23+X23)-Scores!$E$16)/(Scores!$I$16-Scores!$E$16)</f>
        <v>0.51724137931034486</v>
      </c>
      <c r="AS22" s="9">
        <f>((E23+J23+O23+T23+Y23)-Scores!$E$17)/(Scores!$I$17-Scores!$E$17)</f>
        <v>0.68965517241379315</v>
      </c>
      <c r="AU22" s="9">
        <f>((AB23+AG23+AL23)-Scores!$F$15)/(Scores!$J$15-Scores!$F$15)</f>
        <v>0.93103448275862066</v>
      </c>
      <c r="AV22" s="9">
        <f>((AC23+AH23+AM23)-Scores!$F$16)/(Scores!$J$16-Scores!$F$16)</f>
        <v>1</v>
      </c>
      <c r="AW22" s="9">
        <f>((AD23+AI23+AN23)-Scores!$F$17)/(Scores!$J$17-Scores!$F$17)</f>
        <v>0.58620689655172409</v>
      </c>
    </row>
    <row r="23" spans="1:49" x14ac:dyDescent="0.25">
      <c r="C23" s="6">
        <f>Scores!$B$3*VLOOKUP(C22,Scores!$A$15:$B$18,2)+Scores!$C$3*VLOOKUP(D22,Scores!$A$15:$B$18,2)+Scores!$D$3*VLOOKUP(E22,Scores!$A$15:$B$18,2)+Scores!$E$3*VLOOKUP(F22,Scores!$A$15:$B$18,2)</f>
        <v>0</v>
      </c>
      <c r="D23" s="6">
        <f>Scores!$G$3*VLOOKUP(C22,Scores!$A$15:$B$18,2)+Scores!$H$3*VLOOKUP(D22,Scores!$A$15:$B$18,2)+Scores!$I$3*VLOOKUP(E22,Scores!$A$15:$B$18,2)+Scores!$J$3*VLOOKUP(F22,Scores!$A$15:$B$18,2)</f>
        <v>62</v>
      </c>
      <c r="E23" s="6">
        <f>Scores!$L$3*VLOOKUP(C22,Scores!$A$15:$B$18,2)+Scores!$M$3*VLOOKUP(D22,Scores!$A$15:$B$18,2)+Scores!$N$3*VLOOKUP(E22,Scores!$A$15:$B$18,2)+Scores!$O$3*VLOOKUP(F22,Scores!$A$15:$B$18,2)</f>
        <v>0</v>
      </c>
      <c r="F23" s="7"/>
      <c r="H23" s="6">
        <f>Scores!$B$4*VLOOKUP(H22,Scores!$A$15:$B$18,2)+Scores!$C$4*VLOOKUP(I22,Scores!$A$15:$B$18,2)+Scores!$D$4*VLOOKUP(J22,Scores!$A$15:$B$18,2)+Scores!$E$4*VLOOKUP(K22,Scores!$A$15:$B$18,2)</f>
        <v>60</v>
      </c>
      <c r="I23" s="6">
        <f>Scores!$G$4*VLOOKUP(H22,Scores!$A$15:$B$18,2)+Scores!$H$4*VLOOKUP(I22,Scores!$A$15:$B$18,2)+Scores!$I$4*VLOOKUP(J22,Scores!$A$15:$B$18,2)+Scores!$J$4*VLOOKUP(K22,Scores!$A$15:$B$18,2)</f>
        <v>35</v>
      </c>
      <c r="J23" s="6">
        <f>Scores!$L$4*VLOOKUP(H22,Scores!$A$15:$B$18,2)+Scores!$M$4*VLOOKUP(I22,Scores!$A$15:$B$18,2)+Scores!$N$4*VLOOKUP(J22,Scores!$A$15:$B$18,2)+Scores!$O$4*VLOOKUP(K22,Scores!$A$15:$B$18,2)</f>
        <v>0</v>
      </c>
      <c r="K23" s="7"/>
      <c r="L23" s="7"/>
      <c r="M23" s="6">
        <f>Scores!$B$5*VLOOKUP(M22,Scores!$A$15:$B$18,2)+Scores!$C$5*VLOOKUP(N22,Scores!$A$15:$B$18,2)+Scores!$D$5*VLOOKUP(O22,Scores!$A$15:$B$18,2)+Scores!$E$5*VLOOKUP(P22,Scores!$A$15:$B$18,2)</f>
        <v>62</v>
      </c>
      <c r="N23" s="6">
        <f>Scores!$G$5*VLOOKUP(M22,Scores!$A$15:$B$18,2)+Scores!$H$5*VLOOKUP(N22,Scores!$A$15:$B$18,2)+Scores!$I$5*VLOOKUP(O22,Scores!$A$15:$B$18,2)+Scores!$J$5*VLOOKUP(P22,Scores!$A$15:$B$18,2)</f>
        <v>39</v>
      </c>
      <c r="O23" s="6">
        <f>Scores!$L$5*VLOOKUP(M22,Scores!$A$15:$B$18,2)+Scores!$M$5*VLOOKUP(N22,Scores!$A$15:$B$18,2)+Scores!$N$5*VLOOKUP(O22,Scores!$A$15:$B$18,2)+Scores!$O$5*VLOOKUP(P22,Scores!$A$15:$B$18,2)</f>
        <v>0</v>
      </c>
      <c r="P23" s="7"/>
      <c r="Q23" s="7"/>
      <c r="R23" s="6">
        <f>Scores!$B$6*VLOOKUP(R22,Scores!$A$15:$B$18,2)+Scores!$C$6*VLOOKUP(S22,Scores!$A$15:$B$18,2)+Scores!$D$6*VLOOKUP(T22,Scores!$A$15:$B$18,2)+Scores!$E$6*VLOOKUP(U22,Scores!$A$15:$B$18,2)</f>
        <v>46</v>
      </c>
      <c r="S23" s="6">
        <f>Scores!$G$6*VLOOKUP(R22,Scores!$A$15:$B$18,2)+Scores!$H$6*VLOOKUP(S22,Scores!$A$15:$B$18,2)+Scores!$I$6*VLOOKUP(T22,Scores!$A$15:$B$18,2)+Scores!$J$6*VLOOKUP(U22,Scores!$A$15:$B$18,2)</f>
        <v>42</v>
      </c>
      <c r="T23" s="6">
        <f>Scores!$L$6*VLOOKUP(R22,Scores!$A$15:$B$18,2)+Scores!$M$6*VLOOKUP(S22,Scores!$A$15:$B$18,2)+Scores!$N$6*VLOOKUP(T22,Scores!$A$15:$B$18,2)+Scores!$O$6*VLOOKUP(U22,Scores!$A$15:$B$18,2)</f>
        <v>56</v>
      </c>
      <c r="U23" s="7"/>
      <c r="V23" s="7"/>
      <c r="W23" s="6">
        <f>Scores!$B$7*VLOOKUP(W22,Scores!$A$15:$B$18,2)+Scores!$C$7*VLOOKUP(X22,Scores!$A$15:$B$18,2)+Scores!$D$7*VLOOKUP(Y22,Scores!$A$15:$B$18,2)+Scores!$E$7*VLOOKUP(Z22,Scores!$A$15:$B$18,2)</f>
        <v>62</v>
      </c>
      <c r="X23" s="6">
        <f>Scores!$G$7*VLOOKUP(W22,Scores!$A$15:$B$18,2)+Scores!$H$7*VLOOKUP(X22,Scores!$A$15:$B$18,2)+Scores!$I$7*VLOOKUP(Y22,Scores!$A$15:$B$18,2)+Scores!$J$7*VLOOKUP(Z22,Scores!$A$15:$B$18,2)</f>
        <v>62</v>
      </c>
      <c r="Y23" s="6">
        <f>Scores!$L$7*VLOOKUP(W22,Scores!$A$15:$B$18,2)+Scores!$M$7*VLOOKUP(X22,Scores!$A$15:$B$18,2)+Scores!$N$7*VLOOKUP(Y22,Scores!$A$15:$B$18,2)+Scores!$O$7*VLOOKUP(Z22,Scores!$A$15:$B$18,2)</f>
        <v>50</v>
      </c>
      <c r="Z23" s="7"/>
      <c r="AA23" s="7"/>
      <c r="AB23" s="6">
        <f>Scores!$B$8*VLOOKUP(AB22,Scores!$A$15:$B$18,2)+Scores!$C$8*VLOOKUP(AC22,Scores!$A$15:$B$18,2)+Scores!$D$8*VLOOKUP(AD22,Scores!$A$15:$B$18,2)+Scores!$E$8*VLOOKUP(AE22,Scores!$A$15:$B$18,2)</f>
        <v>60</v>
      </c>
      <c r="AC23" s="6">
        <f>Scores!$G$8*VLOOKUP(AB22,Scores!$A$15:$B$18,2)+Scores!$H$8*VLOOKUP(AC22,Scores!$A$15:$B$18,2)+Scores!$I$8*VLOOKUP(AD22,Scores!$A$15:$B$18,2)+Scores!$J$8*VLOOKUP(AE22,Scores!$A$15:$B$18,2)</f>
        <v>62</v>
      </c>
      <c r="AD23" s="6">
        <f>Scores!$L$8*VLOOKUP(AB22,Scores!$A$15:$B$18,2)+Scores!$M$8*VLOOKUP(AC22,Scores!$A$15:$B$18,2)+Scores!$N$8*VLOOKUP(AD22,Scores!$A$15:$B$18,2)+Scores!$O$8*VLOOKUP(AE22,Scores!$A$15:$B$18,2)</f>
        <v>50</v>
      </c>
      <c r="AE23" s="7"/>
      <c r="AF23" s="7"/>
      <c r="AG23" s="6">
        <f>Scores!$B$9*VLOOKUP(AG22,Scores!$A$15:$B$18,2)+Scores!$C$9*VLOOKUP(AH22,Scores!$A$15:$B$18,2)+Scores!$D$9*VLOOKUP(AI22,Scores!$A$15:$B$18,2)+Scores!$E$9*VLOOKUP(AJ22,Scores!$A$15:$B$18,2)</f>
        <v>0</v>
      </c>
      <c r="AH23" s="6">
        <f>Scores!$G$9*VLOOKUP(AG22,Scores!$A$15:$B$18,2)+Scores!$H$9*VLOOKUP(AH22,Scores!$A$15:$B$18,2)+Scores!$I$9*VLOOKUP(AI22,Scores!$A$15:$B$18,2)+Scores!$J$9*VLOOKUP(AJ22,Scores!$A$15:$B$18,2)</f>
        <v>62</v>
      </c>
      <c r="AI23" s="6">
        <f>Scores!$L$9*VLOOKUP(AG22,Scores!$A$15:$B$18,2)+Scores!$M$9*VLOOKUP(AH22,Scores!$A$15:$B$18,2)+Scores!$N$9*VLOOKUP(AI22,Scores!$A$15:$B$18,2)+Scores!$O$9*VLOOKUP(AJ22,Scores!$A$15:$B$18,2)</f>
        <v>0</v>
      </c>
      <c r="AJ23" s="7"/>
      <c r="AK23" s="7"/>
      <c r="AL23" s="6">
        <f>Scores!$B$10*VLOOKUP(AL22,Scores!$A$15:$B$18,2)+Scores!$C$10*VLOOKUP(AM22,Scores!$A$15:$B$18,2)+Scores!$D$10*VLOOKUP(AN22,Scores!$A$15:$B$18,2)+Scores!$E$10*VLOOKUP(AO22,Scores!$A$15:$B$18,2)</f>
        <v>0</v>
      </c>
      <c r="AM23" s="6">
        <f>Scores!$G$10*VLOOKUP(AL22,Scores!$A$15:$B$18,2)+Scores!$H$10*VLOOKUP(AM22,Scores!$A$15:$B$18,2)+Scores!$I$10*VLOOKUP(AN22,Scores!$A$15:$B$18,2)+Scores!$J$10*VLOOKUP(AO22,Scores!$A$15:$B$18,2)</f>
        <v>0</v>
      </c>
      <c r="AN23" s="6">
        <f>Scores!$L$10*VLOOKUP(AL22,Scores!$A$15:$B$18,2)+Scores!$M$10*VLOOKUP(AM22,Scores!$A$15:$B$18,2)+Scores!$N$10*VLOOKUP(AN22,Scores!$A$15:$B$18,2)+Scores!$O$10*VLOOKUP(AO22,Scores!$A$15:$B$18,2)</f>
        <v>0</v>
      </c>
      <c r="AO23" s="7"/>
    </row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W23"/>
  <sheetViews>
    <sheetView workbookViewId="0">
      <selection activeCell="AQ3" sqref="AQ3:AW19"/>
    </sheetView>
  </sheetViews>
  <sheetFormatPr defaultRowHeight="15" x14ac:dyDescent="0.25"/>
  <cols>
    <col min="1" max="1" width="21.28515625" customWidth="1"/>
    <col min="3" max="6" width="2.7109375" customWidth="1"/>
    <col min="7" max="7" width="1.7109375" customWidth="1"/>
    <col min="8" max="11" width="2.7109375" customWidth="1"/>
    <col min="12" max="12" width="1.7109375" customWidth="1"/>
    <col min="13" max="16" width="2.7109375" customWidth="1"/>
    <col min="17" max="17" width="1.7109375" customWidth="1"/>
    <col min="18" max="21" width="2.7109375" customWidth="1"/>
    <col min="22" max="22" width="1.7109375" customWidth="1"/>
    <col min="23" max="26" width="2.7109375" customWidth="1"/>
    <col min="27" max="27" width="1.7109375" customWidth="1"/>
    <col min="28" max="31" width="2.7109375" customWidth="1"/>
    <col min="32" max="32" width="1.7109375" customWidth="1"/>
    <col min="33" max="36" width="2.7109375" customWidth="1"/>
    <col min="37" max="37" width="1.7109375" customWidth="1"/>
    <col min="38" max="41" width="2.7109375" customWidth="1"/>
  </cols>
  <sheetData>
    <row r="1" spans="1:49" x14ac:dyDescent="0.25">
      <c r="A1" s="1"/>
      <c r="C1" s="1" t="s">
        <v>0</v>
      </c>
      <c r="D1" s="1"/>
      <c r="E1" s="1"/>
      <c r="F1" s="1"/>
      <c r="G1" s="1"/>
      <c r="AQ1" s="1" t="s">
        <v>69</v>
      </c>
      <c r="AU1" s="1" t="s">
        <v>73</v>
      </c>
    </row>
    <row r="2" spans="1:49" x14ac:dyDescent="0.25">
      <c r="A2" s="1" t="s">
        <v>2</v>
      </c>
      <c r="B2" s="1" t="s">
        <v>3</v>
      </c>
      <c r="C2" s="10">
        <v>1</v>
      </c>
      <c r="D2" s="10"/>
      <c r="E2" s="10"/>
      <c r="F2" s="10"/>
      <c r="G2" s="3"/>
      <c r="H2" s="10">
        <v>2</v>
      </c>
      <c r="I2" s="10"/>
      <c r="J2" s="10"/>
      <c r="K2" s="10"/>
      <c r="L2" s="3"/>
      <c r="M2" s="10">
        <v>3</v>
      </c>
      <c r="N2" s="10"/>
      <c r="O2" s="10"/>
      <c r="P2" s="10"/>
      <c r="Q2" s="3"/>
      <c r="R2" s="10">
        <v>4</v>
      </c>
      <c r="S2" s="10"/>
      <c r="T2" s="10"/>
      <c r="U2" s="10"/>
      <c r="V2" s="3"/>
      <c r="W2" s="10">
        <v>5</v>
      </c>
      <c r="X2" s="10"/>
      <c r="Y2" s="10"/>
      <c r="Z2" s="10"/>
      <c r="AA2" s="3"/>
      <c r="AB2" s="10">
        <v>6</v>
      </c>
      <c r="AC2" s="10"/>
      <c r="AD2" s="10"/>
      <c r="AE2" s="10"/>
      <c r="AF2" s="3"/>
      <c r="AG2" s="10">
        <v>7</v>
      </c>
      <c r="AH2" s="10"/>
      <c r="AI2" s="10"/>
      <c r="AJ2" s="10"/>
      <c r="AK2" s="3"/>
      <c r="AL2" s="10">
        <v>8</v>
      </c>
      <c r="AM2" s="10"/>
      <c r="AN2" s="10"/>
      <c r="AO2" s="10"/>
      <c r="AQ2" s="1" t="s">
        <v>10</v>
      </c>
      <c r="AR2" s="1" t="s">
        <v>11</v>
      </c>
      <c r="AS2" s="1" t="s">
        <v>21</v>
      </c>
      <c r="AT2" s="1"/>
      <c r="AU2" s="1" t="s">
        <v>10</v>
      </c>
      <c r="AV2" s="1" t="s">
        <v>11</v>
      </c>
      <c r="AW2" s="1" t="s">
        <v>21</v>
      </c>
    </row>
    <row r="3" spans="1:49" x14ac:dyDescent="0.25">
      <c r="A3" t="s">
        <v>27</v>
      </c>
      <c r="B3" t="s">
        <v>19</v>
      </c>
      <c r="C3">
        <v>1</v>
      </c>
      <c r="D3">
        <v>4</v>
      </c>
      <c r="E3">
        <v>3</v>
      </c>
      <c r="F3">
        <v>2</v>
      </c>
      <c r="H3">
        <v>2</v>
      </c>
      <c r="I3">
        <v>4</v>
      </c>
      <c r="J3">
        <v>3</v>
      </c>
      <c r="K3">
        <v>1</v>
      </c>
      <c r="M3">
        <v>2</v>
      </c>
      <c r="N3">
        <v>4</v>
      </c>
      <c r="O3">
        <v>3</v>
      </c>
      <c r="P3">
        <v>1</v>
      </c>
      <c r="R3">
        <v>2</v>
      </c>
      <c r="S3">
        <v>4</v>
      </c>
      <c r="T3">
        <v>1</v>
      </c>
      <c r="U3">
        <v>3</v>
      </c>
      <c r="W3">
        <v>1</v>
      </c>
      <c r="X3">
        <v>2</v>
      </c>
      <c r="Y3">
        <v>3</v>
      </c>
      <c r="Z3">
        <v>4</v>
      </c>
      <c r="AB3">
        <v>1</v>
      </c>
      <c r="AC3">
        <v>3</v>
      </c>
      <c r="AD3">
        <v>4</v>
      </c>
      <c r="AE3">
        <v>2</v>
      </c>
      <c r="AG3">
        <v>3</v>
      </c>
      <c r="AH3">
        <v>4</v>
      </c>
      <c r="AI3">
        <v>2</v>
      </c>
      <c r="AJ3">
        <v>1</v>
      </c>
      <c r="AL3">
        <v>2</v>
      </c>
      <c r="AM3">
        <v>1</v>
      </c>
      <c r="AN3">
        <v>3</v>
      </c>
      <c r="AO3">
        <v>4</v>
      </c>
      <c r="AQ3" s="9">
        <f>((C4+H4+M4+R4+W4)-Scores!$E$15)/(Scores!$I$15-Scores!$E$15)</f>
        <v>0.46551724137931033</v>
      </c>
      <c r="AR3" s="9">
        <f>((D4+I4+N4+S4+X4)-Scores!$E$16)/(Scores!$I$16-Scores!$E$16)</f>
        <v>0.78620689655172415</v>
      </c>
      <c r="AS3" s="9">
        <f>((E4+J4+O4+T4+Y4)-Scores!$E$17)/(Scores!$I$17-Scores!$E$17)</f>
        <v>1</v>
      </c>
      <c r="AT3" s="9"/>
      <c r="AU3" s="9">
        <f>((AB4+AG4+AL4)-Scores!$F$15)/(Scores!$J$15-Scores!$F$15)</f>
        <v>0.93103448275862066</v>
      </c>
      <c r="AV3" s="9">
        <f>((AC4+AH4+AM4)-Scores!$F$16)/(Scores!$J$16-Scores!$F$16)</f>
        <v>1</v>
      </c>
      <c r="AW3" s="9">
        <f>((AD4+AI4+AN4)-Scores!$F$17)/(Scores!$J$17-Scores!$F$17)</f>
        <v>0.58620689655172409</v>
      </c>
    </row>
    <row r="4" spans="1:49" s="5" customFormat="1" ht="11.25" x14ac:dyDescent="0.2">
      <c r="C4" s="6">
        <f>Scores!$B$3*VLOOKUP(C3,Scores!$A$15:$B$18,2)+Scores!$C$3*VLOOKUP(D3,Scores!$A$15:$B$18,2)+Scores!$D$3*VLOOKUP(E3,Scores!$A$15:$B$18,2)+Scores!$E$3*VLOOKUP(F3,Scores!$A$15:$B$18,2)</f>
        <v>0</v>
      </c>
      <c r="D4" s="6">
        <f>Scores!$G$3*VLOOKUP(C3,Scores!$A$15:$B$18,2)+Scores!$H$3*VLOOKUP(D3,Scores!$A$15:$B$18,2)+Scores!$I$3*VLOOKUP(E3,Scores!$A$15:$B$18,2)+Scores!$J$3*VLOOKUP(F3,Scores!$A$15:$B$18,2)</f>
        <v>62</v>
      </c>
      <c r="E4" s="6">
        <f>Scores!$L$3*VLOOKUP(C3,Scores!$A$15:$B$18,2)+Scores!$M$3*VLOOKUP(D3,Scores!$A$15:$B$18,2)+Scores!$N$3*VLOOKUP(E3,Scores!$A$15:$B$18,2)+Scores!$O$3*VLOOKUP(F3,Scores!$A$15:$B$18,2)</f>
        <v>0</v>
      </c>
      <c r="F4" s="7"/>
      <c r="G4" s="7"/>
      <c r="H4" s="6">
        <f>Scores!$B$4*VLOOKUP(H3,Scores!$A$15:$B$18,2)+Scores!$C$4*VLOOKUP(I3,Scores!$A$15:$B$18,2)+Scores!$D$4*VLOOKUP(J3,Scores!$A$15:$B$18,2)+Scores!$E$4*VLOOKUP(K3,Scores!$A$15:$B$18,2)</f>
        <v>38</v>
      </c>
      <c r="I4" s="6">
        <f>Scores!$G$4*VLOOKUP(H3,Scores!$A$15:$B$18,2)+Scores!$H$4*VLOOKUP(I3,Scores!$A$15:$B$18,2)+Scores!$I$4*VLOOKUP(J3,Scores!$A$15:$B$18,2)+Scores!$J$4*VLOOKUP(K3,Scores!$A$15:$B$18,2)</f>
        <v>57</v>
      </c>
      <c r="J4" s="6">
        <f>Scores!$L$4*VLOOKUP(H3,Scores!$A$15:$B$18,2)+Scores!$M$4*VLOOKUP(I3,Scores!$A$15:$B$18,2)+Scores!$N$4*VLOOKUP(J3,Scores!$A$15:$B$18,2)+Scores!$O$4*VLOOKUP(K3,Scores!$A$15:$B$18,2)</f>
        <v>0</v>
      </c>
      <c r="K4" s="7"/>
      <c r="L4" s="7"/>
      <c r="M4" s="6">
        <f>Scores!$B$5*VLOOKUP(M3,Scores!$A$15:$B$18,2)+Scores!$C$5*VLOOKUP(N3,Scores!$A$15:$B$18,2)+Scores!$D$5*VLOOKUP(O3,Scores!$A$15:$B$18,2)+Scores!$E$5*VLOOKUP(P3,Scores!$A$15:$B$18,2)</f>
        <v>47</v>
      </c>
      <c r="N4" s="6">
        <f>Scores!$G$5*VLOOKUP(M3,Scores!$A$15:$B$18,2)+Scores!$H$5*VLOOKUP(N3,Scores!$A$15:$B$18,2)+Scores!$I$5*VLOOKUP(O3,Scores!$A$15:$B$18,2)+Scores!$J$5*VLOOKUP(P3,Scores!$A$15:$B$18,2)</f>
        <v>57</v>
      </c>
      <c r="O4" s="6">
        <f>Scores!$L$5*VLOOKUP(M3,Scores!$A$15:$B$18,2)+Scores!$M$5*VLOOKUP(N3,Scores!$A$15:$B$18,2)+Scores!$N$5*VLOOKUP(O3,Scores!$A$15:$B$18,2)+Scores!$O$5*VLOOKUP(P3,Scores!$A$15:$B$18,2)</f>
        <v>0</v>
      </c>
      <c r="P4" s="7"/>
      <c r="Q4" s="7"/>
      <c r="R4" s="6">
        <f>Scores!$B$6*VLOOKUP(R3,Scores!$A$15:$B$18,2)+Scores!$C$6*VLOOKUP(S3,Scores!$A$15:$B$18,2)+Scores!$D$6*VLOOKUP(T3,Scores!$A$15:$B$18,2)+Scores!$E$6*VLOOKUP(U3,Scores!$A$15:$B$18,2)</f>
        <v>48</v>
      </c>
      <c r="S4" s="6">
        <f>Scores!$G$6*VLOOKUP(R3,Scores!$A$15:$B$18,2)+Scores!$H$6*VLOOKUP(S3,Scores!$A$15:$B$18,2)+Scores!$I$6*VLOOKUP(T3,Scores!$A$15:$B$18,2)+Scores!$J$6*VLOOKUP(U3,Scores!$A$15:$B$18,2)</f>
        <v>50</v>
      </c>
      <c r="T4" s="6">
        <f>Scores!$L$6*VLOOKUP(R3,Scores!$A$15:$B$18,2)+Scores!$M$6*VLOOKUP(S3,Scores!$A$15:$B$18,2)+Scores!$N$6*VLOOKUP(T3,Scores!$A$15:$B$18,2)+Scores!$O$6*VLOOKUP(U3,Scores!$A$15:$B$18,2)</f>
        <v>62</v>
      </c>
      <c r="U4" s="7"/>
      <c r="V4" s="7"/>
      <c r="W4" s="6">
        <f>Scores!$B$7*VLOOKUP(W3,Scores!$A$15:$B$18,2)+Scores!$C$7*VLOOKUP(X3,Scores!$A$15:$B$18,2)+Scores!$D$7*VLOOKUP(Y3,Scores!$A$15:$B$18,2)+Scores!$E$7*VLOOKUP(Z3,Scores!$A$15:$B$18,2)</f>
        <v>53</v>
      </c>
      <c r="X4" s="6">
        <f>Scores!$G$7*VLOOKUP(W3,Scores!$A$15:$B$18,2)+Scores!$H$7*VLOOKUP(X3,Scores!$A$15:$B$18,2)+Scores!$I$7*VLOOKUP(Y3,Scores!$A$15:$B$18,2)+Scores!$J$7*VLOOKUP(Z3,Scores!$A$15:$B$18,2)</f>
        <v>53</v>
      </c>
      <c r="Y4" s="6">
        <f>Scores!$L$7*VLOOKUP(W3,Scores!$A$15:$B$18,2)+Scores!$M$7*VLOOKUP(X3,Scores!$A$15:$B$18,2)+Scores!$N$7*VLOOKUP(Y3,Scores!$A$15:$B$18,2)+Scores!$O$7*VLOOKUP(Z3,Scores!$A$15:$B$18,2)</f>
        <v>62</v>
      </c>
      <c r="Z4" s="7"/>
      <c r="AA4" s="7"/>
      <c r="AB4" s="6">
        <f>Scores!$B$8*VLOOKUP(AB3,Scores!$A$15:$B$18,2)+Scores!$C$8*VLOOKUP(AC3,Scores!$A$15:$B$18,2)+Scores!$D$8*VLOOKUP(AD3,Scores!$A$15:$B$18,2)+Scores!$E$8*VLOOKUP(AE3,Scores!$A$15:$B$18,2)</f>
        <v>60</v>
      </c>
      <c r="AC4" s="6">
        <f>Scores!$G$8*VLOOKUP(AB3,Scores!$A$15:$B$18,2)+Scores!$H$8*VLOOKUP(AC3,Scores!$A$15:$B$18,2)+Scores!$I$8*VLOOKUP(AD3,Scores!$A$15:$B$18,2)+Scores!$J$8*VLOOKUP(AE3,Scores!$A$15:$B$18,2)</f>
        <v>62</v>
      </c>
      <c r="AD4" s="6">
        <f>Scores!$L$8*VLOOKUP(AB3,Scores!$A$15:$B$18,2)+Scores!$M$8*VLOOKUP(AC3,Scores!$A$15:$B$18,2)+Scores!$N$8*VLOOKUP(AD3,Scores!$A$15:$B$18,2)+Scores!$O$8*VLOOKUP(AE3,Scores!$A$15:$B$18,2)</f>
        <v>50</v>
      </c>
      <c r="AE4" s="7"/>
      <c r="AF4" s="7"/>
      <c r="AG4" s="6">
        <f>Scores!$B$9*VLOOKUP(AG3,Scores!$A$15:$B$18,2)+Scores!$C$9*VLOOKUP(AH3,Scores!$A$15:$B$18,2)+Scores!$D$9*VLOOKUP(AI3,Scores!$A$15:$B$18,2)+Scores!$E$9*VLOOKUP(AJ3,Scores!$A$15:$B$18,2)</f>
        <v>0</v>
      </c>
      <c r="AH4" s="6">
        <f>Scores!$G$9*VLOOKUP(AG3,Scores!$A$15:$B$18,2)+Scores!$H$9*VLOOKUP(AH3,Scores!$A$15:$B$18,2)+Scores!$I$9*VLOOKUP(AI3,Scores!$A$15:$B$18,2)+Scores!$J$9*VLOOKUP(AJ3,Scores!$A$15:$B$18,2)</f>
        <v>62</v>
      </c>
      <c r="AI4" s="6">
        <f>Scores!$L$9*VLOOKUP(AG3,Scores!$A$15:$B$18,2)+Scores!$M$9*VLOOKUP(AH3,Scores!$A$15:$B$18,2)+Scores!$N$9*VLOOKUP(AI3,Scores!$A$15:$B$18,2)+Scores!$O$9*VLOOKUP(AJ3,Scores!$A$15:$B$18,2)</f>
        <v>0</v>
      </c>
      <c r="AJ4" s="7"/>
      <c r="AK4" s="7"/>
      <c r="AL4" s="6">
        <f>Scores!$B$10*VLOOKUP(AL3,Scores!$A$15:$B$18,2)+Scores!$C$10*VLOOKUP(AM3,Scores!$A$15:$B$18,2)+Scores!$D$10*VLOOKUP(AN3,Scores!$A$15:$B$18,2)+Scores!$E$10*VLOOKUP(AO3,Scores!$A$15:$B$18,2)</f>
        <v>0</v>
      </c>
      <c r="AM4" s="6">
        <f>Scores!$G$10*VLOOKUP(AL3,Scores!$A$15:$B$18,2)+Scores!$H$10*VLOOKUP(AM3,Scores!$A$15:$B$18,2)+Scores!$I$10*VLOOKUP(AN3,Scores!$A$15:$B$18,2)+Scores!$J$10*VLOOKUP(AO3,Scores!$A$15:$B$18,2)</f>
        <v>0</v>
      </c>
      <c r="AN4" s="6">
        <f>Scores!$L$10*VLOOKUP(AL3,Scores!$A$15:$B$18,2)+Scores!$M$10*VLOOKUP(AM3,Scores!$A$15:$B$18,2)+Scores!$N$10*VLOOKUP(AN3,Scores!$A$15:$B$18,2)+Scores!$O$10*VLOOKUP(AO3,Scores!$A$15:$B$18,2)</f>
        <v>0</v>
      </c>
      <c r="AO4" s="7"/>
    </row>
    <row r="5" spans="1:49" x14ac:dyDescent="0.25">
      <c r="A5" t="s">
        <v>81</v>
      </c>
      <c r="B5" t="s">
        <v>19</v>
      </c>
      <c r="C5">
        <v>1</v>
      </c>
      <c r="D5">
        <v>4</v>
      </c>
      <c r="E5">
        <v>3</v>
      </c>
      <c r="F5">
        <v>2</v>
      </c>
      <c r="H5">
        <v>4</v>
      </c>
      <c r="I5">
        <v>1</v>
      </c>
      <c r="J5">
        <v>3</v>
      </c>
      <c r="K5">
        <v>2</v>
      </c>
      <c r="M5">
        <v>3</v>
      </c>
      <c r="N5">
        <v>1</v>
      </c>
      <c r="O5">
        <v>4</v>
      </c>
      <c r="P5">
        <v>2</v>
      </c>
      <c r="R5">
        <v>3</v>
      </c>
      <c r="S5">
        <v>1</v>
      </c>
      <c r="T5">
        <v>4</v>
      </c>
      <c r="U5">
        <v>2</v>
      </c>
      <c r="W5">
        <v>2</v>
      </c>
      <c r="X5">
        <v>3</v>
      </c>
      <c r="Y5">
        <v>1</v>
      </c>
      <c r="Z5">
        <v>4</v>
      </c>
      <c r="AB5">
        <v>1</v>
      </c>
      <c r="AC5">
        <v>2</v>
      </c>
      <c r="AD5">
        <v>4</v>
      </c>
      <c r="AE5">
        <v>3</v>
      </c>
      <c r="AG5">
        <v>3</v>
      </c>
      <c r="AH5">
        <v>4</v>
      </c>
      <c r="AI5">
        <v>2</v>
      </c>
      <c r="AJ5">
        <v>1</v>
      </c>
      <c r="AL5">
        <v>2</v>
      </c>
      <c r="AM5">
        <v>1</v>
      </c>
      <c r="AN5">
        <v>3</v>
      </c>
      <c r="AO5">
        <v>4</v>
      </c>
      <c r="AQ5" s="9">
        <f>((C6+H6+M6+R6+W6)-Scores!$E$15)/(Scores!$I$15-Scores!$E$15)</f>
        <v>0.80172413793103448</v>
      </c>
      <c r="AR5" s="9">
        <f>((D6+I6+N6+S6+X6)-Scores!$E$16)/(Scores!$I$16-Scores!$E$16)</f>
        <v>0.49655172413793103</v>
      </c>
      <c r="AS5" s="9">
        <f>((E6+J6+O6+T6+Y6)-Scores!$E$17)/(Scores!$I$17-Scores!$E$17)</f>
        <v>0.29310344827586204</v>
      </c>
      <c r="AT5" s="9"/>
      <c r="AU5" s="9">
        <f>((AB6+AG6+AL6)-Scores!$F$15)/(Scores!$J$15-Scores!$F$15)</f>
        <v>1</v>
      </c>
      <c r="AV5" s="9">
        <f>((AC6+AH6+AM6)-Scores!$F$16)/(Scores!$J$16-Scores!$F$16)</f>
        <v>0.96551724137931039</v>
      </c>
      <c r="AW5" s="9">
        <f>((AD6+AI6+AN6)-Scores!$F$17)/(Scores!$J$17-Scores!$F$17)</f>
        <v>0.51724137931034486</v>
      </c>
    </row>
    <row r="6" spans="1:49" s="5" customFormat="1" ht="11.25" x14ac:dyDescent="0.2">
      <c r="C6" s="6">
        <f>Scores!$B$3*VLOOKUP(C5,Scores!$A$15:$B$18,2)+Scores!$C$3*VLOOKUP(D5,Scores!$A$15:$B$18,2)+Scores!$D$3*VLOOKUP(E5,Scores!$A$15:$B$18,2)+Scores!$E$3*VLOOKUP(F5,Scores!$A$15:$B$18,2)</f>
        <v>0</v>
      </c>
      <c r="D6" s="6">
        <f>Scores!$G$3*VLOOKUP(C5,Scores!$A$15:$B$18,2)+Scores!$H$3*VLOOKUP(D5,Scores!$A$15:$B$18,2)+Scores!$I$3*VLOOKUP(E5,Scores!$A$15:$B$18,2)+Scores!$J$3*VLOOKUP(F5,Scores!$A$15:$B$18,2)</f>
        <v>62</v>
      </c>
      <c r="E6" s="6">
        <f>Scores!$L$3*VLOOKUP(C5,Scores!$A$15:$B$18,2)+Scores!$M$3*VLOOKUP(D5,Scores!$A$15:$B$18,2)+Scores!$N$3*VLOOKUP(E5,Scores!$A$15:$B$18,2)+Scores!$O$3*VLOOKUP(F5,Scores!$A$15:$B$18,2)</f>
        <v>0</v>
      </c>
      <c r="F6" s="7"/>
      <c r="G6" s="7"/>
      <c r="H6" s="6">
        <f>Scores!$B$4*VLOOKUP(H5,Scores!$A$15:$B$18,2)+Scores!$C$4*VLOOKUP(I5,Scores!$A$15:$B$18,2)+Scores!$D$4*VLOOKUP(J5,Scores!$A$15:$B$18,2)+Scores!$E$4*VLOOKUP(K5,Scores!$A$15:$B$18,2)</f>
        <v>60</v>
      </c>
      <c r="I6" s="6">
        <f>Scores!$G$4*VLOOKUP(H5,Scores!$A$15:$B$18,2)+Scores!$H$4*VLOOKUP(I5,Scores!$A$15:$B$18,2)+Scores!$I$4*VLOOKUP(J5,Scores!$A$15:$B$18,2)+Scores!$J$4*VLOOKUP(K5,Scores!$A$15:$B$18,2)</f>
        <v>35</v>
      </c>
      <c r="J6" s="6">
        <f>Scores!$L$4*VLOOKUP(H5,Scores!$A$15:$B$18,2)+Scores!$M$4*VLOOKUP(I5,Scores!$A$15:$B$18,2)+Scores!$N$4*VLOOKUP(J5,Scores!$A$15:$B$18,2)+Scores!$O$4*VLOOKUP(K5,Scores!$A$15:$B$18,2)</f>
        <v>0</v>
      </c>
      <c r="K6" s="7"/>
      <c r="L6" s="7"/>
      <c r="M6" s="6">
        <f>Scores!$B$5*VLOOKUP(M5,Scores!$A$15:$B$18,2)+Scores!$C$5*VLOOKUP(N5,Scores!$A$15:$B$18,2)+Scores!$D$5*VLOOKUP(O5,Scores!$A$15:$B$18,2)+Scores!$E$5*VLOOKUP(P5,Scores!$A$15:$B$18,2)</f>
        <v>62</v>
      </c>
      <c r="N6" s="6">
        <f>Scores!$G$5*VLOOKUP(M5,Scores!$A$15:$B$18,2)+Scores!$H$5*VLOOKUP(N5,Scores!$A$15:$B$18,2)+Scores!$I$5*VLOOKUP(O5,Scores!$A$15:$B$18,2)+Scores!$J$5*VLOOKUP(P5,Scores!$A$15:$B$18,2)</f>
        <v>39</v>
      </c>
      <c r="O6" s="6">
        <f>Scores!$L$5*VLOOKUP(M5,Scores!$A$15:$B$18,2)+Scores!$M$5*VLOOKUP(N5,Scores!$A$15:$B$18,2)+Scores!$N$5*VLOOKUP(O5,Scores!$A$15:$B$18,2)+Scores!$O$5*VLOOKUP(P5,Scores!$A$15:$B$18,2)</f>
        <v>0</v>
      </c>
      <c r="P6" s="7"/>
      <c r="Q6" s="7"/>
      <c r="R6" s="6">
        <f>Scores!$B$6*VLOOKUP(R5,Scores!$A$15:$B$18,2)+Scores!$C$6*VLOOKUP(S5,Scores!$A$15:$B$18,2)+Scores!$D$6*VLOOKUP(T5,Scores!$A$15:$B$18,2)+Scores!$E$6*VLOOKUP(U5,Scores!$A$15:$B$18,2)</f>
        <v>41</v>
      </c>
      <c r="S6" s="6">
        <f>Scores!$G$6*VLOOKUP(R5,Scores!$A$15:$B$18,2)+Scores!$H$6*VLOOKUP(S5,Scores!$A$15:$B$18,2)+Scores!$I$6*VLOOKUP(T5,Scores!$A$15:$B$18,2)+Scores!$J$6*VLOOKUP(U5,Scores!$A$15:$B$18,2)</f>
        <v>39</v>
      </c>
      <c r="T6" s="6">
        <f>Scores!$L$6*VLOOKUP(R5,Scores!$A$15:$B$18,2)+Scores!$M$6*VLOOKUP(S5,Scores!$A$15:$B$18,2)+Scores!$N$6*VLOOKUP(T5,Scores!$A$15:$B$18,2)+Scores!$O$6*VLOOKUP(U5,Scores!$A$15:$B$18,2)</f>
        <v>33</v>
      </c>
      <c r="U6" s="7"/>
      <c r="V6" s="7"/>
      <c r="W6" s="6">
        <f>Scores!$B$7*VLOOKUP(W5,Scores!$A$15:$B$18,2)+Scores!$C$7*VLOOKUP(X5,Scores!$A$15:$B$18,2)+Scores!$D$7*VLOOKUP(Y5,Scores!$A$15:$B$18,2)+Scores!$E$7*VLOOKUP(Z5,Scores!$A$15:$B$18,2)</f>
        <v>62</v>
      </c>
      <c r="X6" s="6">
        <f>Scores!$G$7*VLOOKUP(W5,Scores!$A$15:$B$18,2)+Scores!$H$7*VLOOKUP(X5,Scores!$A$15:$B$18,2)+Scores!$I$7*VLOOKUP(Y5,Scores!$A$15:$B$18,2)+Scores!$J$7*VLOOKUP(Z5,Scores!$A$15:$B$18,2)</f>
        <v>62</v>
      </c>
      <c r="Y6" s="6">
        <f>Scores!$L$7*VLOOKUP(W5,Scores!$A$15:$B$18,2)+Scores!$M$7*VLOOKUP(X5,Scores!$A$15:$B$18,2)+Scores!$N$7*VLOOKUP(Y5,Scores!$A$15:$B$18,2)+Scores!$O$7*VLOOKUP(Z5,Scores!$A$15:$B$18,2)</f>
        <v>50</v>
      </c>
      <c r="Z6" s="7"/>
      <c r="AA6" s="7"/>
      <c r="AB6" s="6">
        <f>Scores!$B$8*VLOOKUP(AB5,Scores!$A$15:$B$18,2)+Scores!$C$8*VLOOKUP(AC5,Scores!$A$15:$B$18,2)+Scores!$D$8*VLOOKUP(AD5,Scores!$A$15:$B$18,2)+Scores!$E$8*VLOOKUP(AE5,Scores!$A$15:$B$18,2)</f>
        <v>62</v>
      </c>
      <c r="AC6" s="6">
        <f>Scores!$G$8*VLOOKUP(AB5,Scores!$A$15:$B$18,2)+Scores!$H$8*VLOOKUP(AC5,Scores!$A$15:$B$18,2)+Scores!$I$8*VLOOKUP(AD5,Scores!$A$15:$B$18,2)+Scores!$J$8*VLOOKUP(AE5,Scores!$A$15:$B$18,2)</f>
        <v>60</v>
      </c>
      <c r="AD6" s="6">
        <f>Scores!$L$8*VLOOKUP(AB5,Scores!$A$15:$B$18,2)+Scores!$M$8*VLOOKUP(AC5,Scores!$A$15:$B$18,2)+Scores!$N$8*VLOOKUP(AD5,Scores!$A$15:$B$18,2)+Scores!$O$8*VLOOKUP(AE5,Scores!$A$15:$B$18,2)</f>
        <v>48</v>
      </c>
      <c r="AE6" s="7"/>
      <c r="AF6" s="7"/>
      <c r="AG6" s="6">
        <f>Scores!$B$9*VLOOKUP(AG5,Scores!$A$15:$B$18,2)+Scores!$C$9*VLOOKUP(AH5,Scores!$A$15:$B$18,2)+Scores!$D$9*VLOOKUP(AI5,Scores!$A$15:$B$18,2)+Scores!$E$9*VLOOKUP(AJ5,Scores!$A$15:$B$18,2)</f>
        <v>0</v>
      </c>
      <c r="AH6" s="6">
        <f>Scores!$G$9*VLOOKUP(AG5,Scores!$A$15:$B$18,2)+Scores!$H$9*VLOOKUP(AH5,Scores!$A$15:$B$18,2)+Scores!$I$9*VLOOKUP(AI5,Scores!$A$15:$B$18,2)+Scores!$J$9*VLOOKUP(AJ5,Scores!$A$15:$B$18,2)</f>
        <v>62</v>
      </c>
      <c r="AI6" s="6">
        <f>Scores!$L$9*VLOOKUP(AG5,Scores!$A$15:$B$18,2)+Scores!$M$9*VLOOKUP(AH5,Scores!$A$15:$B$18,2)+Scores!$N$9*VLOOKUP(AI5,Scores!$A$15:$B$18,2)+Scores!$O$9*VLOOKUP(AJ5,Scores!$A$15:$B$18,2)</f>
        <v>0</v>
      </c>
      <c r="AJ6" s="7"/>
      <c r="AK6" s="7"/>
      <c r="AL6" s="6">
        <f>Scores!$B$10*VLOOKUP(AL5,Scores!$A$15:$B$18,2)+Scores!$C$10*VLOOKUP(AM5,Scores!$A$15:$B$18,2)+Scores!$D$10*VLOOKUP(AN5,Scores!$A$15:$B$18,2)+Scores!$E$10*VLOOKUP(AO5,Scores!$A$15:$B$18,2)</f>
        <v>0</v>
      </c>
      <c r="AM6" s="6">
        <f>Scores!$G$10*VLOOKUP(AL5,Scores!$A$15:$B$18,2)+Scores!$H$10*VLOOKUP(AM5,Scores!$A$15:$B$18,2)+Scores!$I$10*VLOOKUP(AN5,Scores!$A$15:$B$18,2)+Scores!$J$10*VLOOKUP(AO5,Scores!$A$15:$B$18,2)</f>
        <v>0</v>
      </c>
      <c r="AN6" s="6">
        <f>Scores!$L$10*VLOOKUP(AL5,Scores!$A$15:$B$18,2)+Scores!$M$10*VLOOKUP(AM5,Scores!$A$15:$B$18,2)+Scores!$N$10*VLOOKUP(AN5,Scores!$A$15:$B$18,2)+Scores!$O$10*VLOOKUP(AO5,Scores!$A$15:$B$18,2)</f>
        <v>0</v>
      </c>
      <c r="AO6" s="7"/>
    </row>
    <row r="7" spans="1:49" x14ac:dyDescent="0.25">
      <c r="A7" t="s">
        <v>83</v>
      </c>
      <c r="B7" t="s">
        <v>19</v>
      </c>
      <c r="C7">
        <v>1</v>
      </c>
      <c r="D7">
        <v>4</v>
      </c>
      <c r="E7">
        <v>3</v>
      </c>
      <c r="F7">
        <v>2</v>
      </c>
      <c r="H7">
        <v>2</v>
      </c>
      <c r="I7">
        <v>4</v>
      </c>
      <c r="J7">
        <v>3</v>
      </c>
      <c r="K7">
        <v>1</v>
      </c>
      <c r="M7">
        <v>2</v>
      </c>
      <c r="N7">
        <v>4</v>
      </c>
      <c r="O7">
        <v>1</v>
      </c>
      <c r="P7">
        <v>3</v>
      </c>
      <c r="R7">
        <v>2</v>
      </c>
      <c r="S7">
        <v>4</v>
      </c>
      <c r="T7">
        <v>1</v>
      </c>
      <c r="U7">
        <v>3</v>
      </c>
      <c r="W7">
        <v>3</v>
      </c>
      <c r="X7">
        <v>1</v>
      </c>
      <c r="Y7">
        <v>2</v>
      </c>
      <c r="Z7">
        <v>4</v>
      </c>
      <c r="AB7">
        <v>1</v>
      </c>
      <c r="AC7">
        <v>2</v>
      </c>
      <c r="AD7">
        <v>4</v>
      </c>
      <c r="AE7">
        <v>3</v>
      </c>
      <c r="AG7">
        <v>3</v>
      </c>
      <c r="AH7">
        <v>4</v>
      </c>
      <c r="AI7">
        <v>2</v>
      </c>
      <c r="AJ7">
        <v>1</v>
      </c>
      <c r="AL7">
        <v>2</v>
      </c>
      <c r="AM7">
        <v>1</v>
      </c>
      <c r="AN7">
        <v>3</v>
      </c>
      <c r="AO7">
        <v>4</v>
      </c>
      <c r="AQ7" s="9">
        <f>((C8+H8+M8+R8+W8)-Scores!$E$15)/(Scores!$I$15-Scores!$E$15)</f>
        <v>0.31896551724137934</v>
      </c>
      <c r="AR7" s="9">
        <f>((D8+I8+N8+S8+X8)-Scores!$E$16)/(Scores!$I$16-Scores!$E$16)</f>
        <v>0.71724137931034482</v>
      </c>
      <c r="AS7" s="9">
        <f>((E8+J8+O8+T8+Y8)-Scores!$E$17)/(Scores!$I$17-Scores!$E$17)</f>
        <v>0.84482758620689657</v>
      </c>
      <c r="AT7" s="9"/>
      <c r="AU7" s="9">
        <f>((AB8+AG8+AL8)-Scores!$F$15)/(Scores!$J$15-Scores!$F$15)</f>
        <v>1</v>
      </c>
      <c r="AV7" s="9">
        <f>((AC8+AH8+AM8)-Scores!$F$16)/(Scores!$J$16-Scores!$F$16)</f>
        <v>0.96551724137931039</v>
      </c>
      <c r="AW7" s="9">
        <f>((AD8+AI8+AN8)-Scores!$F$17)/(Scores!$J$17-Scores!$F$17)</f>
        <v>0.51724137931034486</v>
      </c>
    </row>
    <row r="8" spans="1:49" s="5" customFormat="1" ht="11.25" x14ac:dyDescent="0.2">
      <c r="C8" s="6">
        <f>Scores!$B$3*VLOOKUP(C7,Scores!$A$15:$B$18,2)+Scores!$C$3*VLOOKUP(D7,Scores!$A$15:$B$18,2)+Scores!$D$3*VLOOKUP(E7,Scores!$A$15:$B$18,2)+Scores!$E$3*VLOOKUP(F7,Scores!$A$15:$B$18,2)</f>
        <v>0</v>
      </c>
      <c r="D8" s="6">
        <f>Scores!$G$3*VLOOKUP(C7,Scores!$A$15:$B$18,2)+Scores!$H$3*VLOOKUP(D7,Scores!$A$15:$B$18,2)+Scores!$I$3*VLOOKUP(E7,Scores!$A$15:$B$18,2)+Scores!$J$3*VLOOKUP(F7,Scores!$A$15:$B$18,2)</f>
        <v>62</v>
      </c>
      <c r="E8" s="6">
        <f>Scores!$L$3*VLOOKUP(C7,Scores!$A$15:$B$18,2)+Scores!$M$3*VLOOKUP(D7,Scores!$A$15:$B$18,2)+Scores!$N$3*VLOOKUP(E7,Scores!$A$15:$B$18,2)+Scores!$O$3*VLOOKUP(F7,Scores!$A$15:$B$18,2)</f>
        <v>0</v>
      </c>
      <c r="F8" s="7"/>
      <c r="G8" s="7"/>
      <c r="H8" s="6">
        <f>Scores!$B$4*VLOOKUP(H7,Scores!$A$15:$B$18,2)+Scores!$C$4*VLOOKUP(I7,Scores!$A$15:$B$18,2)+Scores!$D$4*VLOOKUP(J7,Scores!$A$15:$B$18,2)+Scores!$E$4*VLOOKUP(K7,Scores!$A$15:$B$18,2)</f>
        <v>38</v>
      </c>
      <c r="I8" s="6">
        <f>Scores!$G$4*VLOOKUP(H7,Scores!$A$15:$B$18,2)+Scores!$H$4*VLOOKUP(I7,Scores!$A$15:$B$18,2)+Scores!$I$4*VLOOKUP(J7,Scores!$A$15:$B$18,2)+Scores!$J$4*VLOOKUP(K7,Scores!$A$15:$B$18,2)</f>
        <v>57</v>
      </c>
      <c r="J8" s="6">
        <f>Scores!$L$4*VLOOKUP(H7,Scores!$A$15:$B$18,2)+Scores!$M$4*VLOOKUP(I7,Scores!$A$15:$B$18,2)+Scores!$N$4*VLOOKUP(J7,Scores!$A$15:$B$18,2)+Scores!$O$4*VLOOKUP(K7,Scores!$A$15:$B$18,2)</f>
        <v>0</v>
      </c>
      <c r="K8" s="7"/>
      <c r="L8" s="7"/>
      <c r="M8" s="6">
        <f>Scores!$B$5*VLOOKUP(M7,Scores!$A$15:$B$18,2)+Scores!$C$5*VLOOKUP(N7,Scores!$A$15:$B$18,2)+Scores!$D$5*VLOOKUP(O7,Scores!$A$15:$B$18,2)+Scores!$E$5*VLOOKUP(P7,Scores!$A$15:$B$18,2)</f>
        <v>33</v>
      </c>
      <c r="N8" s="6">
        <f>Scores!$G$5*VLOOKUP(M7,Scores!$A$15:$B$18,2)+Scores!$H$5*VLOOKUP(N7,Scores!$A$15:$B$18,2)+Scores!$I$5*VLOOKUP(O7,Scores!$A$15:$B$18,2)+Scores!$J$5*VLOOKUP(P7,Scores!$A$15:$B$18,2)</f>
        <v>50</v>
      </c>
      <c r="O8" s="6">
        <f>Scores!$L$5*VLOOKUP(M7,Scores!$A$15:$B$18,2)+Scores!$M$5*VLOOKUP(N7,Scores!$A$15:$B$18,2)+Scores!$N$5*VLOOKUP(O7,Scores!$A$15:$B$18,2)+Scores!$O$5*VLOOKUP(P7,Scores!$A$15:$B$18,2)</f>
        <v>0</v>
      </c>
      <c r="P8" s="7"/>
      <c r="Q8" s="7"/>
      <c r="R8" s="6">
        <f>Scores!$B$6*VLOOKUP(R7,Scores!$A$15:$B$18,2)+Scores!$C$6*VLOOKUP(S7,Scores!$A$15:$B$18,2)+Scores!$D$6*VLOOKUP(T7,Scores!$A$15:$B$18,2)+Scores!$E$6*VLOOKUP(U7,Scores!$A$15:$B$18,2)</f>
        <v>48</v>
      </c>
      <c r="S8" s="6">
        <f>Scores!$G$6*VLOOKUP(R7,Scores!$A$15:$B$18,2)+Scores!$H$6*VLOOKUP(S7,Scores!$A$15:$B$18,2)+Scores!$I$6*VLOOKUP(T7,Scores!$A$15:$B$18,2)+Scores!$J$6*VLOOKUP(U7,Scores!$A$15:$B$18,2)</f>
        <v>50</v>
      </c>
      <c r="T8" s="6">
        <f>Scores!$L$6*VLOOKUP(R7,Scores!$A$15:$B$18,2)+Scores!$M$6*VLOOKUP(S7,Scores!$A$15:$B$18,2)+Scores!$N$6*VLOOKUP(T7,Scores!$A$15:$B$18,2)+Scores!$O$6*VLOOKUP(U7,Scores!$A$15:$B$18,2)</f>
        <v>62</v>
      </c>
      <c r="U8" s="7"/>
      <c r="V8" s="7"/>
      <c r="W8" s="6">
        <f>Scores!$B$7*VLOOKUP(W7,Scores!$A$15:$B$18,2)+Scores!$C$7*VLOOKUP(X7,Scores!$A$15:$B$18,2)+Scores!$D$7*VLOOKUP(Y7,Scores!$A$15:$B$18,2)+Scores!$E$7*VLOOKUP(Z7,Scores!$A$15:$B$18,2)</f>
        <v>50</v>
      </c>
      <c r="X8" s="6">
        <f>Scores!$G$7*VLOOKUP(W7,Scores!$A$15:$B$18,2)+Scores!$H$7*VLOOKUP(X7,Scores!$A$15:$B$18,2)+Scores!$I$7*VLOOKUP(Y7,Scores!$A$15:$B$18,2)+Scores!$J$7*VLOOKUP(Z7,Scores!$A$15:$B$18,2)</f>
        <v>50</v>
      </c>
      <c r="Y8" s="6">
        <f>Scores!$L$7*VLOOKUP(W7,Scores!$A$15:$B$18,2)+Scores!$M$7*VLOOKUP(X7,Scores!$A$15:$B$18,2)+Scores!$N$7*VLOOKUP(Y7,Scores!$A$15:$B$18,2)+Scores!$O$7*VLOOKUP(Z7,Scores!$A$15:$B$18,2)</f>
        <v>53</v>
      </c>
      <c r="Z8" s="7"/>
      <c r="AA8" s="7"/>
      <c r="AB8" s="6">
        <f>Scores!$B$8*VLOOKUP(AB7,Scores!$A$15:$B$18,2)+Scores!$C$8*VLOOKUP(AC7,Scores!$A$15:$B$18,2)+Scores!$D$8*VLOOKUP(AD7,Scores!$A$15:$B$18,2)+Scores!$E$8*VLOOKUP(AE7,Scores!$A$15:$B$18,2)</f>
        <v>62</v>
      </c>
      <c r="AC8" s="6">
        <f>Scores!$G$8*VLOOKUP(AB7,Scores!$A$15:$B$18,2)+Scores!$H$8*VLOOKUP(AC7,Scores!$A$15:$B$18,2)+Scores!$I$8*VLOOKUP(AD7,Scores!$A$15:$B$18,2)+Scores!$J$8*VLOOKUP(AE7,Scores!$A$15:$B$18,2)</f>
        <v>60</v>
      </c>
      <c r="AD8" s="6">
        <f>Scores!$L$8*VLOOKUP(AB7,Scores!$A$15:$B$18,2)+Scores!$M$8*VLOOKUP(AC7,Scores!$A$15:$B$18,2)+Scores!$N$8*VLOOKUP(AD7,Scores!$A$15:$B$18,2)+Scores!$O$8*VLOOKUP(AE7,Scores!$A$15:$B$18,2)</f>
        <v>48</v>
      </c>
      <c r="AE8" s="7"/>
      <c r="AF8" s="7"/>
      <c r="AG8" s="6">
        <f>Scores!$B$9*VLOOKUP(AG7,Scores!$A$15:$B$18,2)+Scores!$C$9*VLOOKUP(AH7,Scores!$A$15:$B$18,2)+Scores!$D$9*VLOOKUP(AI7,Scores!$A$15:$B$18,2)+Scores!$E$9*VLOOKUP(AJ7,Scores!$A$15:$B$18,2)</f>
        <v>0</v>
      </c>
      <c r="AH8" s="6">
        <f>Scores!$G$9*VLOOKUP(AG7,Scores!$A$15:$B$18,2)+Scores!$H$9*VLOOKUP(AH7,Scores!$A$15:$B$18,2)+Scores!$I$9*VLOOKUP(AI7,Scores!$A$15:$B$18,2)+Scores!$J$9*VLOOKUP(AJ7,Scores!$A$15:$B$18,2)</f>
        <v>62</v>
      </c>
      <c r="AI8" s="6">
        <f>Scores!$L$9*VLOOKUP(AG7,Scores!$A$15:$B$18,2)+Scores!$M$9*VLOOKUP(AH7,Scores!$A$15:$B$18,2)+Scores!$N$9*VLOOKUP(AI7,Scores!$A$15:$B$18,2)+Scores!$O$9*VLOOKUP(AJ7,Scores!$A$15:$B$18,2)</f>
        <v>0</v>
      </c>
      <c r="AJ8" s="7"/>
      <c r="AK8" s="7"/>
      <c r="AL8" s="6">
        <f>Scores!$B$10*VLOOKUP(AL7,Scores!$A$15:$B$18,2)+Scores!$C$10*VLOOKUP(AM7,Scores!$A$15:$B$18,2)+Scores!$D$10*VLOOKUP(AN7,Scores!$A$15:$B$18,2)+Scores!$E$10*VLOOKUP(AO7,Scores!$A$15:$B$18,2)</f>
        <v>0</v>
      </c>
      <c r="AM8" s="6">
        <f>Scores!$G$10*VLOOKUP(AL7,Scores!$A$15:$B$18,2)+Scores!$H$10*VLOOKUP(AM7,Scores!$A$15:$B$18,2)+Scores!$I$10*VLOOKUP(AN7,Scores!$A$15:$B$18,2)+Scores!$J$10*VLOOKUP(AO7,Scores!$A$15:$B$18,2)</f>
        <v>0</v>
      </c>
      <c r="AN8" s="6">
        <f>Scores!$L$10*VLOOKUP(AL7,Scores!$A$15:$B$18,2)+Scores!$M$10*VLOOKUP(AM7,Scores!$A$15:$B$18,2)+Scores!$N$10*VLOOKUP(AN7,Scores!$A$15:$B$18,2)+Scores!$O$10*VLOOKUP(AO7,Scores!$A$15:$B$18,2)</f>
        <v>0</v>
      </c>
      <c r="AO8" s="7"/>
    </row>
    <row r="9" spans="1:49" x14ac:dyDescent="0.25">
      <c r="A9" t="s">
        <v>82</v>
      </c>
      <c r="B9" t="s">
        <v>19</v>
      </c>
      <c r="C9">
        <v>1</v>
      </c>
      <c r="D9">
        <v>4</v>
      </c>
      <c r="E9">
        <v>3</v>
      </c>
      <c r="F9">
        <v>2</v>
      </c>
      <c r="H9">
        <v>1</v>
      </c>
      <c r="I9">
        <v>4</v>
      </c>
      <c r="J9">
        <v>3</v>
      </c>
      <c r="K9">
        <v>2</v>
      </c>
      <c r="M9">
        <v>1</v>
      </c>
      <c r="N9">
        <v>4</v>
      </c>
      <c r="O9">
        <v>3</v>
      </c>
      <c r="P9">
        <v>2</v>
      </c>
      <c r="R9">
        <v>1</v>
      </c>
      <c r="S9">
        <v>4</v>
      </c>
      <c r="T9">
        <v>3</v>
      </c>
      <c r="U9">
        <v>2</v>
      </c>
      <c r="W9">
        <v>3</v>
      </c>
      <c r="X9">
        <v>1</v>
      </c>
      <c r="Y9">
        <v>2</v>
      </c>
      <c r="Z9">
        <v>4</v>
      </c>
      <c r="AB9">
        <v>3</v>
      </c>
      <c r="AC9">
        <v>2</v>
      </c>
      <c r="AD9">
        <v>1</v>
      </c>
      <c r="AE9">
        <v>4</v>
      </c>
      <c r="AG9">
        <v>1</v>
      </c>
      <c r="AH9">
        <v>4</v>
      </c>
      <c r="AI9">
        <v>2</v>
      </c>
      <c r="AJ9">
        <v>3</v>
      </c>
      <c r="AL9">
        <v>4</v>
      </c>
      <c r="AM9">
        <v>3</v>
      </c>
      <c r="AN9">
        <v>2</v>
      </c>
      <c r="AO9">
        <v>1</v>
      </c>
      <c r="AQ9" s="9">
        <f>((C10+H10+M10+R10+W10)-Scores!$E$15)/(Scores!$I$15-Scores!$E$15)</f>
        <v>0.43103448275862066</v>
      </c>
      <c r="AR9" s="9">
        <f>((D10+I10+N10+S10+X10)-Scores!$E$16)/(Scores!$I$16-Scores!$E$16)</f>
        <v>0.91724137931034477</v>
      </c>
      <c r="AS9" s="9">
        <f>((E10+J10+O10+T10+Y10)-Scores!$E$17)/(Scores!$I$17-Scores!$E$17)</f>
        <v>0.68965517241379315</v>
      </c>
      <c r="AT9" s="9"/>
      <c r="AU9" s="9">
        <f>((AB10+AG10+AL10)-Scores!$F$15)/(Scores!$J$15-Scores!$F$15)</f>
        <v>0.20689655172413793</v>
      </c>
      <c r="AV9" s="9">
        <f>((AC10+AH10+AM10)-Scores!$F$16)/(Scores!$J$16-Scores!$F$16)</f>
        <v>0.29310344827586204</v>
      </c>
      <c r="AW9" s="9">
        <f>((AD10+AI10+AN10)-Scores!$F$17)/(Scores!$J$17-Scores!$F$17)</f>
        <v>6.8965517241379309E-2</v>
      </c>
    </row>
    <row r="10" spans="1:49" s="5" customFormat="1" ht="11.25" x14ac:dyDescent="0.2">
      <c r="C10" s="6">
        <f>Scores!$B$3*VLOOKUP(C9,Scores!$A$15:$B$18,2)+Scores!$C$3*VLOOKUP(D9,Scores!$A$15:$B$18,2)+Scores!$D$3*VLOOKUP(E9,Scores!$A$15:$B$18,2)+Scores!$E$3*VLOOKUP(F9,Scores!$A$15:$B$18,2)</f>
        <v>0</v>
      </c>
      <c r="D10" s="6">
        <f>Scores!$G$3*VLOOKUP(C9,Scores!$A$15:$B$18,2)+Scores!$H$3*VLOOKUP(D9,Scores!$A$15:$B$18,2)+Scores!$I$3*VLOOKUP(E9,Scores!$A$15:$B$18,2)+Scores!$J$3*VLOOKUP(F9,Scores!$A$15:$B$18,2)</f>
        <v>62</v>
      </c>
      <c r="E10" s="6">
        <f>Scores!$L$3*VLOOKUP(C9,Scores!$A$15:$B$18,2)+Scores!$M$3*VLOOKUP(D9,Scores!$A$15:$B$18,2)+Scores!$N$3*VLOOKUP(E9,Scores!$A$15:$B$18,2)+Scores!$O$3*VLOOKUP(F9,Scores!$A$15:$B$18,2)</f>
        <v>0</v>
      </c>
      <c r="F10" s="7"/>
      <c r="G10" s="7"/>
      <c r="H10" s="6">
        <f>Scores!$B$4*VLOOKUP(H9,Scores!$A$15:$B$18,2)+Scores!$C$4*VLOOKUP(I9,Scores!$A$15:$B$18,2)+Scores!$D$4*VLOOKUP(J9,Scores!$A$15:$B$18,2)+Scores!$E$4*VLOOKUP(K9,Scores!$A$15:$B$18,2)</f>
        <v>33</v>
      </c>
      <c r="I10" s="6">
        <f>Scores!$G$4*VLOOKUP(H9,Scores!$A$15:$B$18,2)+Scores!$H$4*VLOOKUP(I9,Scores!$A$15:$B$18,2)+Scores!$I$4*VLOOKUP(J9,Scores!$A$15:$B$18,2)+Scores!$J$4*VLOOKUP(K9,Scores!$A$15:$B$18,2)</f>
        <v>62</v>
      </c>
      <c r="J10" s="6">
        <f>Scores!$L$4*VLOOKUP(H9,Scores!$A$15:$B$18,2)+Scores!$M$4*VLOOKUP(I9,Scores!$A$15:$B$18,2)+Scores!$N$4*VLOOKUP(J9,Scores!$A$15:$B$18,2)+Scores!$O$4*VLOOKUP(K9,Scores!$A$15:$B$18,2)</f>
        <v>0</v>
      </c>
      <c r="K10" s="7"/>
      <c r="L10" s="7"/>
      <c r="M10" s="6">
        <f>Scores!$B$5*VLOOKUP(M9,Scores!$A$15:$B$18,2)+Scores!$C$5*VLOOKUP(N9,Scores!$A$15:$B$18,2)+Scores!$D$5*VLOOKUP(O9,Scores!$A$15:$B$18,2)+Scores!$E$5*VLOOKUP(P9,Scores!$A$15:$B$18,2)</f>
        <v>42</v>
      </c>
      <c r="N10" s="6">
        <f>Scores!$G$5*VLOOKUP(M9,Scores!$A$15:$B$18,2)+Scores!$H$5*VLOOKUP(N9,Scores!$A$15:$B$18,2)+Scores!$I$5*VLOOKUP(O9,Scores!$A$15:$B$18,2)+Scores!$J$5*VLOOKUP(P9,Scores!$A$15:$B$18,2)</f>
        <v>62</v>
      </c>
      <c r="O10" s="6">
        <f>Scores!$L$5*VLOOKUP(M9,Scores!$A$15:$B$18,2)+Scores!$M$5*VLOOKUP(N9,Scores!$A$15:$B$18,2)+Scores!$N$5*VLOOKUP(O9,Scores!$A$15:$B$18,2)+Scores!$O$5*VLOOKUP(P9,Scores!$A$15:$B$18,2)</f>
        <v>0</v>
      </c>
      <c r="P10" s="7"/>
      <c r="Q10" s="7"/>
      <c r="R10" s="6">
        <f>Scores!$B$6*VLOOKUP(R9,Scores!$A$15:$B$18,2)+Scores!$C$6*VLOOKUP(S9,Scores!$A$15:$B$18,2)+Scores!$D$6*VLOOKUP(T9,Scores!$A$15:$B$18,2)+Scores!$E$6*VLOOKUP(U9,Scores!$A$15:$B$18,2)</f>
        <v>57</v>
      </c>
      <c r="S10" s="6">
        <f>Scores!$G$6*VLOOKUP(R9,Scores!$A$15:$B$18,2)+Scores!$H$6*VLOOKUP(S9,Scores!$A$15:$B$18,2)+Scores!$I$6*VLOOKUP(T9,Scores!$A$15:$B$18,2)+Scores!$J$6*VLOOKUP(U9,Scores!$A$15:$B$18,2)</f>
        <v>62</v>
      </c>
      <c r="T10" s="6">
        <f>Scores!$L$6*VLOOKUP(R9,Scores!$A$15:$B$18,2)+Scores!$M$6*VLOOKUP(S9,Scores!$A$15:$B$18,2)+Scores!$N$6*VLOOKUP(T9,Scores!$A$15:$B$18,2)+Scores!$O$6*VLOOKUP(U9,Scores!$A$15:$B$18,2)</f>
        <v>53</v>
      </c>
      <c r="U10" s="7"/>
      <c r="V10" s="7"/>
      <c r="W10" s="6">
        <f>Scores!$B$7*VLOOKUP(W9,Scores!$A$15:$B$18,2)+Scores!$C$7*VLOOKUP(X9,Scores!$A$15:$B$18,2)+Scores!$D$7*VLOOKUP(Y9,Scores!$A$15:$B$18,2)+Scores!$E$7*VLOOKUP(Z9,Scores!$A$15:$B$18,2)</f>
        <v>50</v>
      </c>
      <c r="X10" s="6">
        <f>Scores!$G$7*VLOOKUP(W9,Scores!$A$15:$B$18,2)+Scores!$H$7*VLOOKUP(X9,Scores!$A$15:$B$18,2)+Scores!$I$7*VLOOKUP(Y9,Scores!$A$15:$B$18,2)+Scores!$J$7*VLOOKUP(Z9,Scores!$A$15:$B$18,2)</f>
        <v>50</v>
      </c>
      <c r="Y10" s="6">
        <f>Scores!$L$7*VLOOKUP(W9,Scores!$A$15:$B$18,2)+Scores!$M$7*VLOOKUP(X9,Scores!$A$15:$B$18,2)+Scores!$N$7*VLOOKUP(Y9,Scores!$A$15:$B$18,2)+Scores!$O$7*VLOOKUP(Z9,Scores!$A$15:$B$18,2)</f>
        <v>53</v>
      </c>
      <c r="Z10" s="7"/>
      <c r="AA10" s="7"/>
      <c r="AB10" s="6">
        <f>Scores!$B$8*VLOOKUP(AB9,Scores!$A$15:$B$18,2)+Scores!$C$8*VLOOKUP(AC9,Scores!$A$15:$B$18,2)+Scores!$D$8*VLOOKUP(AD9,Scores!$A$15:$B$18,2)+Scores!$E$8*VLOOKUP(AE9,Scores!$A$15:$B$18,2)</f>
        <v>39</v>
      </c>
      <c r="AC10" s="6">
        <f>Scores!$G$8*VLOOKUP(AB9,Scores!$A$15:$B$18,2)+Scores!$H$8*VLOOKUP(AC9,Scores!$A$15:$B$18,2)+Scores!$I$8*VLOOKUP(AD9,Scores!$A$15:$B$18,2)+Scores!$J$8*VLOOKUP(AE9,Scores!$A$15:$B$18,2)</f>
        <v>35</v>
      </c>
      <c r="AD10" s="6">
        <f>Scores!$L$8*VLOOKUP(AB9,Scores!$A$15:$B$18,2)+Scores!$M$8*VLOOKUP(AC9,Scores!$A$15:$B$18,2)+Scores!$N$8*VLOOKUP(AD9,Scores!$A$15:$B$18,2)+Scores!$O$8*VLOOKUP(AE9,Scores!$A$15:$B$18,2)</f>
        <v>35</v>
      </c>
      <c r="AE10" s="7"/>
      <c r="AF10" s="7"/>
      <c r="AG10" s="6">
        <f>Scores!$B$9*VLOOKUP(AG9,Scores!$A$15:$B$18,2)+Scores!$C$9*VLOOKUP(AH9,Scores!$A$15:$B$18,2)+Scores!$D$9*VLOOKUP(AI9,Scores!$A$15:$B$18,2)+Scores!$E$9*VLOOKUP(AJ9,Scores!$A$15:$B$18,2)</f>
        <v>0</v>
      </c>
      <c r="AH10" s="6">
        <f>Scores!$G$9*VLOOKUP(AG9,Scores!$A$15:$B$18,2)+Scores!$H$9*VLOOKUP(AH9,Scores!$A$15:$B$18,2)+Scores!$I$9*VLOOKUP(AI9,Scores!$A$15:$B$18,2)+Scores!$J$9*VLOOKUP(AJ9,Scores!$A$15:$B$18,2)</f>
        <v>48</v>
      </c>
      <c r="AI10" s="6">
        <f>Scores!$L$9*VLOOKUP(AG9,Scores!$A$15:$B$18,2)+Scores!$M$9*VLOOKUP(AH9,Scores!$A$15:$B$18,2)+Scores!$N$9*VLOOKUP(AI9,Scores!$A$15:$B$18,2)+Scores!$O$9*VLOOKUP(AJ9,Scores!$A$15:$B$18,2)</f>
        <v>0</v>
      </c>
      <c r="AJ10" s="7"/>
      <c r="AK10" s="7"/>
      <c r="AL10" s="6">
        <f>Scores!$B$10*VLOOKUP(AL9,Scores!$A$15:$B$18,2)+Scores!$C$10*VLOOKUP(AM9,Scores!$A$15:$B$18,2)+Scores!$D$10*VLOOKUP(AN9,Scores!$A$15:$B$18,2)+Scores!$E$10*VLOOKUP(AO9,Scores!$A$15:$B$18,2)</f>
        <v>0</v>
      </c>
      <c r="AM10" s="6">
        <f>Scores!$G$10*VLOOKUP(AL9,Scores!$A$15:$B$18,2)+Scores!$H$10*VLOOKUP(AM9,Scores!$A$15:$B$18,2)+Scores!$I$10*VLOOKUP(AN9,Scores!$A$15:$B$18,2)+Scores!$J$10*VLOOKUP(AO9,Scores!$A$15:$B$18,2)</f>
        <v>0</v>
      </c>
      <c r="AN10" s="6">
        <f>Scores!$L$10*VLOOKUP(AL9,Scores!$A$15:$B$18,2)+Scores!$M$10*VLOOKUP(AM9,Scores!$A$15:$B$18,2)+Scores!$N$10*VLOOKUP(AN9,Scores!$A$15:$B$18,2)+Scores!$O$10*VLOOKUP(AO9,Scores!$A$15:$B$18,2)</f>
        <v>0</v>
      </c>
      <c r="AO10" s="7"/>
    </row>
    <row r="11" spans="1:49" x14ac:dyDescent="0.25">
      <c r="A11" t="s">
        <v>84</v>
      </c>
      <c r="B11" t="s">
        <v>19</v>
      </c>
      <c r="C11">
        <v>1</v>
      </c>
      <c r="D11">
        <v>4</v>
      </c>
      <c r="E11">
        <v>3</v>
      </c>
      <c r="F11">
        <v>2</v>
      </c>
      <c r="H11">
        <v>1</v>
      </c>
      <c r="I11">
        <v>4</v>
      </c>
      <c r="J11">
        <v>3</v>
      </c>
      <c r="K11">
        <v>2</v>
      </c>
      <c r="M11">
        <v>1</v>
      </c>
      <c r="N11">
        <v>4</v>
      </c>
      <c r="O11">
        <v>3</v>
      </c>
      <c r="P11">
        <v>2</v>
      </c>
      <c r="R11">
        <v>1</v>
      </c>
      <c r="S11">
        <v>4</v>
      </c>
      <c r="T11">
        <v>3</v>
      </c>
      <c r="U11">
        <v>2</v>
      </c>
      <c r="W11">
        <v>2</v>
      </c>
      <c r="X11">
        <v>3</v>
      </c>
      <c r="Y11">
        <v>1</v>
      </c>
      <c r="Z11">
        <v>4</v>
      </c>
      <c r="AB11">
        <v>1</v>
      </c>
      <c r="AC11">
        <v>3</v>
      </c>
      <c r="AD11">
        <v>4</v>
      </c>
      <c r="AE11">
        <v>2</v>
      </c>
      <c r="AG11">
        <v>3</v>
      </c>
      <c r="AH11">
        <v>4</v>
      </c>
      <c r="AI11">
        <v>2</v>
      </c>
      <c r="AJ11">
        <v>1</v>
      </c>
      <c r="AL11">
        <v>2</v>
      </c>
      <c r="AM11">
        <v>1</v>
      </c>
      <c r="AN11">
        <v>3</v>
      </c>
      <c r="AO11">
        <v>4</v>
      </c>
      <c r="AQ11" s="9">
        <f>((C12+H12+M12+R12+W12)-Scores!$E$15)/(Scores!$I$15-Scores!$E$15)</f>
        <v>0.53448275862068961</v>
      </c>
      <c r="AR11" s="9">
        <f>((D12+I12+N12+S12+X12)-Scores!$E$16)/(Scores!$I$16-Scores!$E$16)</f>
        <v>1</v>
      </c>
      <c r="AS11" s="9">
        <f>((E12+J12+O12+T12+Y12)-Scores!$E$17)/(Scores!$I$17-Scores!$E$17)</f>
        <v>0.63793103448275867</v>
      </c>
      <c r="AT11" s="9"/>
      <c r="AU11" s="9">
        <f>((AB12+AG12+AL12)-Scores!$F$15)/(Scores!$J$15-Scores!$F$15)</f>
        <v>0.93103448275862066</v>
      </c>
      <c r="AV11" s="9">
        <f>((AC12+AH12+AM12)-Scores!$F$16)/(Scores!$J$16-Scores!$F$16)</f>
        <v>1</v>
      </c>
      <c r="AW11" s="9">
        <f>((AD12+AI12+AN12)-Scores!$F$17)/(Scores!$J$17-Scores!$F$17)</f>
        <v>0.58620689655172409</v>
      </c>
    </row>
    <row r="12" spans="1:49" s="5" customFormat="1" ht="11.25" x14ac:dyDescent="0.2">
      <c r="C12" s="6">
        <f>Scores!$B$3*VLOOKUP(C11,Scores!$A$15:$B$18,2)+Scores!$C$3*VLOOKUP(D11,Scores!$A$15:$B$18,2)+Scores!$D$3*VLOOKUP(E11,Scores!$A$15:$B$18,2)+Scores!$E$3*VLOOKUP(F11,Scores!$A$15:$B$18,2)</f>
        <v>0</v>
      </c>
      <c r="D12" s="6">
        <f>Scores!$G$3*VLOOKUP(C11,Scores!$A$15:$B$18,2)+Scores!$H$3*VLOOKUP(D11,Scores!$A$15:$B$18,2)+Scores!$I$3*VLOOKUP(E11,Scores!$A$15:$B$18,2)+Scores!$J$3*VLOOKUP(F11,Scores!$A$15:$B$18,2)</f>
        <v>62</v>
      </c>
      <c r="E12" s="6">
        <f>Scores!$L$3*VLOOKUP(C11,Scores!$A$15:$B$18,2)+Scores!$M$3*VLOOKUP(D11,Scores!$A$15:$B$18,2)+Scores!$N$3*VLOOKUP(E11,Scores!$A$15:$B$18,2)+Scores!$O$3*VLOOKUP(F11,Scores!$A$15:$B$18,2)</f>
        <v>0</v>
      </c>
      <c r="F12" s="7"/>
      <c r="G12" s="7"/>
      <c r="H12" s="6">
        <f>Scores!$B$4*VLOOKUP(H11,Scores!$A$15:$B$18,2)+Scores!$C$4*VLOOKUP(I11,Scores!$A$15:$B$18,2)+Scores!$D$4*VLOOKUP(J11,Scores!$A$15:$B$18,2)+Scores!$E$4*VLOOKUP(K11,Scores!$A$15:$B$18,2)</f>
        <v>33</v>
      </c>
      <c r="I12" s="6">
        <f>Scores!$G$4*VLOOKUP(H11,Scores!$A$15:$B$18,2)+Scores!$H$4*VLOOKUP(I11,Scores!$A$15:$B$18,2)+Scores!$I$4*VLOOKUP(J11,Scores!$A$15:$B$18,2)+Scores!$J$4*VLOOKUP(K11,Scores!$A$15:$B$18,2)</f>
        <v>62</v>
      </c>
      <c r="J12" s="6">
        <f>Scores!$L$4*VLOOKUP(H11,Scores!$A$15:$B$18,2)+Scores!$M$4*VLOOKUP(I11,Scores!$A$15:$B$18,2)+Scores!$N$4*VLOOKUP(J11,Scores!$A$15:$B$18,2)+Scores!$O$4*VLOOKUP(K11,Scores!$A$15:$B$18,2)</f>
        <v>0</v>
      </c>
      <c r="K12" s="7"/>
      <c r="L12" s="7"/>
      <c r="M12" s="6">
        <f>Scores!$B$5*VLOOKUP(M11,Scores!$A$15:$B$18,2)+Scores!$C$5*VLOOKUP(N11,Scores!$A$15:$B$18,2)+Scores!$D$5*VLOOKUP(O11,Scores!$A$15:$B$18,2)+Scores!$E$5*VLOOKUP(P11,Scores!$A$15:$B$18,2)</f>
        <v>42</v>
      </c>
      <c r="N12" s="6">
        <f>Scores!$G$5*VLOOKUP(M11,Scores!$A$15:$B$18,2)+Scores!$H$5*VLOOKUP(N11,Scores!$A$15:$B$18,2)+Scores!$I$5*VLOOKUP(O11,Scores!$A$15:$B$18,2)+Scores!$J$5*VLOOKUP(P11,Scores!$A$15:$B$18,2)</f>
        <v>62</v>
      </c>
      <c r="O12" s="6">
        <f>Scores!$L$5*VLOOKUP(M11,Scores!$A$15:$B$18,2)+Scores!$M$5*VLOOKUP(N11,Scores!$A$15:$B$18,2)+Scores!$N$5*VLOOKUP(O11,Scores!$A$15:$B$18,2)+Scores!$O$5*VLOOKUP(P11,Scores!$A$15:$B$18,2)</f>
        <v>0</v>
      </c>
      <c r="P12" s="7"/>
      <c r="Q12" s="7"/>
      <c r="R12" s="6">
        <f>Scores!$B$6*VLOOKUP(R11,Scores!$A$15:$B$18,2)+Scores!$C$6*VLOOKUP(S11,Scores!$A$15:$B$18,2)+Scores!$D$6*VLOOKUP(T11,Scores!$A$15:$B$18,2)+Scores!$E$6*VLOOKUP(U11,Scores!$A$15:$B$18,2)</f>
        <v>57</v>
      </c>
      <c r="S12" s="6">
        <f>Scores!$G$6*VLOOKUP(R11,Scores!$A$15:$B$18,2)+Scores!$H$6*VLOOKUP(S11,Scores!$A$15:$B$18,2)+Scores!$I$6*VLOOKUP(T11,Scores!$A$15:$B$18,2)+Scores!$J$6*VLOOKUP(U11,Scores!$A$15:$B$18,2)</f>
        <v>62</v>
      </c>
      <c r="T12" s="6">
        <f>Scores!$L$6*VLOOKUP(R11,Scores!$A$15:$B$18,2)+Scores!$M$6*VLOOKUP(S11,Scores!$A$15:$B$18,2)+Scores!$N$6*VLOOKUP(T11,Scores!$A$15:$B$18,2)+Scores!$O$6*VLOOKUP(U11,Scores!$A$15:$B$18,2)</f>
        <v>53</v>
      </c>
      <c r="U12" s="7"/>
      <c r="V12" s="7"/>
      <c r="W12" s="6">
        <f>Scores!$B$7*VLOOKUP(W11,Scores!$A$15:$B$18,2)+Scores!$C$7*VLOOKUP(X11,Scores!$A$15:$B$18,2)+Scores!$D$7*VLOOKUP(Y11,Scores!$A$15:$B$18,2)+Scores!$E$7*VLOOKUP(Z11,Scores!$A$15:$B$18,2)</f>
        <v>62</v>
      </c>
      <c r="X12" s="6">
        <f>Scores!$G$7*VLOOKUP(W11,Scores!$A$15:$B$18,2)+Scores!$H$7*VLOOKUP(X11,Scores!$A$15:$B$18,2)+Scores!$I$7*VLOOKUP(Y11,Scores!$A$15:$B$18,2)+Scores!$J$7*VLOOKUP(Z11,Scores!$A$15:$B$18,2)</f>
        <v>62</v>
      </c>
      <c r="Y12" s="6">
        <f>Scores!$L$7*VLOOKUP(W11,Scores!$A$15:$B$18,2)+Scores!$M$7*VLOOKUP(X11,Scores!$A$15:$B$18,2)+Scores!$N$7*VLOOKUP(Y11,Scores!$A$15:$B$18,2)+Scores!$O$7*VLOOKUP(Z11,Scores!$A$15:$B$18,2)</f>
        <v>50</v>
      </c>
      <c r="Z12" s="7"/>
      <c r="AA12" s="7"/>
      <c r="AB12" s="6">
        <f>Scores!$B$8*VLOOKUP(AB11,Scores!$A$15:$B$18,2)+Scores!$C$8*VLOOKUP(AC11,Scores!$A$15:$B$18,2)+Scores!$D$8*VLOOKUP(AD11,Scores!$A$15:$B$18,2)+Scores!$E$8*VLOOKUP(AE11,Scores!$A$15:$B$18,2)</f>
        <v>60</v>
      </c>
      <c r="AC12" s="6">
        <f>Scores!$G$8*VLOOKUP(AB11,Scores!$A$15:$B$18,2)+Scores!$H$8*VLOOKUP(AC11,Scores!$A$15:$B$18,2)+Scores!$I$8*VLOOKUP(AD11,Scores!$A$15:$B$18,2)+Scores!$J$8*VLOOKUP(AE11,Scores!$A$15:$B$18,2)</f>
        <v>62</v>
      </c>
      <c r="AD12" s="6">
        <f>Scores!$L$8*VLOOKUP(AB11,Scores!$A$15:$B$18,2)+Scores!$M$8*VLOOKUP(AC11,Scores!$A$15:$B$18,2)+Scores!$N$8*VLOOKUP(AD11,Scores!$A$15:$B$18,2)+Scores!$O$8*VLOOKUP(AE11,Scores!$A$15:$B$18,2)</f>
        <v>50</v>
      </c>
      <c r="AE12" s="7"/>
      <c r="AF12" s="7"/>
      <c r="AG12" s="6">
        <f>Scores!$B$9*VLOOKUP(AG11,Scores!$A$15:$B$18,2)+Scores!$C$9*VLOOKUP(AH11,Scores!$A$15:$B$18,2)+Scores!$D$9*VLOOKUP(AI11,Scores!$A$15:$B$18,2)+Scores!$E$9*VLOOKUP(AJ11,Scores!$A$15:$B$18,2)</f>
        <v>0</v>
      </c>
      <c r="AH12" s="6">
        <f>Scores!$G$9*VLOOKUP(AG11,Scores!$A$15:$B$18,2)+Scores!$H$9*VLOOKUP(AH11,Scores!$A$15:$B$18,2)+Scores!$I$9*VLOOKUP(AI11,Scores!$A$15:$B$18,2)+Scores!$J$9*VLOOKUP(AJ11,Scores!$A$15:$B$18,2)</f>
        <v>62</v>
      </c>
      <c r="AI12" s="6">
        <f>Scores!$L$9*VLOOKUP(AG11,Scores!$A$15:$B$18,2)+Scores!$M$9*VLOOKUP(AH11,Scores!$A$15:$B$18,2)+Scores!$N$9*VLOOKUP(AI11,Scores!$A$15:$B$18,2)+Scores!$O$9*VLOOKUP(AJ11,Scores!$A$15:$B$18,2)</f>
        <v>0</v>
      </c>
      <c r="AJ12" s="7"/>
      <c r="AK12" s="7"/>
      <c r="AL12" s="6">
        <f>Scores!$B$10*VLOOKUP(AL11,Scores!$A$15:$B$18,2)+Scores!$C$10*VLOOKUP(AM11,Scores!$A$15:$B$18,2)+Scores!$D$10*VLOOKUP(AN11,Scores!$A$15:$B$18,2)+Scores!$E$10*VLOOKUP(AO11,Scores!$A$15:$B$18,2)</f>
        <v>0</v>
      </c>
      <c r="AM12" s="6">
        <f>Scores!$G$10*VLOOKUP(AL11,Scores!$A$15:$B$18,2)+Scores!$H$10*VLOOKUP(AM11,Scores!$A$15:$B$18,2)+Scores!$I$10*VLOOKUP(AN11,Scores!$A$15:$B$18,2)+Scores!$J$10*VLOOKUP(AO11,Scores!$A$15:$B$18,2)</f>
        <v>0</v>
      </c>
      <c r="AN12" s="6">
        <f>Scores!$L$10*VLOOKUP(AL11,Scores!$A$15:$B$18,2)+Scores!$M$10*VLOOKUP(AM11,Scores!$A$15:$B$18,2)+Scores!$N$10*VLOOKUP(AN11,Scores!$A$15:$B$18,2)+Scores!$O$10*VLOOKUP(AO11,Scores!$A$15:$B$18,2)</f>
        <v>0</v>
      </c>
      <c r="AO12" s="7"/>
    </row>
    <row r="13" spans="1:49" x14ac:dyDescent="0.25">
      <c r="A13" t="s">
        <v>85</v>
      </c>
      <c r="B13" t="s">
        <v>19</v>
      </c>
      <c r="C13">
        <v>1</v>
      </c>
      <c r="D13">
        <v>4</v>
      </c>
      <c r="E13">
        <v>3</v>
      </c>
      <c r="F13">
        <v>2</v>
      </c>
      <c r="H13">
        <v>4</v>
      </c>
      <c r="I13">
        <v>2</v>
      </c>
      <c r="J13">
        <v>3</v>
      </c>
      <c r="K13">
        <v>1</v>
      </c>
      <c r="M13">
        <v>2</v>
      </c>
      <c r="N13">
        <v>3</v>
      </c>
      <c r="O13">
        <v>4</v>
      </c>
      <c r="P13">
        <v>1</v>
      </c>
      <c r="R13">
        <v>2</v>
      </c>
      <c r="S13">
        <v>4</v>
      </c>
      <c r="T13">
        <v>3</v>
      </c>
      <c r="U13">
        <v>1</v>
      </c>
      <c r="W13">
        <v>2</v>
      </c>
      <c r="X13">
        <v>3</v>
      </c>
      <c r="Y13">
        <v>1</v>
      </c>
      <c r="Z13">
        <v>4</v>
      </c>
      <c r="AB13">
        <v>1</v>
      </c>
      <c r="AC13">
        <v>3</v>
      </c>
      <c r="AD13">
        <v>4</v>
      </c>
      <c r="AE13">
        <v>2</v>
      </c>
      <c r="AG13">
        <v>2</v>
      </c>
      <c r="AH13">
        <v>3</v>
      </c>
      <c r="AI13">
        <v>4</v>
      </c>
      <c r="AJ13">
        <v>1</v>
      </c>
      <c r="AL13">
        <v>3</v>
      </c>
      <c r="AM13">
        <v>1</v>
      </c>
      <c r="AN13">
        <v>2</v>
      </c>
      <c r="AO13">
        <v>4</v>
      </c>
      <c r="AQ13" s="9">
        <f>((C14+H14+M14+R14+W14)-Scores!$E$15)/(Scores!$I$15-Scores!$E$15)</f>
        <v>0.81896551724137934</v>
      </c>
      <c r="AR13" s="9">
        <f>((D14+I14+N14+S14+X14)-Scores!$E$16)/(Scores!$I$16-Scores!$E$16)</f>
        <v>0.8</v>
      </c>
      <c r="AS13" s="9">
        <f>((E14+J14+O14+T14+Y14)-Scores!$E$17)/(Scores!$I$17-Scores!$E$17)</f>
        <v>0.55172413793103448</v>
      </c>
      <c r="AT13" s="9"/>
      <c r="AU13" s="9">
        <f>((AB14+AG14+AL14)-Scores!$F$15)/(Scores!$J$15-Scores!$F$15)</f>
        <v>0.93103448275862066</v>
      </c>
      <c r="AV13" s="9">
        <f>((AC14+AH14+AM14)-Scores!$F$16)/(Scores!$J$16-Scores!$F$16)</f>
        <v>0.89655172413793105</v>
      </c>
      <c r="AW13" s="9">
        <f>((AD14+AI14+AN14)-Scores!$F$17)/(Scores!$J$17-Scores!$F$17)</f>
        <v>0.58620689655172409</v>
      </c>
    </row>
    <row r="14" spans="1:49" s="5" customFormat="1" ht="11.25" x14ac:dyDescent="0.2">
      <c r="C14" s="6">
        <f>Scores!$B$3*VLOOKUP(C13,Scores!$A$15:$B$18,2)+Scores!$C$3*VLOOKUP(D13,Scores!$A$15:$B$18,2)+Scores!$D$3*VLOOKUP(E13,Scores!$A$15:$B$18,2)+Scores!$E$3*VLOOKUP(F13,Scores!$A$15:$B$18,2)</f>
        <v>0</v>
      </c>
      <c r="D14" s="6">
        <f>Scores!$G$3*VLOOKUP(C13,Scores!$A$15:$B$18,2)+Scores!$H$3*VLOOKUP(D13,Scores!$A$15:$B$18,2)+Scores!$I$3*VLOOKUP(E13,Scores!$A$15:$B$18,2)+Scores!$J$3*VLOOKUP(F13,Scores!$A$15:$B$18,2)</f>
        <v>62</v>
      </c>
      <c r="E14" s="6">
        <f>Scores!$L$3*VLOOKUP(C13,Scores!$A$15:$B$18,2)+Scores!$M$3*VLOOKUP(D13,Scores!$A$15:$B$18,2)+Scores!$N$3*VLOOKUP(E13,Scores!$A$15:$B$18,2)+Scores!$O$3*VLOOKUP(F13,Scores!$A$15:$B$18,2)</f>
        <v>0</v>
      </c>
      <c r="F14" s="7"/>
      <c r="G14" s="7"/>
      <c r="H14" s="6">
        <f>Scores!$B$4*VLOOKUP(H13,Scores!$A$15:$B$18,2)+Scores!$C$4*VLOOKUP(I13,Scores!$A$15:$B$18,2)+Scores!$D$4*VLOOKUP(J13,Scores!$A$15:$B$18,2)+Scores!$E$4*VLOOKUP(K13,Scores!$A$15:$B$18,2)</f>
        <v>50</v>
      </c>
      <c r="I14" s="6">
        <f>Scores!$G$4*VLOOKUP(H13,Scores!$A$15:$B$18,2)+Scores!$H$4*VLOOKUP(I13,Scores!$A$15:$B$18,2)+Scores!$I$4*VLOOKUP(J13,Scores!$A$15:$B$18,2)+Scores!$J$4*VLOOKUP(K13,Scores!$A$15:$B$18,2)</f>
        <v>45</v>
      </c>
      <c r="J14" s="6">
        <f>Scores!$L$4*VLOOKUP(H13,Scores!$A$15:$B$18,2)+Scores!$M$4*VLOOKUP(I13,Scores!$A$15:$B$18,2)+Scores!$N$4*VLOOKUP(J13,Scores!$A$15:$B$18,2)+Scores!$O$4*VLOOKUP(K13,Scores!$A$15:$B$18,2)</f>
        <v>0</v>
      </c>
      <c r="K14" s="7"/>
      <c r="L14" s="7"/>
      <c r="M14" s="6">
        <f>Scores!$B$5*VLOOKUP(M13,Scores!$A$15:$B$18,2)+Scores!$C$5*VLOOKUP(N13,Scores!$A$15:$B$18,2)+Scores!$D$5*VLOOKUP(O13,Scores!$A$15:$B$18,2)+Scores!$E$5*VLOOKUP(P13,Scores!$A$15:$B$18,2)</f>
        <v>53</v>
      </c>
      <c r="N14" s="6">
        <f>Scores!$G$5*VLOOKUP(M13,Scores!$A$15:$B$18,2)+Scores!$H$5*VLOOKUP(N13,Scores!$A$15:$B$18,2)+Scores!$I$5*VLOOKUP(O13,Scores!$A$15:$B$18,2)+Scores!$J$5*VLOOKUP(P13,Scores!$A$15:$B$18,2)</f>
        <v>55</v>
      </c>
      <c r="O14" s="6">
        <f>Scores!$L$5*VLOOKUP(M13,Scores!$A$15:$B$18,2)+Scores!$M$5*VLOOKUP(N13,Scores!$A$15:$B$18,2)+Scores!$N$5*VLOOKUP(O13,Scores!$A$15:$B$18,2)+Scores!$O$5*VLOOKUP(P13,Scores!$A$15:$B$18,2)</f>
        <v>0</v>
      </c>
      <c r="P14" s="7"/>
      <c r="Q14" s="7"/>
      <c r="R14" s="6">
        <f>Scores!$B$6*VLOOKUP(R13,Scores!$A$15:$B$18,2)+Scores!$C$6*VLOOKUP(S13,Scores!$A$15:$B$18,2)+Scores!$D$6*VLOOKUP(T13,Scores!$A$15:$B$18,2)+Scores!$E$6*VLOOKUP(U13,Scores!$A$15:$B$18,2)</f>
        <v>62</v>
      </c>
      <c r="S14" s="6">
        <f>Scores!$G$6*VLOOKUP(R13,Scores!$A$15:$B$18,2)+Scores!$H$6*VLOOKUP(S13,Scores!$A$15:$B$18,2)+Scores!$I$6*VLOOKUP(T13,Scores!$A$15:$B$18,2)+Scores!$J$6*VLOOKUP(U13,Scores!$A$15:$B$18,2)</f>
        <v>57</v>
      </c>
      <c r="T14" s="6">
        <f>Scores!$L$6*VLOOKUP(R13,Scores!$A$15:$B$18,2)+Scores!$M$6*VLOOKUP(S13,Scores!$A$15:$B$18,2)+Scores!$N$6*VLOOKUP(T13,Scores!$A$15:$B$18,2)+Scores!$O$6*VLOOKUP(U13,Scores!$A$15:$B$18,2)</f>
        <v>48</v>
      </c>
      <c r="U14" s="7"/>
      <c r="V14" s="7"/>
      <c r="W14" s="6">
        <f>Scores!$B$7*VLOOKUP(W13,Scores!$A$15:$B$18,2)+Scores!$C$7*VLOOKUP(X13,Scores!$A$15:$B$18,2)+Scores!$D$7*VLOOKUP(Y13,Scores!$A$15:$B$18,2)+Scores!$E$7*VLOOKUP(Z13,Scores!$A$15:$B$18,2)</f>
        <v>62</v>
      </c>
      <c r="X14" s="6">
        <f>Scores!$G$7*VLOOKUP(W13,Scores!$A$15:$B$18,2)+Scores!$H$7*VLOOKUP(X13,Scores!$A$15:$B$18,2)+Scores!$I$7*VLOOKUP(Y13,Scores!$A$15:$B$18,2)+Scores!$J$7*VLOOKUP(Z13,Scores!$A$15:$B$18,2)</f>
        <v>62</v>
      </c>
      <c r="Y14" s="6">
        <f>Scores!$L$7*VLOOKUP(W13,Scores!$A$15:$B$18,2)+Scores!$M$7*VLOOKUP(X13,Scores!$A$15:$B$18,2)+Scores!$N$7*VLOOKUP(Y13,Scores!$A$15:$B$18,2)+Scores!$O$7*VLOOKUP(Z13,Scores!$A$15:$B$18,2)</f>
        <v>50</v>
      </c>
      <c r="Z14" s="7"/>
      <c r="AA14" s="7"/>
      <c r="AB14" s="6">
        <f>Scores!$B$8*VLOOKUP(AB13,Scores!$A$15:$B$18,2)+Scores!$C$8*VLOOKUP(AC13,Scores!$A$15:$B$18,2)+Scores!$D$8*VLOOKUP(AD13,Scores!$A$15:$B$18,2)+Scores!$E$8*VLOOKUP(AE13,Scores!$A$15:$B$18,2)</f>
        <v>60</v>
      </c>
      <c r="AC14" s="6">
        <f>Scores!$G$8*VLOOKUP(AB13,Scores!$A$15:$B$18,2)+Scores!$H$8*VLOOKUP(AC13,Scores!$A$15:$B$18,2)+Scores!$I$8*VLOOKUP(AD13,Scores!$A$15:$B$18,2)+Scores!$J$8*VLOOKUP(AE13,Scores!$A$15:$B$18,2)</f>
        <v>62</v>
      </c>
      <c r="AD14" s="6">
        <f>Scores!$L$8*VLOOKUP(AB13,Scores!$A$15:$B$18,2)+Scores!$M$8*VLOOKUP(AC13,Scores!$A$15:$B$18,2)+Scores!$N$8*VLOOKUP(AD13,Scores!$A$15:$B$18,2)+Scores!$O$8*VLOOKUP(AE13,Scores!$A$15:$B$18,2)</f>
        <v>50</v>
      </c>
      <c r="AE14" s="7"/>
      <c r="AF14" s="7"/>
      <c r="AG14" s="6">
        <f>Scores!$B$9*VLOOKUP(AG13,Scores!$A$15:$B$18,2)+Scores!$C$9*VLOOKUP(AH13,Scores!$A$15:$B$18,2)+Scores!$D$9*VLOOKUP(AI13,Scores!$A$15:$B$18,2)+Scores!$E$9*VLOOKUP(AJ13,Scores!$A$15:$B$18,2)</f>
        <v>0</v>
      </c>
      <c r="AH14" s="6">
        <f>Scores!$G$9*VLOOKUP(AG13,Scores!$A$15:$B$18,2)+Scores!$H$9*VLOOKUP(AH13,Scores!$A$15:$B$18,2)+Scores!$I$9*VLOOKUP(AI13,Scores!$A$15:$B$18,2)+Scores!$J$9*VLOOKUP(AJ13,Scores!$A$15:$B$18,2)</f>
        <v>56</v>
      </c>
      <c r="AI14" s="6">
        <f>Scores!$L$9*VLOOKUP(AG13,Scores!$A$15:$B$18,2)+Scores!$M$9*VLOOKUP(AH13,Scores!$A$15:$B$18,2)+Scores!$N$9*VLOOKUP(AI13,Scores!$A$15:$B$18,2)+Scores!$O$9*VLOOKUP(AJ13,Scores!$A$15:$B$18,2)</f>
        <v>0</v>
      </c>
      <c r="AJ14" s="7"/>
      <c r="AK14" s="7"/>
      <c r="AL14" s="6">
        <f>Scores!$B$10*VLOOKUP(AL13,Scores!$A$15:$B$18,2)+Scores!$C$10*VLOOKUP(AM13,Scores!$A$15:$B$18,2)+Scores!$D$10*VLOOKUP(AN13,Scores!$A$15:$B$18,2)+Scores!$E$10*VLOOKUP(AO13,Scores!$A$15:$B$18,2)</f>
        <v>0</v>
      </c>
      <c r="AM14" s="6">
        <f>Scores!$G$10*VLOOKUP(AL13,Scores!$A$15:$B$18,2)+Scores!$H$10*VLOOKUP(AM13,Scores!$A$15:$B$18,2)+Scores!$I$10*VLOOKUP(AN13,Scores!$A$15:$B$18,2)+Scores!$J$10*VLOOKUP(AO13,Scores!$A$15:$B$18,2)</f>
        <v>0</v>
      </c>
      <c r="AN14" s="6">
        <f>Scores!$L$10*VLOOKUP(AL13,Scores!$A$15:$B$18,2)+Scores!$M$10*VLOOKUP(AM13,Scores!$A$15:$B$18,2)+Scores!$N$10*VLOOKUP(AN13,Scores!$A$15:$B$18,2)+Scores!$O$10*VLOOKUP(AO13,Scores!$A$15:$B$18,2)</f>
        <v>0</v>
      </c>
      <c r="AO14" s="7"/>
    </row>
    <row r="15" spans="1:49" x14ac:dyDescent="0.25">
      <c r="A15" t="s">
        <v>86</v>
      </c>
      <c r="B15" t="s">
        <v>19</v>
      </c>
      <c r="C15">
        <v>1</v>
      </c>
      <c r="D15">
        <v>4</v>
      </c>
      <c r="E15">
        <v>3</v>
      </c>
      <c r="F15">
        <v>2</v>
      </c>
      <c r="H15">
        <v>2</v>
      </c>
      <c r="I15">
        <v>3</v>
      </c>
      <c r="J15">
        <v>4</v>
      </c>
      <c r="K15">
        <v>1</v>
      </c>
      <c r="M15">
        <v>2</v>
      </c>
      <c r="N15">
        <v>3</v>
      </c>
      <c r="O15">
        <v>4</v>
      </c>
      <c r="P15">
        <v>1</v>
      </c>
      <c r="R15">
        <v>2</v>
      </c>
      <c r="S15">
        <v>4</v>
      </c>
      <c r="T15">
        <v>3</v>
      </c>
      <c r="U15">
        <v>1</v>
      </c>
      <c r="W15">
        <v>2</v>
      </c>
      <c r="X15">
        <v>4</v>
      </c>
      <c r="Y15">
        <v>1</v>
      </c>
      <c r="Z15">
        <v>3</v>
      </c>
      <c r="AB15">
        <v>1</v>
      </c>
      <c r="AC15">
        <v>2</v>
      </c>
      <c r="AD15">
        <v>4</v>
      </c>
      <c r="AE15">
        <v>3</v>
      </c>
      <c r="AG15">
        <v>2</v>
      </c>
      <c r="AH15">
        <v>3</v>
      </c>
      <c r="AI15">
        <v>1</v>
      </c>
      <c r="AJ15">
        <v>4</v>
      </c>
      <c r="AL15">
        <v>2</v>
      </c>
      <c r="AM15">
        <v>3</v>
      </c>
      <c r="AN15">
        <v>1</v>
      </c>
      <c r="AO15">
        <v>4</v>
      </c>
      <c r="AQ15" s="9">
        <f>((C16+H16+M16+R16+W16)-Scores!$E$15)/(Scores!$I$15-Scores!$E$15)</f>
        <v>0.71551724137931039</v>
      </c>
      <c r="AR15" s="9">
        <f>((D16+I16+N16+S16+X16)-Scores!$E$16)/(Scores!$I$16-Scores!$E$16)</f>
        <v>0.85517241379310349</v>
      </c>
      <c r="AS15" s="9">
        <f>((E16+J16+O16+T16+Y16)-Scores!$E$17)/(Scores!$I$17-Scores!$E$17)</f>
        <v>0.48275862068965519</v>
      </c>
      <c r="AT15" s="9"/>
      <c r="AU15" s="9">
        <f>((AB16+AG16+AL16)-Scores!$F$15)/(Scores!$J$15-Scores!$F$15)</f>
        <v>1</v>
      </c>
      <c r="AV15" s="9">
        <f>((AC16+AH16+AM16)-Scores!$F$16)/(Scores!$J$16-Scores!$F$16)</f>
        <v>0.7068965517241379</v>
      </c>
      <c r="AW15" s="9">
        <f>((AD16+AI16+AN16)-Scores!$F$17)/(Scores!$J$17-Scores!$F$17)</f>
        <v>0.51724137931034486</v>
      </c>
    </row>
    <row r="16" spans="1:49" s="5" customFormat="1" ht="11.25" x14ac:dyDescent="0.2">
      <c r="C16" s="6">
        <f>Scores!$B$3*VLOOKUP(C15,Scores!$A$15:$B$18,2)+Scores!$C$3*VLOOKUP(D15,Scores!$A$15:$B$18,2)+Scores!$D$3*VLOOKUP(E15,Scores!$A$15:$B$18,2)+Scores!$E$3*VLOOKUP(F15,Scores!$A$15:$B$18,2)</f>
        <v>0</v>
      </c>
      <c r="D16" s="6">
        <f>Scores!$G$3*VLOOKUP(C15,Scores!$A$15:$B$18,2)+Scores!$H$3*VLOOKUP(D15,Scores!$A$15:$B$18,2)+Scores!$I$3*VLOOKUP(E15,Scores!$A$15:$B$18,2)+Scores!$J$3*VLOOKUP(F15,Scores!$A$15:$B$18,2)</f>
        <v>62</v>
      </c>
      <c r="E16" s="6">
        <f>Scores!$L$3*VLOOKUP(C15,Scores!$A$15:$B$18,2)+Scores!$M$3*VLOOKUP(D15,Scores!$A$15:$B$18,2)+Scores!$N$3*VLOOKUP(E15,Scores!$A$15:$B$18,2)+Scores!$O$3*VLOOKUP(F15,Scores!$A$15:$B$18,2)</f>
        <v>0</v>
      </c>
      <c r="F16" s="7"/>
      <c r="G16" s="7"/>
      <c r="H16" s="6">
        <f>Scores!$B$4*VLOOKUP(H15,Scores!$A$15:$B$18,2)+Scores!$C$4*VLOOKUP(I15,Scores!$A$15:$B$18,2)+Scores!$D$4*VLOOKUP(J15,Scores!$A$15:$B$18,2)+Scores!$E$4*VLOOKUP(K15,Scores!$A$15:$B$18,2)</f>
        <v>40</v>
      </c>
      <c r="I16" s="6">
        <f>Scores!$G$4*VLOOKUP(H15,Scores!$A$15:$B$18,2)+Scores!$H$4*VLOOKUP(I15,Scores!$A$15:$B$18,2)+Scores!$I$4*VLOOKUP(J15,Scores!$A$15:$B$18,2)+Scores!$J$4*VLOOKUP(K15,Scores!$A$15:$B$18,2)</f>
        <v>55</v>
      </c>
      <c r="J16" s="6">
        <f>Scores!$L$4*VLOOKUP(H15,Scores!$A$15:$B$18,2)+Scores!$M$4*VLOOKUP(I15,Scores!$A$15:$B$18,2)+Scores!$N$4*VLOOKUP(J15,Scores!$A$15:$B$18,2)+Scores!$O$4*VLOOKUP(K15,Scores!$A$15:$B$18,2)</f>
        <v>0</v>
      </c>
      <c r="K16" s="7"/>
      <c r="L16" s="7"/>
      <c r="M16" s="6">
        <f>Scores!$B$5*VLOOKUP(M15,Scores!$A$15:$B$18,2)+Scores!$C$5*VLOOKUP(N15,Scores!$A$15:$B$18,2)+Scores!$D$5*VLOOKUP(O15,Scores!$A$15:$B$18,2)+Scores!$E$5*VLOOKUP(P15,Scores!$A$15:$B$18,2)</f>
        <v>53</v>
      </c>
      <c r="N16" s="6">
        <f>Scores!$G$5*VLOOKUP(M15,Scores!$A$15:$B$18,2)+Scores!$H$5*VLOOKUP(N15,Scores!$A$15:$B$18,2)+Scores!$I$5*VLOOKUP(O15,Scores!$A$15:$B$18,2)+Scores!$J$5*VLOOKUP(P15,Scores!$A$15:$B$18,2)</f>
        <v>55</v>
      </c>
      <c r="O16" s="6">
        <f>Scores!$L$5*VLOOKUP(M15,Scores!$A$15:$B$18,2)+Scores!$M$5*VLOOKUP(N15,Scores!$A$15:$B$18,2)+Scores!$N$5*VLOOKUP(O15,Scores!$A$15:$B$18,2)+Scores!$O$5*VLOOKUP(P15,Scores!$A$15:$B$18,2)</f>
        <v>0</v>
      </c>
      <c r="P16" s="7"/>
      <c r="Q16" s="7"/>
      <c r="R16" s="6">
        <f>Scores!$B$6*VLOOKUP(R15,Scores!$A$15:$B$18,2)+Scores!$C$6*VLOOKUP(S15,Scores!$A$15:$B$18,2)+Scores!$D$6*VLOOKUP(T15,Scores!$A$15:$B$18,2)+Scores!$E$6*VLOOKUP(U15,Scores!$A$15:$B$18,2)</f>
        <v>62</v>
      </c>
      <c r="S16" s="6">
        <f>Scores!$G$6*VLOOKUP(R15,Scores!$A$15:$B$18,2)+Scores!$H$6*VLOOKUP(S15,Scores!$A$15:$B$18,2)+Scores!$I$6*VLOOKUP(T15,Scores!$A$15:$B$18,2)+Scores!$J$6*VLOOKUP(U15,Scores!$A$15:$B$18,2)</f>
        <v>57</v>
      </c>
      <c r="T16" s="6">
        <f>Scores!$L$6*VLOOKUP(R15,Scores!$A$15:$B$18,2)+Scores!$M$6*VLOOKUP(S15,Scores!$A$15:$B$18,2)+Scores!$N$6*VLOOKUP(T15,Scores!$A$15:$B$18,2)+Scores!$O$6*VLOOKUP(U15,Scores!$A$15:$B$18,2)</f>
        <v>48</v>
      </c>
      <c r="U16" s="7"/>
      <c r="V16" s="7"/>
      <c r="W16" s="6">
        <f>Scores!$B$7*VLOOKUP(W15,Scores!$A$15:$B$18,2)+Scores!$C$7*VLOOKUP(X15,Scores!$A$15:$B$18,2)+Scores!$D$7*VLOOKUP(Y15,Scores!$A$15:$B$18,2)+Scores!$E$7*VLOOKUP(Z15,Scores!$A$15:$B$18,2)</f>
        <v>60</v>
      </c>
      <c r="X16" s="6">
        <f>Scores!$G$7*VLOOKUP(W15,Scores!$A$15:$B$18,2)+Scores!$H$7*VLOOKUP(X15,Scores!$A$15:$B$18,2)+Scores!$I$7*VLOOKUP(Y15,Scores!$A$15:$B$18,2)+Scores!$J$7*VLOOKUP(Z15,Scores!$A$15:$B$18,2)</f>
        <v>60</v>
      </c>
      <c r="Y16" s="6">
        <f>Scores!$L$7*VLOOKUP(W15,Scores!$A$15:$B$18,2)+Scores!$M$7*VLOOKUP(X15,Scores!$A$15:$B$18,2)+Scores!$N$7*VLOOKUP(Y15,Scores!$A$15:$B$18,2)+Scores!$O$7*VLOOKUP(Z15,Scores!$A$15:$B$18,2)</f>
        <v>46</v>
      </c>
      <c r="Z16" s="7"/>
      <c r="AA16" s="7"/>
      <c r="AB16" s="6">
        <f>Scores!$B$8*VLOOKUP(AB15,Scores!$A$15:$B$18,2)+Scores!$C$8*VLOOKUP(AC15,Scores!$A$15:$B$18,2)+Scores!$D$8*VLOOKUP(AD15,Scores!$A$15:$B$18,2)+Scores!$E$8*VLOOKUP(AE15,Scores!$A$15:$B$18,2)</f>
        <v>62</v>
      </c>
      <c r="AC16" s="6">
        <f>Scores!$G$8*VLOOKUP(AB15,Scores!$A$15:$B$18,2)+Scores!$H$8*VLOOKUP(AC15,Scores!$A$15:$B$18,2)+Scores!$I$8*VLOOKUP(AD15,Scores!$A$15:$B$18,2)+Scores!$J$8*VLOOKUP(AE15,Scores!$A$15:$B$18,2)</f>
        <v>60</v>
      </c>
      <c r="AD16" s="6">
        <f>Scores!$L$8*VLOOKUP(AB15,Scores!$A$15:$B$18,2)+Scores!$M$8*VLOOKUP(AC15,Scores!$A$15:$B$18,2)+Scores!$N$8*VLOOKUP(AD15,Scores!$A$15:$B$18,2)+Scores!$O$8*VLOOKUP(AE15,Scores!$A$15:$B$18,2)</f>
        <v>48</v>
      </c>
      <c r="AE16" s="7"/>
      <c r="AF16" s="7"/>
      <c r="AG16" s="6">
        <f>Scores!$B$9*VLOOKUP(AG15,Scores!$A$15:$B$18,2)+Scores!$C$9*VLOOKUP(AH15,Scores!$A$15:$B$18,2)+Scores!$D$9*VLOOKUP(AI15,Scores!$A$15:$B$18,2)+Scores!$E$9*VLOOKUP(AJ15,Scores!$A$15:$B$18,2)</f>
        <v>0</v>
      </c>
      <c r="AH16" s="6">
        <f>Scores!$G$9*VLOOKUP(AG15,Scores!$A$15:$B$18,2)+Scores!$H$9*VLOOKUP(AH15,Scores!$A$15:$B$18,2)+Scores!$I$9*VLOOKUP(AI15,Scores!$A$15:$B$18,2)+Scores!$J$9*VLOOKUP(AJ15,Scores!$A$15:$B$18,2)</f>
        <v>47</v>
      </c>
      <c r="AI16" s="6">
        <f>Scores!$L$9*VLOOKUP(AG15,Scores!$A$15:$B$18,2)+Scores!$M$9*VLOOKUP(AH15,Scores!$A$15:$B$18,2)+Scores!$N$9*VLOOKUP(AI15,Scores!$A$15:$B$18,2)+Scores!$O$9*VLOOKUP(AJ15,Scores!$A$15:$B$18,2)</f>
        <v>0</v>
      </c>
      <c r="AJ16" s="7"/>
      <c r="AK16" s="7"/>
      <c r="AL16" s="6">
        <f>Scores!$B$10*VLOOKUP(AL15,Scores!$A$15:$B$18,2)+Scores!$C$10*VLOOKUP(AM15,Scores!$A$15:$B$18,2)+Scores!$D$10*VLOOKUP(AN15,Scores!$A$15:$B$18,2)+Scores!$E$10*VLOOKUP(AO15,Scores!$A$15:$B$18,2)</f>
        <v>0</v>
      </c>
      <c r="AM16" s="6">
        <f>Scores!$G$10*VLOOKUP(AL15,Scores!$A$15:$B$18,2)+Scores!$H$10*VLOOKUP(AM15,Scores!$A$15:$B$18,2)+Scores!$I$10*VLOOKUP(AN15,Scores!$A$15:$B$18,2)+Scores!$J$10*VLOOKUP(AO15,Scores!$A$15:$B$18,2)</f>
        <v>0</v>
      </c>
      <c r="AN16" s="6">
        <f>Scores!$L$10*VLOOKUP(AL15,Scores!$A$15:$B$18,2)+Scores!$M$10*VLOOKUP(AM15,Scores!$A$15:$B$18,2)+Scores!$N$10*VLOOKUP(AN15,Scores!$A$15:$B$18,2)+Scores!$O$10*VLOOKUP(AO15,Scores!$A$15:$B$18,2)</f>
        <v>0</v>
      </c>
      <c r="AO16" s="7"/>
    </row>
    <row r="17" spans="1:49" x14ac:dyDescent="0.25">
      <c r="A17" t="s">
        <v>87</v>
      </c>
      <c r="B17" t="s">
        <v>19</v>
      </c>
      <c r="C17">
        <v>1</v>
      </c>
      <c r="D17">
        <v>4</v>
      </c>
      <c r="E17">
        <v>3</v>
      </c>
      <c r="F17">
        <v>2</v>
      </c>
      <c r="H17">
        <v>2</v>
      </c>
      <c r="I17">
        <v>4</v>
      </c>
      <c r="J17">
        <v>3</v>
      </c>
      <c r="K17">
        <v>1</v>
      </c>
      <c r="M17">
        <v>2</v>
      </c>
      <c r="N17">
        <v>4</v>
      </c>
      <c r="O17">
        <v>3</v>
      </c>
      <c r="P17">
        <v>1</v>
      </c>
      <c r="R17">
        <v>2</v>
      </c>
      <c r="S17">
        <v>4</v>
      </c>
      <c r="T17">
        <v>3</v>
      </c>
      <c r="U17">
        <v>1</v>
      </c>
      <c r="W17">
        <v>2</v>
      </c>
      <c r="X17">
        <v>3</v>
      </c>
      <c r="Y17">
        <v>1</v>
      </c>
      <c r="Z17">
        <v>4</v>
      </c>
      <c r="AB17">
        <v>1</v>
      </c>
      <c r="AC17">
        <v>2</v>
      </c>
      <c r="AD17">
        <v>4</v>
      </c>
      <c r="AE17">
        <v>3</v>
      </c>
      <c r="AG17">
        <v>2</v>
      </c>
      <c r="AH17">
        <v>1</v>
      </c>
      <c r="AI17">
        <v>3</v>
      </c>
      <c r="AJ17">
        <v>4</v>
      </c>
      <c r="AL17">
        <v>2</v>
      </c>
      <c r="AM17">
        <v>1</v>
      </c>
      <c r="AN17">
        <v>3</v>
      </c>
      <c r="AO17">
        <v>4</v>
      </c>
      <c r="AQ17" s="9">
        <f>((C18+H18+M18+R18+W18)-Scores!$E$15)/(Scores!$I$15-Scores!$E$15)</f>
        <v>0.66379310344827591</v>
      </c>
      <c r="AR17" s="9">
        <f>((D18+I18+N18+S18+X18)-Scores!$E$16)/(Scores!$I$16-Scores!$E$16)</f>
        <v>0.89655172413793105</v>
      </c>
      <c r="AS17" s="9">
        <f>((E18+J18+O18+T18+Y18)-Scores!$E$17)/(Scores!$I$17-Scores!$E$17)</f>
        <v>0.55172413793103448</v>
      </c>
      <c r="AT17" s="9"/>
      <c r="AU17" s="9">
        <f>((AB18+AG18+AL18)-Scores!$F$15)/(Scores!$J$15-Scores!$F$15)</f>
        <v>1</v>
      </c>
      <c r="AV17" s="9">
        <f>((AC18+AH18+AM18)-Scores!$F$16)/(Scores!$J$16-Scores!$F$16)</f>
        <v>0.46551724137931033</v>
      </c>
      <c r="AW17" s="9">
        <f>((AD18+AI18+AN18)-Scores!$F$17)/(Scores!$J$17-Scores!$F$17)</f>
        <v>0.51724137931034486</v>
      </c>
    </row>
    <row r="18" spans="1:49" s="5" customFormat="1" ht="11.25" x14ac:dyDescent="0.2">
      <c r="C18" s="6">
        <f>Scores!$B$3*VLOOKUP(C17,Scores!$A$15:$B$18,2)+Scores!$C$3*VLOOKUP(D17,Scores!$A$15:$B$18,2)+Scores!$D$3*VLOOKUP(E17,Scores!$A$15:$B$18,2)+Scores!$E$3*VLOOKUP(F17,Scores!$A$15:$B$18,2)</f>
        <v>0</v>
      </c>
      <c r="D18" s="6">
        <f>Scores!$G$3*VLOOKUP(C17,Scores!$A$15:$B$18,2)+Scores!$H$3*VLOOKUP(D17,Scores!$A$15:$B$18,2)+Scores!$I$3*VLOOKUP(E17,Scores!$A$15:$B$18,2)+Scores!$J$3*VLOOKUP(F17,Scores!$A$15:$B$18,2)</f>
        <v>62</v>
      </c>
      <c r="E18" s="6">
        <f>Scores!$L$3*VLOOKUP(C17,Scores!$A$15:$B$18,2)+Scores!$M$3*VLOOKUP(D17,Scores!$A$15:$B$18,2)+Scores!$N$3*VLOOKUP(E17,Scores!$A$15:$B$18,2)+Scores!$O$3*VLOOKUP(F17,Scores!$A$15:$B$18,2)</f>
        <v>0</v>
      </c>
      <c r="F18" s="7"/>
      <c r="G18" s="7"/>
      <c r="H18" s="6">
        <f>Scores!$B$4*VLOOKUP(H17,Scores!$A$15:$B$18,2)+Scores!$C$4*VLOOKUP(I17,Scores!$A$15:$B$18,2)+Scores!$D$4*VLOOKUP(J17,Scores!$A$15:$B$18,2)+Scores!$E$4*VLOOKUP(K17,Scores!$A$15:$B$18,2)</f>
        <v>38</v>
      </c>
      <c r="I18" s="6">
        <f>Scores!$G$4*VLOOKUP(H17,Scores!$A$15:$B$18,2)+Scores!$H$4*VLOOKUP(I17,Scores!$A$15:$B$18,2)+Scores!$I$4*VLOOKUP(J17,Scores!$A$15:$B$18,2)+Scores!$J$4*VLOOKUP(K17,Scores!$A$15:$B$18,2)</f>
        <v>57</v>
      </c>
      <c r="J18" s="6">
        <f>Scores!$L$4*VLOOKUP(H17,Scores!$A$15:$B$18,2)+Scores!$M$4*VLOOKUP(I17,Scores!$A$15:$B$18,2)+Scores!$N$4*VLOOKUP(J17,Scores!$A$15:$B$18,2)+Scores!$O$4*VLOOKUP(K17,Scores!$A$15:$B$18,2)</f>
        <v>0</v>
      </c>
      <c r="K18" s="7"/>
      <c r="L18" s="7"/>
      <c r="M18" s="6">
        <f>Scores!$B$5*VLOOKUP(M17,Scores!$A$15:$B$18,2)+Scores!$C$5*VLOOKUP(N17,Scores!$A$15:$B$18,2)+Scores!$D$5*VLOOKUP(O17,Scores!$A$15:$B$18,2)+Scores!$E$5*VLOOKUP(P17,Scores!$A$15:$B$18,2)</f>
        <v>47</v>
      </c>
      <c r="N18" s="6">
        <f>Scores!$G$5*VLOOKUP(M17,Scores!$A$15:$B$18,2)+Scores!$H$5*VLOOKUP(N17,Scores!$A$15:$B$18,2)+Scores!$I$5*VLOOKUP(O17,Scores!$A$15:$B$18,2)+Scores!$J$5*VLOOKUP(P17,Scores!$A$15:$B$18,2)</f>
        <v>57</v>
      </c>
      <c r="O18" s="6">
        <f>Scores!$L$5*VLOOKUP(M17,Scores!$A$15:$B$18,2)+Scores!$M$5*VLOOKUP(N17,Scores!$A$15:$B$18,2)+Scores!$N$5*VLOOKUP(O17,Scores!$A$15:$B$18,2)+Scores!$O$5*VLOOKUP(P17,Scores!$A$15:$B$18,2)</f>
        <v>0</v>
      </c>
      <c r="P18" s="7"/>
      <c r="Q18" s="7"/>
      <c r="R18" s="6">
        <f>Scores!$B$6*VLOOKUP(R17,Scores!$A$15:$B$18,2)+Scores!$C$6*VLOOKUP(S17,Scores!$A$15:$B$18,2)+Scores!$D$6*VLOOKUP(T17,Scores!$A$15:$B$18,2)+Scores!$E$6*VLOOKUP(U17,Scores!$A$15:$B$18,2)</f>
        <v>62</v>
      </c>
      <c r="S18" s="6">
        <f>Scores!$G$6*VLOOKUP(R17,Scores!$A$15:$B$18,2)+Scores!$H$6*VLOOKUP(S17,Scores!$A$15:$B$18,2)+Scores!$I$6*VLOOKUP(T17,Scores!$A$15:$B$18,2)+Scores!$J$6*VLOOKUP(U17,Scores!$A$15:$B$18,2)</f>
        <v>57</v>
      </c>
      <c r="T18" s="6">
        <f>Scores!$L$6*VLOOKUP(R17,Scores!$A$15:$B$18,2)+Scores!$M$6*VLOOKUP(S17,Scores!$A$15:$B$18,2)+Scores!$N$6*VLOOKUP(T17,Scores!$A$15:$B$18,2)+Scores!$O$6*VLOOKUP(U17,Scores!$A$15:$B$18,2)</f>
        <v>48</v>
      </c>
      <c r="U18" s="7"/>
      <c r="V18" s="7"/>
      <c r="W18" s="6">
        <f>Scores!$B$7*VLOOKUP(W17,Scores!$A$15:$B$18,2)+Scores!$C$7*VLOOKUP(X17,Scores!$A$15:$B$18,2)+Scores!$D$7*VLOOKUP(Y17,Scores!$A$15:$B$18,2)+Scores!$E$7*VLOOKUP(Z17,Scores!$A$15:$B$18,2)</f>
        <v>62</v>
      </c>
      <c r="X18" s="6">
        <f>Scores!$G$7*VLOOKUP(W17,Scores!$A$15:$B$18,2)+Scores!$H$7*VLOOKUP(X17,Scores!$A$15:$B$18,2)+Scores!$I$7*VLOOKUP(Y17,Scores!$A$15:$B$18,2)+Scores!$J$7*VLOOKUP(Z17,Scores!$A$15:$B$18,2)</f>
        <v>62</v>
      </c>
      <c r="Y18" s="6">
        <f>Scores!$L$7*VLOOKUP(W17,Scores!$A$15:$B$18,2)+Scores!$M$7*VLOOKUP(X17,Scores!$A$15:$B$18,2)+Scores!$N$7*VLOOKUP(Y17,Scores!$A$15:$B$18,2)+Scores!$O$7*VLOOKUP(Z17,Scores!$A$15:$B$18,2)</f>
        <v>50</v>
      </c>
      <c r="Z18" s="7"/>
      <c r="AA18" s="7"/>
      <c r="AB18" s="6">
        <f>Scores!$B$8*VLOOKUP(AB17,Scores!$A$15:$B$18,2)+Scores!$C$8*VLOOKUP(AC17,Scores!$A$15:$B$18,2)+Scores!$D$8*VLOOKUP(AD17,Scores!$A$15:$B$18,2)+Scores!$E$8*VLOOKUP(AE17,Scores!$A$15:$B$18,2)</f>
        <v>62</v>
      </c>
      <c r="AC18" s="6">
        <f>Scores!$G$8*VLOOKUP(AB17,Scores!$A$15:$B$18,2)+Scores!$H$8*VLOOKUP(AC17,Scores!$A$15:$B$18,2)+Scores!$I$8*VLOOKUP(AD17,Scores!$A$15:$B$18,2)+Scores!$J$8*VLOOKUP(AE17,Scores!$A$15:$B$18,2)</f>
        <v>60</v>
      </c>
      <c r="AD18" s="6">
        <f>Scores!$L$8*VLOOKUP(AB17,Scores!$A$15:$B$18,2)+Scores!$M$8*VLOOKUP(AC17,Scores!$A$15:$B$18,2)+Scores!$N$8*VLOOKUP(AD17,Scores!$A$15:$B$18,2)+Scores!$O$8*VLOOKUP(AE17,Scores!$A$15:$B$18,2)</f>
        <v>48</v>
      </c>
      <c r="AE18" s="7"/>
      <c r="AF18" s="7"/>
      <c r="AG18" s="6">
        <f>Scores!$B$9*VLOOKUP(AG17,Scores!$A$15:$B$18,2)+Scores!$C$9*VLOOKUP(AH17,Scores!$A$15:$B$18,2)+Scores!$D$9*VLOOKUP(AI17,Scores!$A$15:$B$18,2)+Scores!$E$9*VLOOKUP(AJ17,Scores!$A$15:$B$18,2)</f>
        <v>0</v>
      </c>
      <c r="AH18" s="6">
        <f>Scores!$G$9*VLOOKUP(AG17,Scores!$A$15:$B$18,2)+Scores!$H$9*VLOOKUP(AH17,Scores!$A$15:$B$18,2)+Scores!$I$9*VLOOKUP(AI17,Scores!$A$15:$B$18,2)+Scores!$J$9*VLOOKUP(AJ17,Scores!$A$15:$B$18,2)</f>
        <v>33</v>
      </c>
      <c r="AI18" s="6">
        <f>Scores!$L$9*VLOOKUP(AG17,Scores!$A$15:$B$18,2)+Scores!$M$9*VLOOKUP(AH17,Scores!$A$15:$B$18,2)+Scores!$N$9*VLOOKUP(AI17,Scores!$A$15:$B$18,2)+Scores!$O$9*VLOOKUP(AJ17,Scores!$A$15:$B$18,2)</f>
        <v>0</v>
      </c>
      <c r="AJ18" s="7"/>
      <c r="AK18" s="7"/>
      <c r="AL18" s="6">
        <f>Scores!$B$10*VLOOKUP(AL17,Scores!$A$15:$B$18,2)+Scores!$C$10*VLOOKUP(AM17,Scores!$A$15:$B$18,2)+Scores!$D$10*VLOOKUP(AN17,Scores!$A$15:$B$18,2)+Scores!$E$10*VLOOKUP(AO17,Scores!$A$15:$B$18,2)</f>
        <v>0</v>
      </c>
      <c r="AM18" s="6">
        <f>Scores!$G$10*VLOOKUP(AL17,Scores!$A$15:$B$18,2)+Scores!$H$10*VLOOKUP(AM17,Scores!$A$15:$B$18,2)+Scores!$I$10*VLOOKUP(AN17,Scores!$A$15:$B$18,2)+Scores!$J$10*VLOOKUP(AO17,Scores!$A$15:$B$18,2)</f>
        <v>0</v>
      </c>
      <c r="AN18" s="6">
        <f>Scores!$L$10*VLOOKUP(AL17,Scores!$A$15:$B$18,2)+Scores!$M$10*VLOOKUP(AM17,Scores!$A$15:$B$18,2)+Scores!$N$10*VLOOKUP(AN17,Scores!$A$15:$B$18,2)+Scores!$O$10*VLOOKUP(AO17,Scores!$A$15:$B$18,2)</f>
        <v>0</v>
      </c>
      <c r="AO18" s="7"/>
    </row>
    <row r="19" spans="1:49" x14ac:dyDescent="0.25">
      <c r="A19" t="s">
        <v>94</v>
      </c>
      <c r="B19" t="s">
        <v>19</v>
      </c>
      <c r="C19">
        <v>1</v>
      </c>
      <c r="D19">
        <v>4</v>
      </c>
      <c r="E19">
        <v>3</v>
      </c>
      <c r="F19">
        <v>2</v>
      </c>
      <c r="H19">
        <v>4</v>
      </c>
      <c r="I19">
        <v>1</v>
      </c>
      <c r="J19">
        <v>3</v>
      </c>
      <c r="K19">
        <v>2</v>
      </c>
      <c r="M19">
        <v>3</v>
      </c>
      <c r="N19">
        <v>1</v>
      </c>
      <c r="O19">
        <v>4</v>
      </c>
      <c r="P19">
        <v>2</v>
      </c>
      <c r="R19">
        <v>3</v>
      </c>
      <c r="S19">
        <v>1</v>
      </c>
      <c r="T19">
        <v>4</v>
      </c>
      <c r="U19">
        <v>2</v>
      </c>
      <c r="W19">
        <v>2</v>
      </c>
      <c r="X19">
        <v>3</v>
      </c>
      <c r="Y19">
        <v>1</v>
      </c>
      <c r="Z19">
        <v>4</v>
      </c>
      <c r="AB19">
        <v>1</v>
      </c>
      <c r="AC19">
        <v>2</v>
      </c>
      <c r="AD19">
        <v>4</v>
      </c>
      <c r="AE19">
        <v>3</v>
      </c>
      <c r="AG19">
        <v>3</v>
      </c>
      <c r="AH19">
        <v>4</v>
      </c>
      <c r="AI19">
        <v>2</v>
      </c>
      <c r="AJ19">
        <v>1</v>
      </c>
      <c r="AL19">
        <v>2</v>
      </c>
      <c r="AM19">
        <v>1</v>
      </c>
      <c r="AN19">
        <v>3</v>
      </c>
      <c r="AO19">
        <v>4</v>
      </c>
      <c r="AQ19" s="9">
        <f>((C20+H20+M20+R20+W20)-Scores!$E$15)/(Scores!$I$15-Scores!$E$15)</f>
        <v>0.80172413793103448</v>
      </c>
      <c r="AR19" s="9">
        <f>((D20+I20+N20+S20+X20)-Scores!$E$16)/(Scores!$I$16-Scores!$E$16)</f>
        <v>0.49655172413793103</v>
      </c>
      <c r="AS19" s="9">
        <f>((E20+J20+O20+T20+Y20)-Scores!$E$17)/(Scores!$I$17-Scores!$E$17)</f>
        <v>0.29310344827586204</v>
      </c>
      <c r="AT19" s="9"/>
      <c r="AU19" s="9">
        <f>((AB20+AG20+AL20)-Scores!$F$15)/(Scores!$J$15-Scores!$F$15)</f>
        <v>1</v>
      </c>
      <c r="AV19" s="9">
        <f>((AC20+AH20+AM20)-Scores!$F$16)/(Scores!$J$16-Scores!$F$16)</f>
        <v>0.96551724137931039</v>
      </c>
      <c r="AW19" s="9">
        <f>((AD20+AI20+AN20)-Scores!$F$17)/(Scores!$J$17-Scores!$F$17)</f>
        <v>0.51724137931034486</v>
      </c>
    </row>
    <row r="20" spans="1:49" s="5" customFormat="1" ht="11.25" x14ac:dyDescent="0.2">
      <c r="C20" s="6">
        <f>Scores!$B$3*VLOOKUP(C19,Scores!$A$15:$B$18,2)+Scores!$C$3*VLOOKUP(D19,Scores!$A$15:$B$18,2)+Scores!$D$3*VLOOKUP(E19,Scores!$A$15:$B$18,2)+Scores!$E$3*VLOOKUP(F19,Scores!$A$15:$B$18,2)</f>
        <v>0</v>
      </c>
      <c r="D20" s="6">
        <f>Scores!$G$3*VLOOKUP(C19,Scores!$A$15:$B$18,2)+Scores!$H$3*VLOOKUP(D19,Scores!$A$15:$B$18,2)+Scores!$I$3*VLOOKUP(E19,Scores!$A$15:$B$18,2)+Scores!$J$3*VLOOKUP(F19,Scores!$A$15:$B$18,2)</f>
        <v>62</v>
      </c>
      <c r="E20" s="6">
        <f>Scores!$L$3*VLOOKUP(C19,Scores!$A$15:$B$18,2)+Scores!$M$3*VLOOKUP(D19,Scores!$A$15:$B$18,2)+Scores!$N$3*VLOOKUP(E19,Scores!$A$15:$B$18,2)+Scores!$O$3*VLOOKUP(F19,Scores!$A$15:$B$18,2)</f>
        <v>0</v>
      </c>
      <c r="F20" s="7"/>
      <c r="G20" s="7"/>
      <c r="H20" s="6">
        <f>Scores!$B$4*VLOOKUP(H19,Scores!$A$15:$B$18,2)+Scores!$C$4*VLOOKUP(I19,Scores!$A$15:$B$18,2)+Scores!$D$4*VLOOKUP(J19,Scores!$A$15:$B$18,2)+Scores!$E$4*VLOOKUP(K19,Scores!$A$15:$B$18,2)</f>
        <v>60</v>
      </c>
      <c r="I20" s="6">
        <f>Scores!$G$4*VLOOKUP(H19,Scores!$A$15:$B$18,2)+Scores!$H$4*VLOOKUP(I19,Scores!$A$15:$B$18,2)+Scores!$I$4*VLOOKUP(J19,Scores!$A$15:$B$18,2)+Scores!$J$4*VLOOKUP(K19,Scores!$A$15:$B$18,2)</f>
        <v>35</v>
      </c>
      <c r="J20" s="6">
        <f>Scores!$L$4*VLOOKUP(H19,Scores!$A$15:$B$18,2)+Scores!$M$4*VLOOKUP(I19,Scores!$A$15:$B$18,2)+Scores!$N$4*VLOOKUP(J19,Scores!$A$15:$B$18,2)+Scores!$O$4*VLOOKUP(K19,Scores!$A$15:$B$18,2)</f>
        <v>0</v>
      </c>
      <c r="K20" s="7"/>
      <c r="L20" s="7"/>
      <c r="M20" s="6">
        <f>Scores!$B$5*VLOOKUP(M19,Scores!$A$15:$B$18,2)+Scores!$C$5*VLOOKUP(N19,Scores!$A$15:$B$18,2)+Scores!$D$5*VLOOKUP(O19,Scores!$A$15:$B$18,2)+Scores!$E$5*VLOOKUP(P19,Scores!$A$15:$B$18,2)</f>
        <v>62</v>
      </c>
      <c r="N20" s="6">
        <f>Scores!$G$5*VLOOKUP(M19,Scores!$A$15:$B$18,2)+Scores!$H$5*VLOOKUP(N19,Scores!$A$15:$B$18,2)+Scores!$I$5*VLOOKUP(O19,Scores!$A$15:$B$18,2)+Scores!$J$5*VLOOKUP(P19,Scores!$A$15:$B$18,2)</f>
        <v>39</v>
      </c>
      <c r="O20" s="6">
        <f>Scores!$L$5*VLOOKUP(M19,Scores!$A$15:$B$18,2)+Scores!$M$5*VLOOKUP(N19,Scores!$A$15:$B$18,2)+Scores!$N$5*VLOOKUP(O19,Scores!$A$15:$B$18,2)+Scores!$O$5*VLOOKUP(P19,Scores!$A$15:$B$18,2)</f>
        <v>0</v>
      </c>
      <c r="P20" s="7"/>
      <c r="Q20" s="7"/>
      <c r="R20" s="6">
        <f>Scores!$B$6*VLOOKUP(R19,Scores!$A$15:$B$18,2)+Scores!$C$6*VLOOKUP(S19,Scores!$A$15:$B$18,2)+Scores!$D$6*VLOOKUP(T19,Scores!$A$15:$B$18,2)+Scores!$E$6*VLOOKUP(U19,Scores!$A$15:$B$18,2)</f>
        <v>41</v>
      </c>
      <c r="S20" s="6">
        <f>Scores!$G$6*VLOOKUP(R19,Scores!$A$15:$B$18,2)+Scores!$H$6*VLOOKUP(S19,Scores!$A$15:$B$18,2)+Scores!$I$6*VLOOKUP(T19,Scores!$A$15:$B$18,2)+Scores!$J$6*VLOOKUP(U19,Scores!$A$15:$B$18,2)</f>
        <v>39</v>
      </c>
      <c r="T20" s="6">
        <f>Scores!$L$6*VLOOKUP(R19,Scores!$A$15:$B$18,2)+Scores!$M$6*VLOOKUP(S19,Scores!$A$15:$B$18,2)+Scores!$N$6*VLOOKUP(T19,Scores!$A$15:$B$18,2)+Scores!$O$6*VLOOKUP(U19,Scores!$A$15:$B$18,2)</f>
        <v>33</v>
      </c>
      <c r="U20" s="7"/>
      <c r="V20" s="7"/>
      <c r="W20" s="6">
        <f>Scores!$B$7*VLOOKUP(W19,Scores!$A$15:$B$18,2)+Scores!$C$7*VLOOKUP(X19,Scores!$A$15:$B$18,2)+Scores!$D$7*VLOOKUP(Y19,Scores!$A$15:$B$18,2)+Scores!$E$7*VLOOKUP(Z19,Scores!$A$15:$B$18,2)</f>
        <v>62</v>
      </c>
      <c r="X20" s="6">
        <f>Scores!$G$7*VLOOKUP(W19,Scores!$A$15:$B$18,2)+Scores!$H$7*VLOOKUP(X19,Scores!$A$15:$B$18,2)+Scores!$I$7*VLOOKUP(Y19,Scores!$A$15:$B$18,2)+Scores!$J$7*VLOOKUP(Z19,Scores!$A$15:$B$18,2)</f>
        <v>62</v>
      </c>
      <c r="Y20" s="6">
        <f>Scores!$L$7*VLOOKUP(W19,Scores!$A$15:$B$18,2)+Scores!$M$7*VLOOKUP(X19,Scores!$A$15:$B$18,2)+Scores!$N$7*VLOOKUP(Y19,Scores!$A$15:$B$18,2)+Scores!$O$7*VLOOKUP(Z19,Scores!$A$15:$B$18,2)</f>
        <v>50</v>
      </c>
      <c r="Z20" s="7"/>
      <c r="AA20" s="7"/>
      <c r="AB20" s="6">
        <f>Scores!$B$8*VLOOKUP(AB19,Scores!$A$15:$B$18,2)+Scores!$C$8*VLOOKUP(AC19,Scores!$A$15:$B$18,2)+Scores!$D$8*VLOOKUP(AD19,Scores!$A$15:$B$18,2)+Scores!$E$8*VLOOKUP(AE19,Scores!$A$15:$B$18,2)</f>
        <v>62</v>
      </c>
      <c r="AC20" s="6">
        <f>Scores!$G$8*VLOOKUP(AB19,Scores!$A$15:$B$18,2)+Scores!$H$8*VLOOKUP(AC19,Scores!$A$15:$B$18,2)+Scores!$I$8*VLOOKUP(AD19,Scores!$A$15:$B$18,2)+Scores!$J$8*VLOOKUP(AE19,Scores!$A$15:$B$18,2)</f>
        <v>60</v>
      </c>
      <c r="AD20" s="6">
        <f>Scores!$L$8*VLOOKUP(AB19,Scores!$A$15:$B$18,2)+Scores!$M$8*VLOOKUP(AC19,Scores!$A$15:$B$18,2)+Scores!$N$8*VLOOKUP(AD19,Scores!$A$15:$B$18,2)+Scores!$O$8*VLOOKUP(AE19,Scores!$A$15:$B$18,2)</f>
        <v>48</v>
      </c>
      <c r="AE20" s="7"/>
      <c r="AF20" s="7"/>
      <c r="AG20" s="6">
        <f>Scores!$B$9*VLOOKUP(AG19,Scores!$A$15:$B$18,2)+Scores!$C$9*VLOOKUP(AH19,Scores!$A$15:$B$18,2)+Scores!$D$9*VLOOKUP(AI19,Scores!$A$15:$B$18,2)+Scores!$E$9*VLOOKUP(AJ19,Scores!$A$15:$B$18,2)</f>
        <v>0</v>
      </c>
      <c r="AH20" s="6">
        <f>Scores!$G$9*VLOOKUP(AG19,Scores!$A$15:$B$18,2)+Scores!$H$9*VLOOKUP(AH19,Scores!$A$15:$B$18,2)+Scores!$I$9*VLOOKUP(AI19,Scores!$A$15:$B$18,2)+Scores!$J$9*VLOOKUP(AJ19,Scores!$A$15:$B$18,2)</f>
        <v>62</v>
      </c>
      <c r="AI20" s="6">
        <f>Scores!$L$9*VLOOKUP(AG19,Scores!$A$15:$B$18,2)+Scores!$M$9*VLOOKUP(AH19,Scores!$A$15:$B$18,2)+Scores!$N$9*VLOOKUP(AI19,Scores!$A$15:$B$18,2)+Scores!$O$9*VLOOKUP(AJ19,Scores!$A$15:$B$18,2)</f>
        <v>0</v>
      </c>
      <c r="AJ20" s="7"/>
      <c r="AK20" s="7"/>
      <c r="AL20" s="6">
        <f>Scores!$B$10*VLOOKUP(AL19,Scores!$A$15:$B$18,2)+Scores!$C$10*VLOOKUP(AM19,Scores!$A$15:$B$18,2)+Scores!$D$10*VLOOKUP(AN19,Scores!$A$15:$B$18,2)+Scores!$E$10*VLOOKUP(AO19,Scores!$A$15:$B$18,2)</f>
        <v>0</v>
      </c>
      <c r="AM20" s="6">
        <f>Scores!$G$10*VLOOKUP(AL19,Scores!$A$15:$B$18,2)+Scores!$H$10*VLOOKUP(AM19,Scores!$A$15:$B$18,2)+Scores!$I$10*VLOOKUP(AN19,Scores!$A$15:$B$18,2)+Scores!$J$10*VLOOKUP(AO19,Scores!$A$15:$B$18,2)</f>
        <v>0</v>
      </c>
      <c r="AN20" s="6">
        <f>Scores!$L$10*VLOOKUP(AL19,Scores!$A$15:$B$18,2)+Scores!$M$10*VLOOKUP(AM19,Scores!$A$15:$B$18,2)+Scores!$N$10*VLOOKUP(AN19,Scores!$A$15:$B$18,2)+Scores!$O$10*VLOOKUP(AO19,Scores!$A$15:$B$18,2)</f>
        <v>0</v>
      </c>
      <c r="AO20" s="7"/>
    </row>
    <row r="22" spans="1:49" x14ac:dyDescent="0.25">
      <c r="A22" s="8" t="s">
        <v>97</v>
      </c>
      <c r="C22">
        <f>BordaCOunt((C3:F3,C5:F5,C7:F7,C9:F9,C11:F11,C13:F13,C15:F15,C17:F17,C19:F19),1)</f>
        <v>1</v>
      </c>
      <c r="D22">
        <f>BordaCOunt((C3:F3,C5:F5,C7:F7,C9:F9,C11:F11,C13:F13,C15:F15,C17:F17,C19:F19),2)</f>
        <v>4</v>
      </c>
      <c r="E22">
        <f>BordaCOunt((C3:F3,C5:F5,C7:F7,C9:F9,C11:F11,C13:F13,C15:F15,C17:F17,C19:F19),3)</f>
        <v>3</v>
      </c>
      <c r="F22">
        <f>BordaCOunt((C3:F3,C5:F5,C7:F7,C9:F9,C11:F11,C13:F13,C15:F15,C17:F17,C19:F19),4)</f>
        <v>2</v>
      </c>
      <c r="H22">
        <f>BordaCOunt((H3:K3,H5:K5,H7:K7,H9:K9,H11:K11,H13:K13,H15:K15,H17:K17,H19:K19),1)</f>
        <v>4</v>
      </c>
      <c r="I22">
        <f>BordaCOunt((H3:K3,H5:K5,H7:K7,H9:K9,H11:K11,H13:K13,H15:K15,H17:K17,H19:K19),2)</f>
        <v>2</v>
      </c>
      <c r="J22">
        <f>BordaCOunt((H3:K3,H5:K5,H7:K7,H9:K9,H11:K11,H13:K13,H15:K15,H17:K17,H19:K19),3)</f>
        <v>1</v>
      </c>
      <c r="K22">
        <f>BordaCOunt((H3:K3,H5:K5,H7:K7,H9:K9,H11:K11,H13:K13,H15:K15,H17:K17,H19:K19),4)</f>
        <v>3</v>
      </c>
      <c r="M22">
        <f>BordaCOunt((M3:P3,M5:P5,M7:P7,M9:P9,M11:P11,M13:P13,M15:P15,M17:P17,M19:P19),1)</f>
        <v>2</v>
      </c>
      <c r="N22">
        <f>BordaCOunt((M3:P3,M5:P5,M7:P7,M9:P9,M11:P11,M13:P13,M15:P15,M17:P17,M19:P19),2)</f>
        <v>3</v>
      </c>
      <c r="O22">
        <f>BordaCOunt((M3:P3,M5:P5,M7:P7,M9:P9,M11:P11,M13:P13,M15:P15,M17:P17,M19:P19),3)</f>
        <v>4</v>
      </c>
      <c r="P22">
        <f>BordaCOunt((M3:P3,M5:P5,M7:P7,M9:P9,M11:P11,M13:P13,M15:P15,M17:P17,M19:P19),4)</f>
        <v>1</v>
      </c>
      <c r="R22">
        <f>BordaCOunt((R3:U3,R5:U5,R7:U7,R9:U9,R11:U11,R13:U13,R15:U15,R17:U17,R19:U19),1)</f>
        <v>4</v>
      </c>
      <c r="S22">
        <f>BordaCOunt((R3:U3,R5:U5,R7:U7,R9:U9,R11:U11,R13:U13,R15:U15,R17:U17,R19:U19),2)</f>
        <v>2</v>
      </c>
      <c r="T22">
        <f>BordaCOunt((R3:U3,R5:U5,R7:U7,R9:U9,R11:U11,R13:U13,R15:U15,R17:U17,R19:U19),3)</f>
        <v>1</v>
      </c>
      <c r="U22">
        <f>BordaCOunt((R3:U3,R5:U5,R7:U7,R9:U9,R11:U11,R13:U13,R15:U15,R17:U17,R19:U19),4)</f>
        <v>3</v>
      </c>
      <c r="W22">
        <f>BordaCOunt((W3:Z3,W5:Z5,W7:Z7,W9:Z9,W11:Z11,W13:Z13,W15:Z15,W17:Z17,W19:Z19),1)</f>
        <v>2</v>
      </c>
      <c r="X22">
        <f>BordaCOunt((W3:Z3,W5:Z5,W7:Z7,W9:Z9,W11:Z11,W13:Z13,W15:Z15,W17:Z17,W19:Z19),2)</f>
        <v>3</v>
      </c>
      <c r="Y22">
        <f>BordaCOunt((W3:Z3,W5:Z5,W7:Z7,W9:Z9,W11:Z11,W13:Z13,W15:Z15,W17:Z17,W19:Z19),3)</f>
        <v>1</v>
      </c>
      <c r="Z22">
        <f>BordaCOunt((W3:Z3,W5:Z5,W7:Z7,W9:Z9,W11:Z11,W13:Z13,W15:Z15,W17:Z17,W19:Z19),4)</f>
        <v>4</v>
      </c>
      <c r="AB22">
        <f>BordaCOunt((AB3:AE3,AB5:AE5,AB7:AE7,AB9:AE9,AB11:AE11,AB13:AE13,AB15:AE15,AB17:AE17,AB19:AE19),1)</f>
        <v>1</v>
      </c>
      <c r="AC22">
        <f>BordaCOunt((AB3:AE3,AB5:AE5,AB7:AE7,AB9:AE9,AB11:AE11,AB13:AE13,AB15:AE15,AB17:AE17,AB19:AE19),2)</f>
        <v>2</v>
      </c>
      <c r="AD22">
        <f>BordaCOunt((AB3:AE3,AB5:AE5,AB7:AE7,AB9:AE9,AB11:AE11,AB13:AE13,AB15:AE15,AB17:AE17,AB19:AE19),3)</f>
        <v>3</v>
      </c>
      <c r="AE22">
        <f>BordaCOunt((AB3:AE3,AB5:AE5,AB7:AE7,AB9:AE9,AB11:AE11,AB13:AE13,AB15:AE15,AB17:AE17,AB19:AE19),4)</f>
        <v>4</v>
      </c>
      <c r="AG22">
        <f>BordaCOunt((AG3:AJ3,AG5:AJ5,AG7:AJ7,AG9:AJ9,AG11:AJ11,AG13:AJ13,AG15:AJ15,AG17:AJ17,AG19:AJ19),1)</f>
        <v>3</v>
      </c>
      <c r="AH22">
        <f>BordaCOunt((AG3:AJ3,AG5:AJ5,AG7:AJ7,AG9:AJ9,AG11:AJ11,AG13:AJ13,AG15:AJ15,AG17:AJ17,AG19:AJ19),2)</f>
        <v>2</v>
      </c>
      <c r="AI22">
        <f>BordaCOunt((AG3:AJ3,AG5:AJ5,AG7:AJ7,AG9:AJ9,AG11:AJ11,AG13:AJ13,AG15:AJ15,AG17:AJ17,AG19:AJ19),3)</f>
        <v>4</v>
      </c>
      <c r="AJ22">
        <f>BordaCOunt((AG3:AJ3,AG5:AJ5,AG7:AJ7,AG9:AJ9,AG11:AJ11,AG13:AJ13,AG15:AJ15,AG17:AJ17,AG19:AJ19),4)</f>
        <v>1</v>
      </c>
      <c r="AL22">
        <f>BordaCOunt((AL3:AO3,AL5:AO5,AL7:AO7,AL9:AO9,AL11:AO11,AL13:AO13,AL15:AO15,AL17:AO17,AL19:AO19),1)</f>
        <v>2</v>
      </c>
      <c r="AM22">
        <f>BordaCOunt((AL3:AO3,AL5:AO5,AL7:AO7,AL9:AO9,AL11:AO11,AL13:AO13,AL15:AO15,AL17:AO17,AL19:AO19),2)</f>
        <v>1</v>
      </c>
      <c r="AN22">
        <f>BordaCOunt((AL3:AO3,AL5:AO5,AL7:AO7,AL9:AO9,AL11:AO11,AL13:AO13,AL15:AO15,AL17:AO17,AL19:AO19),3)</f>
        <v>3</v>
      </c>
      <c r="AO22">
        <f>BordaCOunt((AL3:AO3,AL5:AO5,AL7:AO7,AL9:AO9,AL11:AO11,AL13:AO13,AL15:AO15,AL17:AO17,AL19:AO19),4)</f>
        <v>4</v>
      </c>
      <c r="AP22" s="1"/>
      <c r="AQ22" s="9">
        <f>((C23+H23+M23+R23+W23)-Scores!$E$15)/(Scores!$I$15-Scores!$E$15)</f>
        <v>0.68965517241379315</v>
      </c>
      <c r="AR22" s="9">
        <f>((D23+I23+N23+S23+X23)-Scores!$E$16)/(Scores!$I$16-Scores!$E$16)</f>
        <v>0.62068965517241381</v>
      </c>
      <c r="AS22" s="9">
        <f>((E23+J23+O23+T23+Y23)-Scores!$E$17)/(Scores!$I$17-Scores!$E$17)</f>
        <v>0.65517241379310343</v>
      </c>
      <c r="AU22" s="9">
        <f>((AB23+AG23+AL23)-Scores!$F$15)/(Scores!$J$15-Scores!$F$15)</f>
        <v>0.93103448275862066</v>
      </c>
      <c r="AV22" s="9">
        <f>((AC23+AH23+AM23)-Scores!$F$16)/(Scores!$J$16-Scores!$F$16)</f>
        <v>0.75862068965517238</v>
      </c>
      <c r="AW22" s="9">
        <f>((AD23+AI23+AN23)-Scores!$F$17)/(Scores!$J$17-Scores!$F$17)</f>
        <v>0.31034482758620691</v>
      </c>
    </row>
    <row r="23" spans="1:49" x14ac:dyDescent="0.25">
      <c r="C23" s="6">
        <f>Scores!$B$3*VLOOKUP(C22,Scores!$A$15:$B$18,2)+Scores!$C$3*VLOOKUP(D22,Scores!$A$15:$B$18,2)+Scores!$D$3*VLOOKUP(E22,Scores!$A$15:$B$18,2)+Scores!$E$3*VLOOKUP(F22,Scores!$A$15:$B$18,2)</f>
        <v>0</v>
      </c>
      <c r="D23" s="6">
        <f>Scores!$G$3*VLOOKUP(C22,Scores!$A$15:$B$18,2)+Scores!$H$3*VLOOKUP(D22,Scores!$A$15:$B$18,2)+Scores!$I$3*VLOOKUP(E22,Scores!$A$15:$B$18,2)+Scores!$J$3*VLOOKUP(F22,Scores!$A$15:$B$18,2)</f>
        <v>62</v>
      </c>
      <c r="E23" s="6">
        <f>Scores!$L$3*VLOOKUP(C22,Scores!$A$15:$B$18,2)+Scores!$M$3*VLOOKUP(D22,Scores!$A$15:$B$18,2)+Scores!$N$3*VLOOKUP(E22,Scores!$A$15:$B$18,2)+Scores!$O$3*VLOOKUP(F22,Scores!$A$15:$B$18,2)</f>
        <v>0</v>
      </c>
      <c r="F23" s="7"/>
      <c r="H23" s="6">
        <f>Scores!$B$4*VLOOKUP(H22,Scores!$A$15:$B$18,2)+Scores!$C$4*VLOOKUP(I22,Scores!$A$15:$B$18,2)+Scores!$D$4*VLOOKUP(J22,Scores!$A$15:$B$18,2)+Scores!$E$4*VLOOKUP(K22,Scores!$A$15:$B$18,2)</f>
        <v>57</v>
      </c>
      <c r="I23" s="6">
        <f>Scores!$G$4*VLOOKUP(H22,Scores!$A$15:$B$18,2)+Scores!$H$4*VLOOKUP(I22,Scores!$A$15:$B$18,2)+Scores!$I$4*VLOOKUP(J22,Scores!$A$15:$B$18,2)+Scores!$J$4*VLOOKUP(K22,Scores!$A$15:$B$18,2)</f>
        <v>38</v>
      </c>
      <c r="J23" s="6">
        <f>Scores!$L$4*VLOOKUP(H22,Scores!$A$15:$B$18,2)+Scores!$M$4*VLOOKUP(I22,Scores!$A$15:$B$18,2)+Scores!$N$4*VLOOKUP(J22,Scores!$A$15:$B$18,2)+Scores!$O$4*VLOOKUP(K22,Scores!$A$15:$B$18,2)</f>
        <v>0</v>
      </c>
      <c r="K23" s="7"/>
      <c r="L23" s="7"/>
      <c r="M23" s="6">
        <f>Scores!$B$5*VLOOKUP(M22,Scores!$A$15:$B$18,2)+Scores!$C$5*VLOOKUP(N22,Scores!$A$15:$B$18,2)+Scores!$D$5*VLOOKUP(O22,Scores!$A$15:$B$18,2)+Scores!$E$5*VLOOKUP(P22,Scores!$A$15:$B$18,2)</f>
        <v>53</v>
      </c>
      <c r="N23" s="6">
        <f>Scores!$G$5*VLOOKUP(M22,Scores!$A$15:$B$18,2)+Scores!$H$5*VLOOKUP(N22,Scores!$A$15:$B$18,2)+Scores!$I$5*VLOOKUP(O22,Scores!$A$15:$B$18,2)+Scores!$J$5*VLOOKUP(P22,Scores!$A$15:$B$18,2)</f>
        <v>55</v>
      </c>
      <c r="O23" s="6">
        <f>Scores!$L$5*VLOOKUP(M22,Scores!$A$15:$B$18,2)+Scores!$M$5*VLOOKUP(N22,Scores!$A$15:$B$18,2)+Scores!$N$5*VLOOKUP(O22,Scores!$A$15:$B$18,2)+Scores!$O$5*VLOOKUP(P22,Scores!$A$15:$B$18,2)</f>
        <v>0</v>
      </c>
      <c r="P23" s="7"/>
      <c r="Q23" s="7"/>
      <c r="R23" s="6">
        <f>Scores!$B$6*VLOOKUP(R22,Scores!$A$15:$B$18,2)+Scores!$C$6*VLOOKUP(S22,Scores!$A$15:$B$18,2)+Scores!$D$6*VLOOKUP(T22,Scores!$A$15:$B$18,2)+Scores!$E$6*VLOOKUP(U22,Scores!$A$15:$B$18,2)</f>
        <v>40</v>
      </c>
      <c r="S23" s="6">
        <f>Scores!$G$6*VLOOKUP(R22,Scores!$A$15:$B$18,2)+Scores!$H$6*VLOOKUP(S22,Scores!$A$15:$B$18,2)+Scores!$I$6*VLOOKUP(T22,Scores!$A$15:$B$18,2)+Scores!$J$6*VLOOKUP(U22,Scores!$A$15:$B$18,2)</f>
        <v>38</v>
      </c>
      <c r="T23" s="6">
        <f>Scores!$L$6*VLOOKUP(R22,Scores!$A$15:$B$18,2)+Scores!$M$6*VLOOKUP(S22,Scores!$A$15:$B$18,2)+Scores!$N$6*VLOOKUP(T22,Scores!$A$15:$B$18,2)+Scores!$O$6*VLOOKUP(U22,Scores!$A$15:$B$18,2)</f>
        <v>54</v>
      </c>
      <c r="U23" s="7"/>
      <c r="V23" s="7"/>
      <c r="W23" s="6">
        <f>Scores!$B$7*VLOOKUP(W22,Scores!$A$15:$B$18,2)+Scores!$C$7*VLOOKUP(X22,Scores!$A$15:$B$18,2)+Scores!$D$7*VLOOKUP(Y22,Scores!$A$15:$B$18,2)+Scores!$E$7*VLOOKUP(Z22,Scores!$A$15:$B$18,2)</f>
        <v>62</v>
      </c>
      <c r="X23" s="6">
        <f>Scores!$G$7*VLOOKUP(W22,Scores!$A$15:$B$18,2)+Scores!$H$7*VLOOKUP(X22,Scores!$A$15:$B$18,2)+Scores!$I$7*VLOOKUP(Y22,Scores!$A$15:$B$18,2)+Scores!$J$7*VLOOKUP(Z22,Scores!$A$15:$B$18,2)</f>
        <v>62</v>
      </c>
      <c r="Y23" s="6">
        <f>Scores!$L$7*VLOOKUP(W22,Scores!$A$15:$B$18,2)+Scores!$M$7*VLOOKUP(X22,Scores!$A$15:$B$18,2)+Scores!$N$7*VLOOKUP(Y22,Scores!$A$15:$B$18,2)+Scores!$O$7*VLOOKUP(Z22,Scores!$A$15:$B$18,2)</f>
        <v>50</v>
      </c>
      <c r="Z23" s="7"/>
      <c r="AA23" s="7"/>
      <c r="AB23" s="6">
        <f>Scores!$B$8*VLOOKUP(AB22,Scores!$A$15:$B$18,2)+Scores!$C$8*VLOOKUP(AC22,Scores!$A$15:$B$18,2)+Scores!$D$8*VLOOKUP(AD22,Scores!$A$15:$B$18,2)+Scores!$E$8*VLOOKUP(AE22,Scores!$A$15:$B$18,2)</f>
        <v>60</v>
      </c>
      <c r="AC23" s="6">
        <f>Scores!$G$8*VLOOKUP(AB22,Scores!$A$15:$B$18,2)+Scores!$H$8*VLOOKUP(AC22,Scores!$A$15:$B$18,2)+Scores!$I$8*VLOOKUP(AD22,Scores!$A$15:$B$18,2)+Scores!$J$8*VLOOKUP(AE22,Scores!$A$15:$B$18,2)</f>
        <v>56</v>
      </c>
      <c r="AD23" s="6">
        <f>Scores!$L$8*VLOOKUP(AB22,Scores!$A$15:$B$18,2)+Scores!$M$8*VLOOKUP(AC22,Scores!$A$15:$B$18,2)+Scores!$N$8*VLOOKUP(AD22,Scores!$A$15:$B$18,2)+Scores!$O$8*VLOOKUP(AE22,Scores!$A$15:$B$18,2)</f>
        <v>42</v>
      </c>
      <c r="AE23" s="7"/>
      <c r="AF23" s="7"/>
      <c r="AG23" s="6">
        <f>Scores!$B$9*VLOOKUP(AG22,Scores!$A$15:$B$18,2)+Scores!$C$9*VLOOKUP(AH22,Scores!$A$15:$B$18,2)+Scores!$D$9*VLOOKUP(AI22,Scores!$A$15:$B$18,2)+Scores!$E$9*VLOOKUP(AJ22,Scores!$A$15:$B$18,2)</f>
        <v>0</v>
      </c>
      <c r="AH23" s="6">
        <f>Scores!$G$9*VLOOKUP(AG22,Scores!$A$15:$B$18,2)+Scores!$H$9*VLOOKUP(AH22,Scores!$A$15:$B$18,2)+Scores!$I$9*VLOOKUP(AI22,Scores!$A$15:$B$18,2)+Scores!$J$9*VLOOKUP(AJ22,Scores!$A$15:$B$18,2)</f>
        <v>54</v>
      </c>
      <c r="AI23" s="6">
        <f>Scores!$L$9*VLOOKUP(AG22,Scores!$A$15:$B$18,2)+Scores!$M$9*VLOOKUP(AH22,Scores!$A$15:$B$18,2)+Scores!$N$9*VLOOKUP(AI22,Scores!$A$15:$B$18,2)+Scores!$O$9*VLOOKUP(AJ22,Scores!$A$15:$B$18,2)</f>
        <v>0</v>
      </c>
      <c r="AJ23" s="7"/>
      <c r="AK23" s="7"/>
      <c r="AL23" s="6">
        <f>Scores!$B$10*VLOOKUP(AL22,Scores!$A$15:$B$18,2)+Scores!$C$10*VLOOKUP(AM22,Scores!$A$15:$B$18,2)+Scores!$D$10*VLOOKUP(AN22,Scores!$A$15:$B$18,2)+Scores!$E$10*VLOOKUP(AO22,Scores!$A$15:$B$18,2)</f>
        <v>0</v>
      </c>
      <c r="AM23" s="6">
        <f>Scores!$G$10*VLOOKUP(AL22,Scores!$A$15:$B$18,2)+Scores!$H$10*VLOOKUP(AM22,Scores!$A$15:$B$18,2)+Scores!$I$10*VLOOKUP(AN22,Scores!$A$15:$B$18,2)+Scores!$J$10*VLOOKUP(AO22,Scores!$A$15:$B$18,2)</f>
        <v>0</v>
      </c>
      <c r="AN23" s="6">
        <f>Scores!$L$10*VLOOKUP(AL22,Scores!$A$15:$B$18,2)+Scores!$M$10*VLOOKUP(AM22,Scores!$A$15:$B$18,2)+Scores!$N$10*VLOOKUP(AN22,Scores!$A$15:$B$18,2)+Scores!$O$10*VLOOKUP(AO22,Scores!$A$15:$B$18,2)</f>
        <v>0</v>
      </c>
      <c r="AO23" s="7"/>
    </row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W20"/>
  <sheetViews>
    <sheetView workbookViewId="0">
      <selection activeCell="AQ3" sqref="AQ3:AW7"/>
    </sheetView>
  </sheetViews>
  <sheetFormatPr defaultRowHeight="15" x14ac:dyDescent="0.25"/>
  <cols>
    <col min="1" max="1" width="21.28515625" customWidth="1"/>
    <col min="3" max="6" width="2.7109375" customWidth="1"/>
    <col min="7" max="7" width="1.7109375" customWidth="1"/>
    <col min="8" max="11" width="2.7109375" customWidth="1"/>
    <col min="12" max="12" width="1.7109375" customWidth="1"/>
    <col min="13" max="16" width="2.7109375" customWidth="1"/>
    <col min="17" max="17" width="1.7109375" customWidth="1"/>
    <col min="18" max="21" width="2.7109375" customWidth="1"/>
    <col min="22" max="22" width="1.7109375" customWidth="1"/>
    <col min="23" max="26" width="2.7109375" customWidth="1"/>
    <col min="27" max="27" width="1.7109375" customWidth="1"/>
    <col min="28" max="31" width="2.7109375" customWidth="1"/>
    <col min="32" max="32" width="1.7109375" customWidth="1"/>
    <col min="33" max="36" width="2.7109375" customWidth="1"/>
    <col min="37" max="37" width="1.7109375" customWidth="1"/>
    <col min="38" max="41" width="2.7109375" customWidth="1"/>
  </cols>
  <sheetData>
    <row r="1" spans="1:49" x14ac:dyDescent="0.25">
      <c r="A1" s="1"/>
      <c r="C1" s="1" t="s">
        <v>0</v>
      </c>
      <c r="D1" s="1"/>
      <c r="E1" s="1"/>
      <c r="F1" s="1"/>
      <c r="G1" s="1"/>
      <c r="AQ1" s="1" t="s">
        <v>69</v>
      </c>
      <c r="AU1" s="1" t="s">
        <v>73</v>
      </c>
    </row>
    <row r="2" spans="1:49" x14ac:dyDescent="0.25">
      <c r="A2" s="1" t="s">
        <v>2</v>
      </c>
      <c r="B2" s="1" t="s">
        <v>3</v>
      </c>
      <c r="C2" s="10">
        <v>1</v>
      </c>
      <c r="D2" s="10"/>
      <c r="E2" s="10"/>
      <c r="F2" s="10"/>
      <c r="G2" s="3"/>
      <c r="H2" s="10">
        <v>2</v>
      </c>
      <c r="I2" s="10"/>
      <c r="J2" s="10"/>
      <c r="K2" s="10"/>
      <c r="L2" s="3"/>
      <c r="M2" s="10">
        <v>3</v>
      </c>
      <c r="N2" s="10"/>
      <c r="O2" s="10"/>
      <c r="P2" s="10"/>
      <c r="Q2" s="3"/>
      <c r="R2" s="10">
        <v>4</v>
      </c>
      <c r="S2" s="10"/>
      <c r="T2" s="10"/>
      <c r="U2" s="10"/>
      <c r="V2" s="3"/>
      <c r="W2" s="10">
        <v>5</v>
      </c>
      <c r="X2" s="10"/>
      <c r="Y2" s="10"/>
      <c r="Z2" s="10"/>
      <c r="AA2" s="3"/>
      <c r="AB2" s="10">
        <v>6</v>
      </c>
      <c r="AC2" s="10"/>
      <c r="AD2" s="10"/>
      <c r="AE2" s="10"/>
      <c r="AF2" s="3"/>
      <c r="AG2" s="10">
        <v>7</v>
      </c>
      <c r="AH2" s="10"/>
      <c r="AI2" s="10"/>
      <c r="AJ2" s="10"/>
      <c r="AK2" s="3"/>
      <c r="AL2" s="10">
        <v>8</v>
      </c>
      <c r="AM2" s="10"/>
      <c r="AN2" s="10"/>
      <c r="AO2" s="10"/>
      <c r="AQ2" s="1" t="s">
        <v>10</v>
      </c>
      <c r="AR2" s="1" t="s">
        <v>11</v>
      </c>
      <c r="AS2" s="1" t="s">
        <v>21</v>
      </c>
      <c r="AT2" s="1"/>
      <c r="AU2" s="1" t="s">
        <v>10</v>
      </c>
      <c r="AV2" s="1" t="s">
        <v>11</v>
      </c>
      <c r="AW2" s="1" t="s">
        <v>21</v>
      </c>
    </row>
    <row r="3" spans="1:49" x14ac:dyDescent="0.25">
      <c r="A3" t="s">
        <v>29</v>
      </c>
      <c r="B3" t="s">
        <v>19</v>
      </c>
      <c r="C3">
        <v>1</v>
      </c>
      <c r="D3">
        <v>4</v>
      </c>
      <c r="E3">
        <v>3</v>
      </c>
      <c r="F3">
        <v>2</v>
      </c>
      <c r="H3">
        <v>2</v>
      </c>
      <c r="I3">
        <v>3</v>
      </c>
      <c r="J3">
        <v>4</v>
      </c>
      <c r="K3">
        <v>1</v>
      </c>
      <c r="M3">
        <v>3</v>
      </c>
      <c r="N3">
        <v>1</v>
      </c>
      <c r="O3">
        <v>4</v>
      </c>
      <c r="P3">
        <v>2</v>
      </c>
      <c r="R3">
        <v>2</v>
      </c>
      <c r="S3">
        <v>4</v>
      </c>
      <c r="T3">
        <v>3</v>
      </c>
      <c r="U3">
        <v>1</v>
      </c>
      <c r="W3">
        <v>2</v>
      </c>
      <c r="X3">
        <v>3</v>
      </c>
      <c r="Y3">
        <v>1</v>
      </c>
      <c r="Z3">
        <v>4</v>
      </c>
      <c r="AB3">
        <v>1</v>
      </c>
      <c r="AC3">
        <v>3</v>
      </c>
      <c r="AD3">
        <v>4</v>
      </c>
      <c r="AE3">
        <v>2</v>
      </c>
      <c r="AG3">
        <v>2</v>
      </c>
      <c r="AH3">
        <v>3</v>
      </c>
      <c r="AI3">
        <v>4</v>
      </c>
      <c r="AJ3">
        <v>1</v>
      </c>
      <c r="AL3">
        <v>1</v>
      </c>
      <c r="AM3">
        <v>2</v>
      </c>
      <c r="AN3">
        <v>3</v>
      </c>
      <c r="AO3">
        <v>4</v>
      </c>
      <c r="AQ3" s="9">
        <f>((C4+H4+M4+R4+W4)-Scores!$E$15)/(Scores!$I$15-Scores!$E$15)</f>
        <v>0.81034482758620685</v>
      </c>
      <c r="AR3" s="9">
        <f>((D4+I4+N4+S4+X4)-Scores!$E$16)/(Scores!$I$16-Scores!$E$16)</f>
        <v>0.75862068965517238</v>
      </c>
      <c r="AS3" s="9">
        <f>((E4+J4+O4+T4+Y4)-Scores!$E$17)/(Scores!$I$17-Scores!$E$17)</f>
        <v>0.55172413793103448</v>
      </c>
      <c r="AT3" s="9"/>
      <c r="AU3" s="9">
        <f>((AB4+AG4+AL4)-Scores!$F$15)/(Scores!$J$15-Scores!$F$15)</f>
        <v>0.93103448275862066</v>
      </c>
      <c r="AV3" s="9">
        <f>((AC4+AH4+AM4)-Scores!$F$16)/(Scores!$J$16-Scores!$F$16)</f>
        <v>0.89655172413793105</v>
      </c>
      <c r="AW3" s="9">
        <f>((AD4+AI4+AN4)-Scores!$F$17)/(Scores!$J$17-Scores!$F$17)</f>
        <v>0.58620689655172409</v>
      </c>
    </row>
    <row r="4" spans="1:49" s="5" customFormat="1" ht="11.25" x14ac:dyDescent="0.2">
      <c r="C4" s="6">
        <f>Scores!$B$3*VLOOKUP(C3,Scores!$A$15:$B$18,2)+Scores!$C$3*VLOOKUP(D3,Scores!$A$15:$B$18,2)+Scores!$D$3*VLOOKUP(E3,Scores!$A$15:$B$18,2)+Scores!$E$3*VLOOKUP(F3,Scores!$A$15:$B$18,2)</f>
        <v>0</v>
      </c>
      <c r="D4" s="6">
        <f>Scores!$G$3*VLOOKUP(C3,Scores!$A$15:$B$18,2)+Scores!$H$3*VLOOKUP(D3,Scores!$A$15:$B$18,2)+Scores!$I$3*VLOOKUP(E3,Scores!$A$15:$B$18,2)+Scores!$J$3*VLOOKUP(F3,Scores!$A$15:$B$18,2)</f>
        <v>62</v>
      </c>
      <c r="E4" s="6">
        <f>Scores!$L$3*VLOOKUP(C3,Scores!$A$15:$B$18,2)+Scores!$M$3*VLOOKUP(D3,Scores!$A$15:$B$18,2)+Scores!$N$3*VLOOKUP(E3,Scores!$A$15:$B$18,2)+Scores!$O$3*VLOOKUP(F3,Scores!$A$15:$B$18,2)</f>
        <v>0</v>
      </c>
      <c r="F4" s="7"/>
      <c r="G4" s="7"/>
      <c r="H4" s="6">
        <f>Scores!$B$4*VLOOKUP(H3,Scores!$A$15:$B$18,2)+Scores!$C$4*VLOOKUP(I3,Scores!$A$15:$B$18,2)+Scores!$D$4*VLOOKUP(J3,Scores!$A$15:$B$18,2)+Scores!$E$4*VLOOKUP(K3,Scores!$A$15:$B$18,2)</f>
        <v>40</v>
      </c>
      <c r="I4" s="6">
        <f>Scores!$G$4*VLOOKUP(H3,Scores!$A$15:$B$18,2)+Scores!$H$4*VLOOKUP(I3,Scores!$A$15:$B$18,2)+Scores!$I$4*VLOOKUP(J3,Scores!$A$15:$B$18,2)+Scores!$J$4*VLOOKUP(K3,Scores!$A$15:$B$18,2)</f>
        <v>55</v>
      </c>
      <c r="J4" s="6">
        <f>Scores!$L$4*VLOOKUP(H3,Scores!$A$15:$B$18,2)+Scores!$M$4*VLOOKUP(I3,Scores!$A$15:$B$18,2)+Scores!$N$4*VLOOKUP(J3,Scores!$A$15:$B$18,2)+Scores!$O$4*VLOOKUP(K3,Scores!$A$15:$B$18,2)</f>
        <v>0</v>
      </c>
      <c r="K4" s="7"/>
      <c r="L4" s="7"/>
      <c r="M4" s="6">
        <f>Scores!$B$5*VLOOKUP(M3,Scores!$A$15:$B$18,2)+Scores!$C$5*VLOOKUP(N3,Scores!$A$15:$B$18,2)+Scores!$D$5*VLOOKUP(O3,Scores!$A$15:$B$18,2)+Scores!$E$5*VLOOKUP(P3,Scores!$A$15:$B$18,2)</f>
        <v>62</v>
      </c>
      <c r="N4" s="6">
        <f>Scores!$G$5*VLOOKUP(M3,Scores!$A$15:$B$18,2)+Scores!$H$5*VLOOKUP(N3,Scores!$A$15:$B$18,2)+Scores!$I$5*VLOOKUP(O3,Scores!$A$15:$B$18,2)+Scores!$J$5*VLOOKUP(P3,Scores!$A$15:$B$18,2)</f>
        <v>39</v>
      </c>
      <c r="O4" s="6">
        <f>Scores!$L$5*VLOOKUP(M3,Scores!$A$15:$B$18,2)+Scores!$M$5*VLOOKUP(N3,Scores!$A$15:$B$18,2)+Scores!$N$5*VLOOKUP(O3,Scores!$A$15:$B$18,2)+Scores!$O$5*VLOOKUP(P3,Scores!$A$15:$B$18,2)</f>
        <v>0</v>
      </c>
      <c r="P4" s="7"/>
      <c r="Q4" s="7"/>
      <c r="R4" s="6">
        <f>Scores!$B$6*VLOOKUP(R3,Scores!$A$15:$B$18,2)+Scores!$C$6*VLOOKUP(S3,Scores!$A$15:$B$18,2)+Scores!$D$6*VLOOKUP(T3,Scores!$A$15:$B$18,2)+Scores!$E$6*VLOOKUP(U3,Scores!$A$15:$B$18,2)</f>
        <v>62</v>
      </c>
      <c r="S4" s="6">
        <f>Scores!$G$6*VLOOKUP(R3,Scores!$A$15:$B$18,2)+Scores!$H$6*VLOOKUP(S3,Scores!$A$15:$B$18,2)+Scores!$I$6*VLOOKUP(T3,Scores!$A$15:$B$18,2)+Scores!$J$6*VLOOKUP(U3,Scores!$A$15:$B$18,2)</f>
        <v>57</v>
      </c>
      <c r="T4" s="6">
        <f>Scores!$L$6*VLOOKUP(R3,Scores!$A$15:$B$18,2)+Scores!$M$6*VLOOKUP(S3,Scores!$A$15:$B$18,2)+Scores!$N$6*VLOOKUP(T3,Scores!$A$15:$B$18,2)+Scores!$O$6*VLOOKUP(U3,Scores!$A$15:$B$18,2)</f>
        <v>48</v>
      </c>
      <c r="U4" s="7"/>
      <c r="V4" s="7"/>
      <c r="W4" s="6">
        <f>Scores!$B$7*VLOOKUP(W3,Scores!$A$15:$B$18,2)+Scores!$C$7*VLOOKUP(X3,Scores!$A$15:$B$18,2)+Scores!$D$7*VLOOKUP(Y3,Scores!$A$15:$B$18,2)+Scores!$E$7*VLOOKUP(Z3,Scores!$A$15:$B$18,2)</f>
        <v>62</v>
      </c>
      <c r="X4" s="6">
        <f>Scores!$G$7*VLOOKUP(W3,Scores!$A$15:$B$18,2)+Scores!$H$7*VLOOKUP(X3,Scores!$A$15:$B$18,2)+Scores!$I$7*VLOOKUP(Y3,Scores!$A$15:$B$18,2)+Scores!$J$7*VLOOKUP(Z3,Scores!$A$15:$B$18,2)</f>
        <v>62</v>
      </c>
      <c r="Y4" s="6">
        <f>Scores!$L$7*VLOOKUP(W3,Scores!$A$15:$B$18,2)+Scores!$M$7*VLOOKUP(X3,Scores!$A$15:$B$18,2)+Scores!$N$7*VLOOKUP(Y3,Scores!$A$15:$B$18,2)+Scores!$O$7*VLOOKUP(Z3,Scores!$A$15:$B$18,2)</f>
        <v>50</v>
      </c>
      <c r="Z4" s="7"/>
      <c r="AA4" s="7"/>
      <c r="AB4" s="6">
        <f>Scores!$B$8*VLOOKUP(AB3,Scores!$A$15:$B$18,2)+Scores!$C$8*VLOOKUP(AC3,Scores!$A$15:$B$18,2)+Scores!$D$8*VLOOKUP(AD3,Scores!$A$15:$B$18,2)+Scores!$E$8*VLOOKUP(AE3,Scores!$A$15:$B$18,2)</f>
        <v>60</v>
      </c>
      <c r="AC4" s="6">
        <f>Scores!$G$8*VLOOKUP(AB3,Scores!$A$15:$B$18,2)+Scores!$H$8*VLOOKUP(AC3,Scores!$A$15:$B$18,2)+Scores!$I$8*VLOOKUP(AD3,Scores!$A$15:$B$18,2)+Scores!$J$8*VLOOKUP(AE3,Scores!$A$15:$B$18,2)</f>
        <v>62</v>
      </c>
      <c r="AD4" s="6">
        <f>Scores!$L$8*VLOOKUP(AB3,Scores!$A$15:$B$18,2)+Scores!$M$8*VLOOKUP(AC3,Scores!$A$15:$B$18,2)+Scores!$N$8*VLOOKUP(AD3,Scores!$A$15:$B$18,2)+Scores!$O$8*VLOOKUP(AE3,Scores!$A$15:$B$18,2)</f>
        <v>50</v>
      </c>
      <c r="AE4" s="7"/>
      <c r="AF4" s="7"/>
      <c r="AG4" s="6">
        <f>Scores!$B$9*VLOOKUP(AG3,Scores!$A$15:$B$18,2)+Scores!$C$9*VLOOKUP(AH3,Scores!$A$15:$B$18,2)+Scores!$D$9*VLOOKUP(AI3,Scores!$A$15:$B$18,2)+Scores!$E$9*VLOOKUP(AJ3,Scores!$A$15:$B$18,2)</f>
        <v>0</v>
      </c>
      <c r="AH4" s="6">
        <f>Scores!$G$9*VLOOKUP(AG3,Scores!$A$15:$B$18,2)+Scores!$H$9*VLOOKUP(AH3,Scores!$A$15:$B$18,2)+Scores!$I$9*VLOOKUP(AI3,Scores!$A$15:$B$18,2)+Scores!$J$9*VLOOKUP(AJ3,Scores!$A$15:$B$18,2)</f>
        <v>56</v>
      </c>
      <c r="AI4" s="6">
        <f>Scores!$L$9*VLOOKUP(AG3,Scores!$A$15:$B$18,2)+Scores!$M$9*VLOOKUP(AH3,Scores!$A$15:$B$18,2)+Scores!$N$9*VLOOKUP(AI3,Scores!$A$15:$B$18,2)+Scores!$O$9*VLOOKUP(AJ3,Scores!$A$15:$B$18,2)</f>
        <v>0</v>
      </c>
      <c r="AJ4" s="7"/>
      <c r="AK4" s="7"/>
      <c r="AL4" s="6">
        <f>Scores!$B$10*VLOOKUP(AL3,Scores!$A$15:$B$18,2)+Scores!$C$10*VLOOKUP(AM3,Scores!$A$15:$B$18,2)+Scores!$D$10*VLOOKUP(AN3,Scores!$A$15:$B$18,2)+Scores!$E$10*VLOOKUP(AO3,Scores!$A$15:$B$18,2)</f>
        <v>0</v>
      </c>
      <c r="AM4" s="6">
        <f>Scores!$G$10*VLOOKUP(AL3,Scores!$A$15:$B$18,2)+Scores!$H$10*VLOOKUP(AM3,Scores!$A$15:$B$18,2)+Scores!$I$10*VLOOKUP(AN3,Scores!$A$15:$B$18,2)+Scores!$J$10*VLOOKUP(AO3,Scores!$A$15:$B$18,2)</f>
        <v>0</v>
      </c>
      <c r="AN4" s="6">
        <f>Scores!$L$10*VLOOKUP(AL3,Scores!$A$15:$B$18,2)+Scores!$M$10*VLOOKUP(AM3,Scores!$A$15:$B$18,2)+Scores!$N$10*VLOOKUP(AN3,Scores!$A$15:$B$18,2)+Scores!$O$10*VLOOKUP(AO3,Scores!$A$15:$B$18,2)</f>
        <v>0</v>
      </c>
      <c r="AO4" s="7"/>
    </row>
    <row r="5" spans="1:49" x14ac:dyDescent="0.25">
      <c r="A5" t="s">
        <v>33</v>
      </c>
      <c r="B5" t="s">
        <v>19</v>
      </c>
      <c r="C5">
        <v>1</v>
      </c>
      <c r="D5">
        <v>4</v>
      </c>
      <c r="E5">
        <v>3</v>
      </c>
      <c r="F5">
        <v>2</v>
      </c>
      <c r="H5">
        <v>4</v>
      </c>
      <c r="I5">
        <v>1</v>
      </c>
      <c r="J5">
        <v>3</v>
      </c>
      <c r="K5">
        <v>2</v>
      </c>
      <c r="M5">
        <v>3</v>
      </c>
      <c r="N5">
        <v>1</v>
      </c>
      <c r="O5">
        <v>4</v>
      </c>
      <c r="P5">
        <v>2</v>
      </c>
      <c r="R5">
        <v>3</v>
      </c>
      <c r="S5">
        <v>1</v>
      </c>
      <c r="T5">
        <v>4</v>
      </c>
      <c r="U5">
        <v>2</v>
      </c>
      <c r="W5">
        <v>1</v>
      </c>
      <c r="X5">
        <v>3</v>
      </c>
      <c r="Y5">
        <v>2</v>
      </c>
      <c r="Z5">
        <v>4</v>
      </c>
      <c r="AB5">
        <v>1</v>
      </c>
      <c r="AC5">
        <v>2</v>
      </c>
      <c r="AD5">
        <v>4</v>
      </c>
      <c r="AE5">
        <v>3</v>
      </c>
      <c r="AG5">
        <v>3</v>
      </c>
      <c r="AH5">
        <v>4</v>
      </c>
      <c r="AI5">
        <v>2</v>
      </c>
      <c r="AJ5">
        <v>1</v>
      </c>
      <c r="AL5">
        <v>3</v>
      </c>
      <c r="AM5">
        <v>1</v>
      </c>
      <c r="AN5">
        <v>2</v>
      </c>
      <c r="AO5">
        <v>4</v>
      </c>
      <c r="AQ5" s="9">
        <f>((C6+H6+M6+R6+W6)-Scores!$E$15)/(Scores!$I$15-Scores!$E$15)</f>
        <v>0.75862068965517238</v>
      </c>
      <c r="AR5" s="9">
        <f>((D6+I6+N6+S6+X6)-Scores!$E$16)/(Scores!$I$16-Scores!$E$16)</f>
        <v>0.46206896551724136</v>
      </c>
      <c r="AS5" s="9">
        <f>((E6+J6+O6+T6+Y6)-Scores!$E$17)/(Scores!$I$17-Scores!$E$17)</f>
        <v>0.46551724137931033</v>
      </c>
      <c r="AT5" s="9"/>
      <c r="AU5" s="9">
        <f>((AB6+AG6+AL6)-Scores!$F$15)/(Scores!$J$15-Scores!$F$15)</f>
        <v>1</v>
      </c>
      <c r="AV5" s="9">
        <f>((AC6+AH6+AM6)-Scores!$F$16)/(Scores!$J$16-Scores!$F$16)</f>
        <v>0.96551724137931039</v>
      </c>
      <c r="AW5" s="9">
        <f>((AD6+AI6+AN6)-Scores!$F$17)/(Scores!$J$17-Scores!$F$17)</f>
        <v>0.51724137931034486</v>
      </c>
    </row>
    <row r="6" spans="1:49" s="5" customFormat="1" ht="11.25" x14ac:dyDescent="0.2">
      <c r="C6" s="6">
        <f>Scores!$B$3*VLOOKUP(C5,Scores!$A$15:$B$18,2)+Scores!$C$3*VLOOKUP(D5,Scores!$A$15:$B$18,2)+Scores!$D$3*VLOOKUP(E5,Scores!$A$15:$B$18,2)+Scores!$E$3*VLOOKUP(F5,Scores!$A$15:$B$18,2)</f>
        <v>0</v>
      </c>
      <c r="D6" s="6">
        <f>Scores!$G$3*VLOOKUP(C5,Scores!$A$15:$B$18,2)+Scores!$H$3*VLOOKUP(D5,Scores!$A$15:$B$18,2)+Scores!$I$3*VLOOKUP(E5,Scores!$A$15:$B$18,2)+Scores!$J$3*VLOOKUP(F5,Scores!$A$15:$B$18,2)</f>
        <v>62</v>
      </c>
      <c r="E6" s="6">
        <f>Scores!$L$3*VLOOKUP(C5,Scores!$A$15:$B$18,2)+Scores!$M$3*VLOOKUP(D5,Scores!$A$15:$B$18,2)+Scores!$N$3*VLOOKUP(E5,Scores!$A$15:$B$18,2)+Scores!$O$3*VLOOKUP(F5,Scores!$A$15:$B$18,2)</f>
        <v>0</v>
      </c>
      <c r="F6" s="7"/>
      <c r="G6" s="7"/>
      <c r="H6" s="6">
        <f>Scores!$B$4*VLOOKUP(H5,Scores!$A$15:$B$18,2)+Scores!$C$4*VLOOKUP(I5,Scores!$A$15:$B$18,2)+Scores!$D$4*VLOOKUP(J5,Scores!$A$15:$B$18,2)+Scores!$E$4*VLOOKUP(K5,Scores!$A$15:$B$18,2)</f>
        <v>60</v>
      </c>
      <c r="I6" s="6">
        <f>Scores!$G$4*VLOOKUP(H5,Scores!$A$15:$B$18,2)+Scores!$H$4*VLOOKUP(I5,Scores!$A$15:$B$18,2)+Scores!$I$4*VLOOKUP(J5,Scores!$A$15:$B$18,2)+Scores!$J$4*VLOOKUP(K5,Scores!$A$15:$B$18,2)</f>
        <v>35</v>
      </c>
      <c r="J6" s="6">
        <f>Scores!$L$4*VLOOKUP(H5,Scores!$A$15:$B$18,2)+Scores!$M$4*VLOOKUP(I5,Scores!$A$15:$B$18,2)+Scores!$N$4*VLOOKUP(J5,Scores!$A$15:$B$18,2)+Scores!$O$4*VLOOKUP(K5,Scores!$A$15:$B$18,2)</f>
        <v>0</v>
      </c>
      <c r="K6" s="7"/>
      <c r="L6" s="7"/>
      <c r="M6" s="6">
        <f>Scores!$B$5*VLOOKUP(M5,Scores!$A$15:$B$18,2)+Scores!$C$5*VLOOKUP(N5,Scores!$A$15:$B$18,2)+Scores!$D$5*VLOOKUP(O5,Scores!$A$15:$B$18,2)+Scores!$E$5*VLOOKUP(P5,Scores!$A$15:$B$18,2)</f>
        <v>62</v>
      </c>
      <c r="N6" s="6">
        <f>Scores!$G$5*VLOOKUP(M5,Scores!$A$15:$B$18,2)+Scores!$H$5*VLOOKUP(N5,Scores!$A$15:$B$18,2)+Scores!$I$5*VLOOKUP(O5,Scores!$A$15:$B$18,2)+Scores!$J$5*VLOOKUP(P5,Scores!$A$15:$B$18,2)</f>
        <v>39</v>
      </c>
      <c r="O6" s="6">
        <f>Scores!$L$5*VLOOKUP(M5,Scores!$A$15:$B$18,2)+Scores!$M$5*VLOOKUP(N5,Scores!$A$15:$B$18,2)+Scores!$N$5*VLOOKUP(O5,Scores!$A$15:$B$18,2)+Scores!$O$5*VLOOKUP(P5,Scores!$A$15:$B$18,2)</f>
        <v>0</v>
      </c>
      <c r="P6" s="7"/>
      <c r="Q6" s="7"/>
      <c r="R6" s="6">
        <f>Scores!$B$6*VLOOKUP(R5,Scores!$A$15:$B$18,2)+Scores!$C$6*VLOOKUP(S5,Scores!$A$15:$B$18,2)+Scores!$D$6*VLOOKUP(T5,Scores!$A$15:$B$18,2)+Scores!$E$6*VLOOKUP(U5,Scores!$A$15:$B$18,2)</f>
        <v>41</v>
      </c>
      <c r="S6" s="6">
        <f>Scores!$G$6*VLOOKUP(R5,Scores!$A$15:$B$18,2)+Scores!$H$6*VLOOKUP(S5,Scores!$A$15:$B$18,2)+Scores!$I$6*VLOOKUP(T5,Scores!$A$15:$B$18,2)+Scores!$J$6*VLOOKUP(U5,Scores!$A$15:$B$18,2)</f>
        <v>39</v>
      </c>
      <c r="T6" s="6">
        <f>Scores!$L$6*VLOOKUP(R5,Scores!$A$15:$B$18,2)+Scores!$M$6*VLOOKUP(S5,Scores!$A$15:$B$18,2)+Scores!$N$6*VLOOKUP(T5,Scores!$A$15:$B$18,2)+Scores!$O$6*VLOOKUP(U5,Scores!$A$15:$B$18,2)</f>
        <v>33</v>
      </c>
      <c r="U6" s="7"/>
      <c r="V6" s="7"/>
      <c r="W6" s="6">
        <f>Scores!$B$7*VLOOKUP(W5,Scores!$A$15:$B$18,2)+Scores!$C$7*VLOOKUP(X5,Scores!$A$15:$B$18,2)+Scores!$D$7*VLOOKUP(Y5,Scores!$A$15:$B$18,2)+Scores!$E$7*VLOOKUP(Z5,Scores!$A$15:$B$18,2)</f>
        <v>57</v>
      </c>
      <c r="X6" s="6">
        <f>Scores!$G$7*VLOOKUP(W5,Scores!$A$15:$B$18,2)+Scores!$H$7*VLOOKUP(X5,Scores!$A$15:$B$18,2)+Scores!$I$7*VLOOKUP(Y5,Scores!$A$15:$B$18,2)+Scores!$J$7*VLOOKUP(Z5,Scores!$A$15:$B$18,2)</f>
        <v>57</v>
      </c>
      <c r="Y6" s="6">
        <f>Scores!$L$7*VLOOKUP(W5,Scores!$A$15:$B$18,2)+Scores!$M$7*VLOOKUP(X5,Scores!$A$15:$B$18,2)+Scores!$N$7*VLOOKUP(Y5,Scores!$A$15:$B$18,2)+Scores!$O$7*VLOOKUP(Z5,Scores!$A$15:$B$18,2)</f>
        <v>60</v>
      </c>
      <c r="Z6" s="7"/>
      <c r="AA6" s="7"/>
      <c r="AB6" s="6">
        <f>Scores!$B$8*VLOOKUP(AB5,Scores!$A$15:$B$18,2)+Scores!$C$8*VLOOKUP(AC5,Scores!$A$15:$B$18,2)+Scores!$D$8*VLOOKUP(AD5,Scores!$A$15:$B$18,2)+Scores!$E$8*VLOOKUP(AE5,Scores!$A$15:$B$18,2)</f>
        <v>62</v>
      </c>
      <c r="AC6" s="6">
        <f>Scores!$G$8*VLOOKUP(AB5,Scores!$A$15:$B$18,2)+Scores!$H$8*VLOOKUP(AC5,Scores!$A$15:$B$18,2)+Scores!$I$8*VLOOKUP(AD5,Scores!$A$15:$B$18,2)+Scores!$J$8*VLOOKUP(AE5,Scores!$A$15:$B$18,2)</f>
        <v>60</v>
      </c>
      <c r="AD6" s="6">
        <f>Scores!$L$8*VLOOKUP(AB5,Scores!$A$15:$B$18,2)+Scores!$M$8*VLOOKUP(AC5,Scores!$A$15:$B$18,2)+Scores!$N$8*VLOOKUP(AD5,Scores!$A$15:$B$18,2)+Scores!$O$8*VLOOKUP(AE5,Scores!$A$15:$B$18,2)</f>
        <v>48</v>
      </c>
      <c r="AE6" s="7"/>
      <c r="AF6" s="7"/>
      <c r="AG6" s="6">
        <f>Scores!$B$9*VLOOKUP(AG5,Scores!$A$15:$B$18,2)+Scores!$C$9*VLOOKUP(AH5,Scores!$A$15:$B$18,2)+Scores!$D$9*VLOOKUP(AI5,Scores!$A$15:$B$18,2)+Scores!$E$9*VLOOKUP(AJ5,Scores!$A$15:$B$18,2)</f>
        <v>0</v>
      </c>
      <c r="AH6" s="6">
        <f>Scores!$G$9*VLOOKUP(AG5,Scores!$A$15:$B$18,2)+Scores!$H$9*VLOOKUP(AH5,Scores!$A$15:$B$18,2)+Scores!$I$9*VLOOKUP(AI5,Scores!$A$15:$B$18,2)+Scores!$J$9*VLOOKUP(AJ5,Scores!$A$15:$B$18,2)</f>
        <v>62</v>
      </c>
      <c r="AI6" s="6">
        <f>Scores!$L$9*VLOOKUP(AG5,Scores!$A$15:$B$18,2)+Scores!$M$9*VLOOKUP(AH5,Scores!$A$15:$B$18,2)+Scores!$N$9*VLOOKUP(AI5,Scores!$A$15:$B$18,2)+Scores!$O$9*VLOOKUP(AJ5,Scores!$A$15:$B$18,2)</f>
        <v>0</v>
      </c>
      <c r="AJ6" s="7"/>
      <c r="AK6" s="7"/>
      <c r="AL6" s="6">
        <f>Scores!$B$10*VLOOKUP(AL5,Scores!$A$15:$B$18,2)+Scores!$C$10*VLOOKUP(AM5,Scores!$A$15:$B$18,2)+Scores!$D$10*VLOOKUP(AN5,Scores!$A$15:$B$18,2)+Scores!$E$10*VLOOKUP(AO5,Scores!$A$15:$B$18,2)</f>
        <v>0</v>
      </c>
      <c r="AM6" s="6">
        <f>Scores!$G$10*VLOOKUP(AL5,Scores!$A$15:$B$18,2)+Scores!$H$10*VLOOKUP(AM5,Scores!$A$15:$B$18,2)+Scores!$I$10*VLOOKUP(AN5,Scores!$A$15:$B$18,2)+Scores!$J$10*VLOOKUP(AO5,Scores!$A$15:$B$18,2)</f>
        <v>0</v>
      </c>
      <c r="AN6" s="6">
        <f>Scores!$L$10*VLOOKUP(AL5,Scores!$A$15:$B$18,2)+Scores!$M$10*VLOOKUP(AM5,Scores!$A$15:$B$18,2)+Scores!$N$10*VLOOKUP(AN5,Scores!$A$15:$B$18,2)+Scores!$O$10*VLOOKUP(AO5,Scores!$A$15:$B$18,2)</f>
        <v>0</v>
      </c>
      <c r="AO6" s="7"/>
    </row>
    <row r="7" spans="1:49" x14ac:dyDescent="0.25">
      <c r="A7" t="s">
        <v>34</v>
      </c>
      <c r="B7" t="s">
        <v>19</v>
      </c>
      <c r="C7">
        <v>1</v>
      </c>
      <c r="D7">
        <v>3</v>
      </c>
      <c r="E7">
        <v>2</v>
      </c>
      <c r="F7">
        <v>4</v>
      </c>
      <c r="H7">
        <v>2</v>
      </c>
      <c r="I7">
        <v>3</v>
      </c>
      <c r="J7">
        <v>4</v>
      </c>
      <c r="K7">
        <v>1</v>
      </c>
      <c r="M7">
        <v>3</v>
      </c>
      <c r="N7">
        <v>2</v>
      </c>
      <c r="O7">
        <v>4</v>
      </c>
      <c r="P7">
        <v>1</v>
      </c>
      <c r="R7">
        <v>4</v>
      </c>
      <c r="S7">
        <v>3</v>
      </c>
      <c r="T7">
        <v>2</v>
      </c>
      <c r="U7">
        <v>1</v>
      </c>
      <c r="W7">
        <v>2</v>
      </c>
      <c r="X7">
        <v>3</v>
      </c>
      <c r="Y7">
        <v>1</v>
      </c>
      <c r="Z7">
        <v>4</v>
      </c>
      <c r="AB7">
        <v>2</v>
      </c>
      <c r="AC7">
        <v>3</v>
      </c>
      <c r="AD7">
        <v>4</v>
      </c>
      <c r="AE7">
        <v>1</v>
      </c>
      <c r="AG7">
        <v>2</v>
      </c>
      <c r="AH7">
        <v>3</v>
      </c>
      <c r="AI7">
        <v>4</v>
      </c>
      <c r="AJ7">
        <v>1</v>
      </c>
      <c r="AL7">
        <v>2</v>
      </c>
      <c r="AM7">
        <v>1</v>
      </c>
      <c r="AN7">
        <v>4</v>
      </c>
      <c r="AO7">
        <v>3</v>
      </c>
      <c r="AQ7" s="9">
        <f>((C8+H8+M8+R8+W8)-Scores!$E$15)/(Scores!$I$15-Scores!$E$15)</f>
        <v>0.71551724137931039</v>
      </c>
      <c r="AR7" s="9">
        <f>((D8+I8+N8+S8+X8)-Scores!$E$16)/(Scores!$I$16-Scores!$E$16)</f>
        <v>0.71724137931034482</v>
      </c>
      <c r="AS7" s="9">
        <f>((E8+J8+O8+T8+Y8)-Scores!$E$17)/(Scores!$I$17-Scores!$E$17)</f>
        <v>0.51724137931034486</v>
      </c>
      <c r="AT7" s="9"/>
      <c r="AU7" s="9">
        <f>((AB8+AG8+AL8)-Scores!$F$15)/(Scores!$J$15-Scores!$F$15)</f>
        <v>0.58620689655172409</v>
      </c>
      <c r="AV7" s="9">
        <f>((AC8+AH8+AM8)-Scores!$F$16)/(Scores!$J$16-Scores!$F$16)</f>
        <v>0.81034482758620685</v>
      </c>
      <c r="AW7" s="9">
        <f>((AD8+AI8+AN8)-Scores!$F$17)/(Scores!$J$17-Scores!$F$17)</f>
        <v>0.93103448275862066</v>
      </c>
    </row>
    <row r="8" spans="1:49" s="5" customFormat="1" ht="11.25" x14ac:dyDescent="0.2">
      <c r="C8" s="6">
        <f>Scores!$B$3*VLOOKUP(C7,Scores!$A$15:$B$18,2)+Scores!$C$3*VLOOKUP(D7,Scores!$A$15:$B$18,2)+Scores!$D$3*VLOOKUP(E7,Scores!$A$15:$B$18,2)+Scores!$E$3*VLOOKUP(F7,Scores!$A$15:$B$18,2)</f>
        <v>0</v>
      </c>
      <c r="D8" s="6">
        <f>Scores!$G$3*VLOOKUP(C7,Scores!$A$15:$B$18,2)+Scores!$H$3*VLOOKUP(D7,Scores!$A$15:$B$18,2)+Scores!$I$3*VLOOKUP(E7,Scores!$A$15:$B$18,2)+Scores!$J$3*VLOOKUP(F7,Scores!$A$15:$B$18,2)</f>
        <v>56</v>
      </c>
      <c r="E8" s="6">
        <f>Scores!$L$3*VLOOKUP(C7,Scores!$A$15:$B$18,2)+Scores!$M$3*VLOOKUP(D7,Scores!$A$15:$B$18,2)+Scores!$N$3*VLOOKUP(E7,Scores!$A$15:$B$18,2)+Scores!$O$3*VLOOKUP(F7,Scores!$A$15:$B$18,2)</f>
        <v>0</v>
      </c>
      <c r="F8" s="7"/>
      <c r="G8" s="7"/>
      <c r="H8" s="6">
        <f>Scores!$B$4*VLOOKUP(H7,Scores!$A$15:$B$18,2)+Scores!$C$4*VLOOKUP(I7,Scores!$A$15:$B$18,2)+Scores!$D$4*VLOOKUP(J7,Scores!$A$15:$B$18,2)+Scores!$E$4*VLOOKUP(K7,Scores!$A$15:$B$18,2)</f>
        <v>40</v>
      </c>
      <c r="I8" s="6">
        <f>Scores!$G$4*VLOOKUP(H7,Scores!$A$15:$B$18,2)+Scores!$H$4*VLOOKUP(I7,Scores!$A$15:$B$18,2)+Scores!$I$4*VLOOKUP(J7,Scores!$A$15:$B$18,2)+Scores!$J$4*VLOOKUP(K7,Scores!$A$15:$B$18,2)</f>
        <v>55</v>
      </c>
      <c r="J8" s="6">
        <f>Scores!$L$4*VLOOKUP(H7,Scores!$A$15:$B$18,2)+Scores!$M$4*VLOOKUP(I7,Scores!$A$15:$B$18,2)+Scores!$N$4*VLOOKUP(J7,Scores!$A$15:$B$18,2)+Scores!$O$4*VLOOKUP(K7,Scores!$A$15:$B$18,2)</f>
        <v>0</v>
      </c>
      <c r="K8" s="7"/>
      <c r="L8" s="7"/>
      <c r="M8" s="6">
        <f>Scores!$B$5*VLOOKUP(M7,Scores!$A$15:$B$18,2)+Scores!$C$5*VLOOKUP(N7,Scores!$A$15:$B$18,2)+Scores!$D$5*VLOOKUP(O7,Scores!$A$15:$B$18,2)+Scores!$E$5*VLOOKUP(P7,Scores!$A$15:$B$18,2)</f>
        <v>57</v>
      </c>
      <c r="N8" s="6">
        <f>Scores!$G$5*VLOOKUP(M7,Scores!$A$15:$B$18,2)+Scores!$H$5*VLOOKUP(N7,Scores!$A$15:$B$18,2)+Scores!$I$5*VLOOKUP(O7,Scores!$A$15:$B$18,2)+Scores!$J$5*VLOOKUP(P7,Scores!$A$15:$B$18,2)</f>
        <v>49</v>
      </c>
      <c r="O8" s="6">
        <f>Scores!$L$5*VLOOKUP(M7,Scores!$A$15:$B$18,2)+Scores!$M$5*VLOOKUP(N7,Scores!$A$15:$B$18,2)+Scores!$N$5*VLOOKUP(O7,Scores!$A$15:$B$18,2)+Scores!$O$5*VLOOKUP(P7,Scores!$A$15:$B$18,2)</f>
        <v>0</v>
      </c>
      <c r="P8" s="7"/>
      <c r="Q8" s="7"/>
      <c r="R8" s="6">
        <f>Scores!$B$6*VLOOKUP(R7,Scores!$A$15:$B$18,2)+Scores!$C$6*VLOOKUP(S7,Scores!$A$15:$B$18,2)+Scores!$D$6*VLOOKUP(T7,Scores!$A$15:$B$18,2)+Scores!$E$6*VLOOKUP(U7,Scores!$A$15:$B$18,2)</f>
        <v>56</v>
      </c>
      <c r="S8" s="6">
        <f>Scores!$G$6*VLOOKUP(R7,Scores!$A$15:$B$18,2)+Scores!$H$6*VLOOKUP(S7,Scores!$A$15:$B$18,2)+Scores!$I$6*VLOOKUP(T7,Scores!$A$15:$B$18,2)+Scores!$J$6*VLOOKUP(U7,Scores!$A$15:$B$18,2)</f>
        <v>47</v>
      </c>
      <c r="T8" s="6">
        <f>Scores!$L$6*VLOOKUP(R7,Scores!$A$15:$B$18,2)+Scores!$M$6*VLOOKUP(S7,Scores!$A$15:$B$18,2)+Scores!$N$6*VLOOKUP(T7,Scores!$A$15:$B$18,2)+Scores!$O$6*VLOOKUP(U7,Scores!$A$15:$B$18,2)</f>
        <v>46</v>
      </c>
      <c r="U8" s="7"/>
      <c r="V8" s="7"/>
      <c r="W8" s="6">
        <f>Scores!$B$7*VLOOKUP(W7,Scores!$A$15:$B$18,2)+Scores!$C$7*VLOOKUP(X7,Scores!$A$15:$B$18,2)+Scores!$D$7*VLOOKUP(Y7,Scores!$A$15:$B$18,2)+Scores!$E$7*VLOOKUP(Z7,Scores!$A$15:$B$18,2)</f>
        <v>62</v>
      </c>
      <c r="X8" s="6">
        <f>Scores!$G$7*VLOOKUP(W7,Scores!$A$15:$B$18,2)+Scores!$H$7*VLOOKUP(X7,Scores!$A$15:$B$18,2)+Scores!$I$7*VLOOKUP(Y7,Scores!$A$15:$B$18,2)+Scores!$J$7*VLOOKUP(Z7,Scores!$A$15:$B$18,2)</f>
        <v>62</v>
      </c>
      <c r="Y8" s="6">
        <f>Scores!$L$7*VLOOKUP(W7,Scores!$A$15:$B$18,2)+Scores!$M$7*VLOOKUP(X7,Scores!$A$15:$B$18,2)+Scores!$N$7*VLOOKUP(Y7,Scores!$A$15:$B$18,2)+Scores!$O$7*VLOOKUP(Z7,Scores!$A$15:$B$18,2)</f>
        <v>50</v>
      </c>
      <c r="Z8" s="7"/>
      <c r="AA8" s="7"/>
      <c r="AB8" s="6">
        <f>Scores!$B$8*VLOOKUP(AB7,Scores!$A$15:$B$18,2)+Scores!$C$8*VLOOKUP(AC7,Scores!$A$15:$B$18,2)+Scores!$D$8*VLOOKUP(AD7,Scores!$A$15:$B$18,2)+Scores!$E$8*VLOOKUP(AE7,Scores!$A$15:$B$18,2)</f>
        <v>50</v>
      </c>
      <c r="AC8" s="6">
        <f>Scores!$G$8*VLOOKUP(AB7,Scores!$A$15:$B$18,2)+Scores!$H$8*VLOOKUP(AC7,Scores!$A$15:$B$18,2)+Scores!$I$8*VLOOKUP(AD7,Scores!$A$15:$B$18,2)+Scores!$J$8*VLOOKUP(AE7,Scores!$A$15:$B$18,2)</f>
        <v>57</v>
      </c>
      <c r="AD8" s="6">
        <f>Scores!$L$8*VLOOKUP(AB7,Scores!$A$15:$B$18,2)+Scores!$M$8*VLOOKUP(AC7,Scores!$A$15:$B$18,2)+Scores!$N$8*VLOOKUP(AD7,Scores!$A$15:$B$18,2)+Scores!$O$8*VLOOKUP(AE7,Scores!$A$15:$B$18,2)</f>
        <v>60</v>
      </c>
      <c r="AE8" s="7"/>
      <c r="AF8" s="7"/>
      <c r="AG8" s="6">
        <f>Scores!$B$9*VLOOKUP(AG7,Scores!$A$15:$B$18,2)+Scores!$C$9*VLOOKUP(AH7,Scores!$A$15:$B$18,2)+Scores!$D$9*VLOOKUP(AI7,Scores!$A$15:$B$18,2)+Scores!$E$9*VLOOKUP(AJ7,Scores!$A$15:$B$18,2)</f>
        <v>0</v>
      </c>
      <c r="AH8" s="6">
        <f>Scores!$G$9*VLOOKUP(AG7,Scores!$A$15:$B$18,2)+Scores!$H$9*VLOOKUP(AH7,Scores!$A$15:$B$18,2)+Scores!$I$9*VLOOKUP(AI7,Scores!$A$15:$B$18,2)+Scores!$J$9*VLOOKUP(AJ7,Scores!$A$15:$B$18,2)</f>
        <v>56</v>
      </c>
      <c r="AI8" s="6">
        <f>Scores!$L$9*VLOOKUP(AG7,Scores!$A$15:$B$18,2)+Scores!$M$9*VLOOKUP(AH7,Scores!$A$15:$B$18,2)+Scores!$N$9*VLOOKUP(AI7,Scores!$A$15:$B$18,2)+Scores!$O$9*VLOOKUP(AJ7,Scores!$A$15:$B$18,2)</f>
        <v>0</v>
      </c>
      <c r="AJ8" s="7"/>
      <c r="AK8" s="7"/>
      <c r="AL8" s="6">
        <f>Scores!$B$10*VLOOKUP(AL7,Scores!$A$15:$B$18,2)+Scores!$C$10*VLOOKUP(AM7,Scores!$A$15:$B$18,2)+Scores!$D$10*VLOOKUP(AN7,Scores!$A$15:$B$18,2)+Scores!$E$10*VLOOKUP(AO7,Scores!$A$15:$B$18,2)</f>
        <v>0</v>
      </c>
      <c r="AM8" s="6">
        <f>Scores!$G$10*VLOOKUP(AL7,Scores!$A$15:$B$18,2)+Scores!$H$10*VLOOKUP(AM7,Scores!$A$15:$B$18,2)+Scores!$I$10*VLOOKUP(AN7,Scores!$A$15:$B$18,2)+Scores!$J$10*VLOOKUP(AO7,Scores!$A$15:$B$18,2)</f>
        <v>0</v>
      </c>
      <c r="AN8" s="6">
        <f>Scores!$L$10*VLOOKUP(AL7,Scores!$A$15:$B$18,2)+Scores!$M$10*VLOOKUP(AM7,Scores!$A$15:$B$18,2)+Scores!$N$10*VLOOKUP(AN7,Scores!$A$15:$B$18,2)+Scores!$O$10*VLOOKUP(AO7,Scores!$A$15:$B$18,2)</f>
        <v>0</v>
      </c>
      <c r="AO8" s="7"/>
    </row>
    <row r="10" spans="1:49" x14ac:dyDescent="0.25">
      <c r="A10" s="8" t="s">
        <v>97</v>
      </c>
      <c r="C10">
        <f>BordaCOunt((C3:F3,C5:F5,C7:F7),1)</f>
        <v>1</v>
      </c>
      <c r="D10">
        <f>BordaCOunt((C3:F3,C5:F5,C7:F7),2)</f>
        <v>3</v>
      </c>
      <c r="E10">
        <f>BordaCOunt((C3:F3,C5:F5,C7:F7),3)</f>
        <v>4</v>
      </c>
      <c r="F10">
        <f>BordaCOunt((C3:F3,C5:F5,C7:F7),4)</f>
        <v>2</v>
      </c>
      <c r="H10">
        <f>BordaCOunt((H3:K3,H5:K5,H7:K7),1)</f>
        <v>2</v>
      </c>
      <c r="I10">
        <f>BordaCOunt((H3:K3,H5:K5,H7:K7),2)</f>
        <v>3</v>
      </c>
      <c r="J10">
        <f>BordaCOunt((H3:K3,H5:K5,H7:K7),3)</f>
        <v>4</v>
      </c>
      <c r="K10">
        <f>BordaCOunt((H3:K3,H5:K5,H7:K7),4)</f>
        <v>1</v>
      </c>
      <c r="M10">
        <f>BordaCOunt((M3:P3,M5:P5,M7:P7),1)</f>
        <v>3</v>
      </c>
      <c r="N10">
        <f>BordaCOunt((M3:P3,M5:P5,M7:P7),2)</f>
        <v>1</v>
      </c>
      <c r="O10">
        <f>BordaCOunt((M3:P3,M5:P5,M7:P7),3)</f>
        <v>4</v>
      </c>
      <c r="P10">
        <f>BordaCOunt((M3:P3,M5:P5,M7:P7),4)</f>
        <v>2</v>
      </c>
      <c r="R10">
        <f>BordaCOunt((R3:U3,R5:U5,R7:U7),1)</f>
        <v>3</v>
      </c>
      <c r="S10">
        <f>BordaCOunt((R3:U3,R5:U5,R7:U7),2)</f>
        <v>4</v>
      </c>
      <c r="T10">
        <f>BordaCOunt((R3:U3,R5:U5,R7:U7),3)</f>
        <v>2</v>
      </c>
      <c r="U10">
        <f>BordaCOunt((R3:U3,R5:U5,R7:U7),4)</f>
        <v>1</v>
      </c>
      <c r="W10">
        <f>BordaCOunt((W3:Z3,W5:Z5,W7:Z7),1)</f>
        <v>2</v>
      </c>
      <c r="X10">
        <f>BordaCOunt((W3:Z3,W5:Z5,W7:Z7),2)</f>
        <v>3</v>
      </c>
      <c r="Y10">
        <f>BordaCOunt((W3:Z3,W5:Z5,W7:Z7),3)</f>
        <v>1</v>
      </c>
      <c r="Z10">
        <f>BordaCOunt((W3:Z3,W5:Z5,W7:Z7),4)</f>
        <v>4</v>
      </c>
      <c r="AB10">
        <f>BordaCOunt((AB3:AE3,AB5:AE5,AB7:AE7),1)</f>
        <v>1</v>
      </c>
      <c r="AC10">
        <f>BordaCOunt((AB3:AE3,AB5:AE5,AB7:AE7),2)</f>
        <v>2</v>
      </c>
      <c r="AD10">
        <f>BordaCOunt((AB3:AE3,AB5:AE5,AB7:AE7),3)</f>
        <v>3</v>
      </c>
      <c r="AE10">
        <f>BordaCOunt((AB3:AE3,AB5:AE5,AB7:AE7),4)</f>
        <v>4</v>
      </c>
      <c r="AG10">
        <f>BordaCOunt((AG3:AJ3,AG5:AJ5,AG7:AJ7),1)</f>
        <v>2</v>
      </c>
      <c r="AH10">
        <f>BordaCOunt((AG3:AJ3,AG5:AJ5,AG7:AJ7),2)</f>
        <v>3</v>
      </c>
      <c r="AI10">
        <f>BordaCOunt((AG3:AJ3,AG5:AJ5,AG7:AJ7),3)</f>
        <v>4</v>
      </c>
      <c r="AJ10">
        <f>BordaCOunt((AG3:AJ3,AG5:AJ5,AG7:AJ7),4)</f>
        <v>1</v>
      </c>
      <c r="AL10">
        <f>BordaCOunt((AL3:AO3,AL5:AO5,AL7:AO7),1)</f>
        <v>1</v>
      </c>
      <c r="AM10">
        <f>BordaCOunt((AL3:AO3,AL5:AO5,AL7:AO7),2)</f>
        <v>2</v>
      </c>
      <c r="AN10">
        <f>BordaCOunt((AL3:AO3,AL5:AO5,AL7:AO7),3)</f>
        <v>3</v>
      </c>
      <c r="AO10">
        <f>BordaCOunt((AL3:AO3,AL5:AO5,AL7:AO7),4)</f>
        <v>4</v>
      </c>
      <c r="AP10" s="1"/>
      <c r="AQ10" s="9">
        <f>((C11+H11+M11+R11+W11)-Scores!$E$15)/(Scores!$I$15-Scores!$E$15)</f>
        <v>0.7931034482758621</v>
      </c>
      <c r="AR10" s="9">
        <f>((D11+I11+N11+S11+X11)-Scores!$E$16)/(Scores!$I$16-Scores!$E$16)</f>
        <v>0.71724137931034482</v>
      </c>
      <c r="AS10" s="9">
        <f>((E11+J11+O11+T11+Y11)-Scores!$E$17)/(Scores!$I$17-Scores!$E$17)</f>
        <v>0.58620689655172409</v>
      </c>
      <c r="AU10" s="9">
        <f>((AB11+AG11+AL11)-Scores!$F$15)/(Scores!$J$15-Scores!$F$15)</f>
        <v>0.93103448275862066</v>
      </c>
      <c r="AV10" s="9">
        <f>((AC11+AH11+AM11)-Scores!$F$16)/(Scores!$J$16-Scores!$F$16)</f>
        <v>0.7931034482758621</v>
      </c>
      <c r="AW10" s="9">
        <f>((AD11+AI11+AN11)-Scores!$F$17)/(Scores!$J$17-Scores!$F$17)</f>
        <v>0.31034482758620691</v>
      </c>
    </row>
    <row r="11" spans="1:49" x14ac:dyDescent="0.25">
      <c r="C11" s="6">
        <f>Scores!$B$3*VLOOKUP(C10,Scores!$A$15:$B$18,2)+Scores!$C$3*VLOOKUP(D10,Scores!$A$15:$B$18,2)+Scores!$D$3*VLOOKUP(E10,Scores!$A$15:$B$18,2)+Scores!$E$3*VLOOKUP(F10,Scores!$A$15:$B$18,2)</f>
        <v>0</v>
      </c>
      <c r="D11" s="6">
        <f>Scores!$G$3*VLOOKUP(C10,Scores!$A$15:$B$18,2)+Scores!$H$3*VLOOKUP(D10,Scores!$A$15:$B$18,2)+Scores!$I$3*VLOOKUP(E10,Scores!$A$15:$B$18,2)+Scores!$J$3*VLOOKUP(F10,Scores!$A$15:$B$18,2)</f>
        <v>60</v>
      </c>
      <c r="E11" s="6">
        <f>Scores!$L$3*VLOOKUP(C10,Scores!$A$15:$B$18,2)+Scores!$M$3*VLOOKUP(D10,Scores!$A$15:$B$18,2)+Scores!$N$3*VLOOKUP(E10,Scores!$A$15:$B$18,2)+Scores!$O$3*VLOOKUP(F10,Scores!$A$15:$B$18,2)</f>
        <v>0</v>
      </c>
      <c r="F11" s="7"/>
      <c r="H11" s="6">
        <f>Scores!$B$4*VLOOKUP(H10,Scores!$A$15:$B$18,2)+Scores!$C$4*VLOOKUP(I10,Scores!$A$15:$B$18,2)+Scores!$D$4*VLOOKUP(J10,Scores!$A$15:$B$18,2)+Scores!$E$4*VLOOKUP(K10,Scores!$A$15:$B$18,2)</f>
        <v>40</v>
      </c>
      <c r="I11" s="6">
        <f>Scores!$G$4*VLOOKUP(H10,Scores!$A$15:$B$18,2)+Scores!$H$4*VLOOKUP(I10,Scores!$A$15:$B$18,2)+Scores!$I$4*VLOOKUP(J10,Scores!$A$15:$B$18,2)+Scores!$J$4*VLOOKUP(K10,Scores!$A$15:$B$18,2)</f>
        <v>55</v>
      </c>
      <c r="J11" s="6">
        <f>Scores!$L$4*VLOOKUP(H10,Scores!$A$15:$B$18,2)+Scores!$M$4*VLOOKUP(I10,Scores!$A$15:$B$18,2)+Scores!$N$4*VLOOKUP(J10,Scores!$A$15:$B$18,2)+Scores!$O$4*VLOOKUP(K10,Scores!$A$15:$B$18,2)</f>
        <v>0</v>
      </c>
      <c r="K11" s="7"/>
      <c r="L11" s="7"/>
      <c r="M11" s="6">
        <f>Scores!$B$5*VLOOKUP(M10,Scores!$A$15:$B$18,2)+Scores!$C$5*VLOOKUP(N10,Scores!$A$15:$B$18,2)+Scores!$D$5*VLOOKUP(O10,Scores!$A$15:$B$18,2)+Scores!$E$5*VLOOKUP(P10,Scores!$A$15:$B$18,2)</f>
        <v>62</v>
      </c>
      <c r="N11" s="6">
        <f>Scores!$G$5*VLOOKUP(M10,Scores!$A$15:$B$18,2)+Scores!$H$5*VLOOKUP(N10,Scores!$A$15:$B$18,2)+Scores!$I$5*VLOOKUP(O10,Scores!$A$15:$B$18,2)+Scores!$J$5*VLOOKUP(P10,Scores!$A$15:$B$18,2)</f>
        <v>39</v>
      </c>
      <c r="O11" s="6">
        <f>Scores!$L$5*VLOOKUP(M10,Scores!$A$15:$B$18,2)+Scores!$M$5*VLOOKUP(N10,Scores!$A$15:$B$18,2)+Scores!$N$5*VLOOKUP(O10,Scores!$A$15:$B$18,2)+Scores!$O$5*VLOOKUP(P10,Scores!$A$15:$B$18,2)</f>
        <v>0</v>
      </c>
      <c r="P11" s="7"/>
      <c r="Q11" s="7"/>
      <c r="R11" s="6">
        <f>Scores!$B$6*VLOOKUP(R10,Scores!$A$15:$B$18,2)+Scores!$C$6*VLOOKUP(S10,Scores!$A$15:$B$18,2)+Scores!$D$6*VLOOKUP(T10,Scores!$A$15:$B$18,2)+Scores!$E$6*VLOOKUP(U10,Scores!$A$15:$B$18,2)</f>
        <v>60</v>
      </c>
      <c r="S11" s="6">
        <f>Scores!$G$6*VLOOKUP(R10,Scores!$A$15:$B$18,2)+Scores!$H$6*VLOOKUP(S10,Scores!$A$15:$B$18,2)+Scores!$I$6*VLOOKUP(T10,Scores!$A$15:$B$18,2)+Scores!$J$6*VLOOKUP(U10,Scores!$A$15:$B$18,2)</f>
        <v>53</v>
      </c>
      <c r="T11" s="6">
        <f>Scores!$L$6*VLOOKUP(R10,Scores!$A$15:$B$18,2)+Scores!$M$6*VLOOKUP(S10,Scores!$A$15:$B$18,2)+Scores!$N$6*VLOOKUP(T10,Scores!$A$15:$B$18,2)+Scores!$O$6*VLOOKUP(U10,Scores!$A$15:$B$18,2)</f>
        <v>50</v>
      </c>
      <c r="U11" s="7"/>
      <c r="V11" s="7"/>
      <c r="W11" s="6">
        <f>Scores!$B$7*VLOOKUP(W10,Scores!$A$15:$B$18,2)+Scores!$C$7*VLOOKUP(X10,Scores!$A$15:$B$18,2)+Scores!$D$7*VLOOKUP(Y10,Scores!$A$15:$B$18,2)+Scores!$E$7*VLOOKUP(Z10,Scores!$A$15:$B$18,2)</f>
        <v>62</v>
      </c>
      <c r="X11" s="6">
        <f>Scores!$G$7*VLOOKUP(W10,Scores!$A$15:$B$18,2)+Scores!$H$7*VLOOKUP(X10,Scores!$A$15:$B$18,2)+Scores!$I$7*VLOOKUP(Y10,Scores!$A$15:$B$18,2)+Scores!$J$7*VLOOKUP(Z10,Scores!$A$15:$B$18,2)</f>
        <v>62</v>
      </c>
      <c r="Y11" s="6">
        <f>Scores!$L$7*VLOOKUP(W10,Scores!$A$15:$B$18,2)+Scores!$M$7*VLOOKUP(X10,Scores!$A$15:$B$18,2)+Scores!$N$7*VLOOKUP(Y10,Scores!$A$15:$B$18,2)+Scores!$O$7*VLOOKUP(Z10,Scores!$A$15:$B$18,2)</f>
        <v>50</v>
      </c>
      <c r="Z11" s="7"/>
      <c r="AA11" s="7"/>
      <c r="AB11" s="6">
        <f>Scores!$B$8*VLOOKUP(AB10,Scores!$A$15:$B$18,2)+Scores!$C$8*VLOOKUP(AC10,Scores!$A$15:$B$18,2)+Scores!$D$8*VLOOKUP(AD10,Scores!$A$15:$B$18,2)+Scores!$E$8*VLOOKUP(AE10,Scores!$A$15:$B$18,2)</f>
        <v>60</v>
      </c>
      <c r="AC11" s="6">
        <f>Scores!$G$8*VLOOKUP(AB10,Scores!$A$15:$B$18,2)+Scores!$H$8*VLOOKUP(AC10,Scores!$A$15:$B$18,2)+Scores!$I$8*VLOOKUP(AD10,Scores!$A$15:$B$18,2)+Scores!$J$8*VLOOKUP(AE10,Scores!$A$15:$B$18,2)</f>
        <v>56</v>
      </c>
      <c r="AD11" s="6">
        <f>Scores!$L$8*VLOOKUP(AB10,Scores!$A$15:$B$18,2)+Scores!$M$8*VLOOKUP(AC10,Scores!$A$15:$B$18,2)+Scores!$N$8*VLOOKUP(AD10,Scores!$A$15:$B$18,2)+Scores!$O$8*VLOOKUP(AE10,Scores!$A$15:$B$18,2)</f>
        <v>42</v>
      </c>
      <c r="AE11" s="7"/>
      <c r="AF11" s="7"/>
      <c r="AG11" s="6">
        <f>Scores!$B$9*VLOOKUP(AG10,Scores!$A$15:$B$18,2)+Scores!$C$9*VLOOKUP(AH10,Scores!$A$15:$B$18,2)+Scores!$D$9*VLOOKUP(AI10,Scores!$A$15:$B$18,2)+Scores!$E$9*VLOOKUP(AJ10,Scores!$A$15:$B$18,2)</f>
        <v>0</v>
      </c>
      <c r="AH11" s="6">
        <f>Scores!$G$9*VLOOKUP(AG10,Scores!$A$15:$B$18,2)+Scores!$H$9*VLOOKUP(AH10,Scores!$A$15:$B$18,2)+Scores!$I$9*VLOOKUP(AI10,Scores!$A$15:$B$18,2)+Scores!$J$9*VLOOKUP(AJ10,Scores!$A$15:$B$18,2)</f>
        <v>56</v>
      </c>
      <c r="AI11" s="6">
        <f>Scores!$L$9*VLOOKUP(AG10,Scores!$A$15:$B$18,2)+Scores!$M$9*VLOOKUP(AH10,Scores!$A$15:$B$18,2)+Scores!$N$9*VLOOKUP(AI10,Scores!$A$15:$B$18,2)+Scores!$O$9*VLOOKUP(AJ10,Scores!$A$15:$B$18,2)</f>
        <v>0</v>
      </c>
      <c r="AJ11" s="7"/>
      <c r="AK11" s="7"/>
      <c r="AL11" s="6">
        <f>Scores!$B$10*VLOOKUP(AL10,Scores!$A$15:$B$18,2)+Scores!$C$10*VLOOKUP(AM10,Scores!$A$15:$B$18,2)+Scores!$D$10*VLOOKUP(AN10,Scores!$A$15:$B$18,2)+Scores!$E$10*VLOOKUP(AO10,Scores!$A$15:$B$18,2)</f>
        <v>0</v>
      </c>
      <c r="AM11" s="6">
        <f>Scores!$G$10*VLOOKUP(AL10,Scores!$A$15:$B$18,2)+Scores!$H$10*VLOOKUP(AM10,Scores!$A$15:$B$18,2)+Scores!$I$10*VLOOKUP(AN10,Scores!$A$15:$B$18,2)+Scores!$J$10*VLOOKUP(AO10,Scores!$A$15:$B$18,2)</f>
        <v>0</v>
      </c>
      <c r="AN11" s="6">
        <f>Scores!$L$10*VLOOKUP(AL10,Scores!$A$15:$B$18,2)+Scores!$M$10*VLOOKUP(AM10,Scores!$A$15:$B$18,2)+Scores!$N$10*VLOOKUP(AN10,Scores!$A$15:$B$18,2)+Scores!$O$10*VLOOKUP(AO10,Scores!$A$15:$B$18,2)</f>
        <v>0</v>
      </c>
      <c r="AO11" s="7"/>
    </row>
    <row r="12" spans="1:49" x14ac:dyDescent="0.25">
      <c r="A12" s="5"/>
      <c r="B12" s="5"/>
      <c r="C12" s="6"/>
      <c r="D12" s="6"/>
      <c r="E12" s="7"/>
      <c r="F12" s="7"/>
      <c r="G12" s="7"/>
      <c r="H12" s="6"/>
      <c r="I12" s="6"/>
      <c r="J12" s="7"/>
      <c r="K12" s="7"/>
      <c r="L12" s="7"/>
      <c r="M12" s="6"/>
      <c r="N12" s="6"/>
      <c r="O12" s="7"/>
      <c r="P12" s="7"/>
      <c r="Q12" s="7"/>
      <c r="R12" s="6"/>
      <c r="S12" s="6"/>
      <c r="T12" s="7"/>
      <c r="U12" s="7"/>
      <c r="V12" s="7"/>
      <c r="W12" s="6"/>
      <c r="X12" s="6"/>
      <c r="Y12" s="7"/>
      <c r="Z12" s="7"/>
      <c r="AA12" s="7"/>
      <c r="AB12" s="6"/>
      <c r="AC12" s="6"/>
      <c r="AD12" s="7"/>
      <c r="AE12" s="7"/>
      <c r="AF12" s="7"/>
      <c r="AG12" s="6"/>
      <c r="AH12" s="6"/>
      <c r="AI12" s="7"/>
      <c r="AJ12" s="7"/>
      <c r="AK12" s="7"/>
      <c r="AL12" s="6"/>
      <c r="AM12" s="6"/>
      <c r="AN12" s="7"/>
      <c r="AO12" s="7"/>
      <c r="AP12" s="5"/>
      <c r="AQ12" s="5"/>
      <c r="AR12" s="5"/>
      <c r="AS12" s="5"/>
    </row>
    <row r="20" spans="1:45" x14ac:dyDescent="0.25">
      <c r="A20" s="5"/>
      <c r="B20" s="5"/>
      <c r="C20" s="6"/>
      <c r="D20" s="6"/>
      <c r="E20" s="7"/>
      <c r="F20" s="7"/>
      <c r="G20" s="7"/>
      <c r="H20" s="6"/>
      <c r="I20" s="6"/>
      <c r="J20" s="7"/>
      <c r="K20" s="7"/>
      <c r="L20" s="7"/>
      <c r="M20" s="6"/>
      <c r="N20" s="6"/>
      <c r="O20" s="7"/>
      <c r="P20" s="7"/>
      <c r="Q20" s="7"/>
      <c r="R20" s="6"/>
      <c r="S20" s="6"/>
      <c r="T20" s="7"/>
      <c r="U20" s="7"/>
      <c r="V20" s="7"/>
      <c r="W20" s="6"/>
      <c r="X20" s="6"/>
      <c r="Y20" s="7"/>
      <c r="Z20" s="7"/>
      <c r="AA20" s="7"/>
      <c r="AB20" s="6"/>
      <c r="AC20" s="6"/>
      <c r="AD20" s="7"/>
      <c r="AE20" s="7"/>
      <c r="AF20" s="7"/>
      <c r="AG20" s="6"/>
      <c r="AH20" s="6"/>
      <c r="AI20" s="7"/>
      <c r="AJ20" s="7"/>
      <c r="AK20" s="7"/>
      <c r="AL20" s="6"/>
      <c r="AM20" s="6"/>
      <c r="AN20" s="7"/>
      <c r="AO20" s="7"/>
      <c r="AP20" s="5"/>
      <c r="AQ20" s="5"/>
      <c r="AR20" s="5"/>
      <c r="AS20" s="5"/>
    </row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38"/>
  <sheetViews>
    <sheetView workbookViewId="0">
      <selection activeCell="A5" sqref="A5:XFD6"/>
    </sheetView>
  </sheetViews>
  <sheetFormatPr defaultRowHeight="15" x14ac:dyDescent="0.25"/>
  <cols>
    <col min="1" max="1" width="23.7109375" customWidth="1"/>
    <col min="3" max="6" width="2.7109375" customWidth="1"/>
    <col min="7" max="7" width="1.7109375" customWidth="1"/>
    <col min="8" max="11" width="2.7109375" customWidth="1"/>
    <col min="12" max="12" width="1.7109375" customWidth="1"/>
    <col min="13" max="16" width="2.7109375" customWidth="1"/>
    <col min="17" max="17" width="1.7109375" customWidth="1"/>
    <col min="18" max="21" width="2.7109375" customWidth="1"/>
    <col min="22" max="22" width="1.7109375" customWidth="1"/>
    <col min="23" max="26" width="2.7109375" customWidth="1"/>
    <col min="27" max="27" width="1.7109375" customWidth="1"/>
    <col min="28" max="31" width="2.7109375" customWidth="1"/>
    <col min="32" max="32" width="1.7109375" customWidth="1"/>
    <col min="33" max="36" width="2.7109375" customWidth="1"/>
    <col min="37" max="37" width="1.7109375" customWidth="1"/>
    <col min="38" max="41" width="2.7109375" customWidth="1"/>
  </cols>
  <sheetData>
    <row r="1" spans="1:49" x14ac:dyDescent="0.25">
      <c r="A1" s="1"/>
      <c r="C1" s="1" t="s">
        <v>0</v>
      </c>
      <c r="D1" s="1"/>
      <c r="E1" s="1"/>
      <c r="F1" s="1"/>
      <c r="G1" s="1"/>
      <c r="AQ1" s="1" t="s">
        <v>69</v>
      </c>
      <c r="AU1" s="1" t="s">
        <v>73</v>
      </c>
    </row>
    <row r="2" spans="1:49" x14ac:dyDescent="0.25">
      <c r="A2" s="1" t="s">
        <v>2</v>
      </c>
      <c r="B2" s="1" t="s">
        <v>3</v>
      </c>
      <c r="C2" s="10">
        <v>1</v>
      </c>
      <c r="D2" s="10"/>
      <c r="E2" s="10"/>
      <c r="F2" s="10"/>
      <c r="G2" s="3"/>
      <c r="H2" s="10">
        <v>2</v>
      </c>
      <c r="I2" s="10"/>
      <c r="J2" s="10"/>
      <c r="K2" s="10"/>
      <c r="L2" s="3"/>
      <c r="M2" s="10">
        <v>3</v>
      </c>
      <c r="N2" s="10"/>
      <c r="O2" s="10"/>
      <c r="P2" s="10"/>
      <c r="Q2" s="3"/>
      <c r="R2" s="10">
        <v>4</v>
      </c>
      <c r="S2" s="10"/>
      <c r="T2" s="10"/>
      <c r="U2" s="10"/>
      <c r="V2" s="3"/>
      <c r="W2" s="10">
        <v>5</v>
      </c>
      <c r="X2" s="10"/>
      <c r="Y2" s="10"/>
      <c r="Z2" s="10"/>
      <c r="AA2" s="3"/>
      <c r="AB2" s="10">
        <v>6</v>
      </c>
      <c r="AC2" s="10"/>
      <c r="AD2" s="10"/>
      <c r="AE2" s="10"/>
      <c r="AF2" s="3"/>
      <c r="AG2" s="10">
        <v>7</v>
      </c>
      <c r="AH2" s="10"/>
      <c r="AI2" s="10"/>
      <c r="AJ2" s="10"/>
      <c r="AK2" s="3"/>
      <c r="AL2" s="10">
        <v>8</v>
      </c>
      <c r="AM2" s="10"/>
      <c r="AN2" s="10"/>
      <c r="AO2" s="10"/>
      <c r="AQ2" s="1" t="s">
        <v>10</v>
      </c>
      <c r="AR2" s="1" t="s">
        <v>11</v>
      </c>
      <c r="AS2" s="1" t="s">
        <v>21</v>
      </c>
      <c r="AT2" s="1"/>
      <c r="AU2" s="1" t="s">
        <v>10</v>
      </c>
      <c r="AV2" s="1" t="s">
        <v>11</v>
      </c>
      <c r="AW2" s="1" t="s">
        <v>21</v>
      </c>
    </row>
    <row r="3" spans="1:49" x14ac:dyDescent="0.25">
      <c r="A3" t="s">
        <v>30</v>
      </c>
      <c r="B3" t="s">
        <v>37</v>
      </c>
      <c r="C3">
        <v>1</v>
      </c>
      <c r="D3">
        <v>4</v>
      </c>
      <c r="E3">
        <v>3</v>
      </c>
      <c r="F3">
        <v>2</v>
      </c>
      <c r="H3">
        <v>2</v>
      </c>
      <c r="I3">
        <v>3</v>
      </c>
      <c r="J3">
        <v>4</v>
      </c>
      <c r="K3">
        <v>1</v>
      </c>
      <c r="M3">
        <v>2</v>
      </c>
      <c r="N3">
        <v>3</v>
      </c>
      <c r="O3">
        <v>4</v>
      </c>
      <c r="P3">
        <v>1</v>
      </c>
      <c r="R3">
        <v>3</v>
      </c>
      <c r="S3">
        <v>4</v>
      </c>
      <c r="T3">
        <v>2</v>
      </c>
      <c r="U3">
        <v>1</v>
      </c>
      <c r="W3">
        <v>1</v>
      </c>
      <c r="X3">
        <v>2</v>
      </c>
      <c r="Y3">
        <v>3</v>
      </c>
      <c r="Z3">
        <v>4</v>
      </c>
      <c r="AB3">
        <v>2</v>
      </c>
      <c r="AC3">
        <v>3</v>
      </c>
      <c r="AD3">
        <v>4</v>
      </c>
      <c r="AE3">
        <v>1</v>
      </c>
      <c r="AG3">
        <v>2</v>
      </c>
      <c r="AH3">
        <v>4</v>
      </c>
      <c r="AI3">
        <v>3</v>
      </c>
      <c r="AJ3">
        <v>1</v>
      </c>
      <c r="AL3">
        <v>3</v>
      </c>
      <c r="AM3">
        <v>2</v>
      </c>
      <c r="AN3">
        <v>1</v>
      </c>
      <c r="AO3">
        <v>4</v>
      </c>
      <c r="AQ3" s="9">
        <f>((C4+H4+M4+R4+W4)-Scores!$E$15)/(Scores!$I$15-Scores!$E$15)</f>
        <v>0.63793103448275867</v>
      </c>
      <c r="AR3" s="9">
        <f>((D4+I4+N4+S4+X4)-Scores!$E$16)/(Scores!$I$16-Scores!$E$16)</f>
        <v>0.77931034482758621</v>
      </c>
      <c r="AS3" s="9">
        <f>((E4+J4+O4+T4+Y4)-Scores!$E$17)/(Scores!$I$17-Scores!$E$17)</f>
        <v>0.7931034482758621</v>
      </c>
      <c r="AT3" s="9"/>
      <c r="AU3" s="9">
        <f>((AB4+AG4+AL4)-Scores!$F$15)/(Scores!$J$15-Scores!$F$15)</f>
        <v>0.58620689655172409</v>
      </c>
      <c r="AV3" s="9">
        <f>((AC4+AH4+AM4)-Scores!$F$16)/(Scores!$J$16-Scores!$F$16)</f>
        <v>0.87931034482758619</v>
      </c>
      <c r="AW3" s="9">
        <f>((AD4+AI4+AN4)-Scores!$F$17)/(Scores!$J$17-Scores!$F$17)</f>
        <v>0.93103448275862066</v>
      </c>
    </row>
    <row r="4" spans="1:49" s="5" customFormat="1" ht="11.25" x14ac:dyDescent="0.2">
      <c r="C4" s="6">
        <f>Scores!$B$3*VLOOKUP(C3,Scores!$A$15:$B$18,2)+Scores!$C$3*VLOOKUP(D3,Scores!$A$15:$B$18,2)+Scores!$D$3*VLOOKUP(E3,Scores!$A$15:$B$18,2)+Scores!$E$3*VLOOKUP(F3,Scores!$A$15:$B$18,2)</f>
        <v>0</v>
      </c>
      <c r="D4" s="6">
        <f>Scores!$G$3*VLOOKUP(C3,Scores!$A$15:$B$18,2)+Scores!$H$3*VLOOKUP(D3,Scores!$A$15:$B$18,2)+Scores!$I$3*VLOOKUP(E3,Scores!$A$15:$B$18,2)+Scores!$J$3*VLOOKUP(F3,Scores!$A$15:$B$18,2)</f>
        <v>62</v>
      </c>
      <c r="E4" s="6">
        <f>Scores!$L$3*VLOOKUP(C3,Scores!$A$15:$B$18,2)+Scores!$M$3*VLOOKUP(D3,Scores!$A$15:$B$18,2)+Scores!$N$3*VLOOKUP(E3,Scores!$A$15:$B$18,2)+Scores!$O$3*VLOOKUP(F3,Scores!$A$15:$B$18,2)</f>
        <v>0</v>
      </c>
      <c r="F4" s="7"/>
      <c r="G4" s="7"/>
      <c r="H4" s="6">
        <f>Scores!$B$4*VLOOKUP(H3,Scores!$A$15:$B$18,2)+Scores!$C$4*VLOOKUP(I3,Scores!$A$15:$B$18,2)+Scores!$D$4*VLOOKUP(J3,Scores!$A$15:$B$18,2)+Scores!$E$4*VLOOKUP(K3,Scores!$A$15:$B$18,2)</f>
        <v>40</v>
      </c>
      <c r="I4" s="6">
        <f>Scores!$G$4*VLOOKUP(H3,Scores!$A$15:$B$18,2)+Scores!$H$4*VLOOKUP(I3,Scores!$A$15:$B$18,2)+Scores!$I$4*VLOOKUP(J3,Scores!$A$15:$B$18,2)+Scores!$J$4*VLOOKUP(K3,Scores!$A$15:$B$18,2)</f>
        <v>55</v>
      </c>
      <c r="J4" s="6">
        <f>Scores!$L$4*VLOOKUP(H3,Scores!$A$15:$B$18,2)+Scores!$M$4*VLOOKUP(I3,Scores!$A$15:$B$18,2)+Scores!$N$4*VLOOKUP(J3,Scores!$A$15:$B$18,2)+Scores!$O$4*VLOOKUP(K3,Scores!$A$15:$B$18,2)</f>
        <v>0</v>
      </c>
      <c r="K4" s="7"/>
      <c r="L4" s="7"/>
      <c r="M4" s="6">
        <f>Scores!$B$5*VLOOKUP(M3,Scores!$A$15:$B$18,2)+Scores!$C$5*VLOOKUP(N3,Scores!$A$15:$B$18,2)+Scores!$D$5*VLOOKUP(O3,Scores!$A$15:$B$18,2)+Scores!$E$5*VLOOKUP(P3,Scores!$A$15:$B$18,2)</f>
        <v>53</v>
      </c>
      <c r="N4" s="6">
        <f>Scores!$G$5*VLOOKUP(M3,Scores!$A$15:$B$18,2)+Scores!$H$5*VLOOKUP(N3,Scores!$A$15:$B$18,2)+Scores!$I$5*VLOOKUP(O3,Scores!$A$15:$B$18,2)+Scores!$J$5*VLOOKUP(P3,Scores!$A$15:$B$18,2)</f>
        <v>55</v>
      </c>
      <c r="O4" s="6">
        <f>Scores!$L$5*VLOOKUP(M3,Scores!$A$15:$B$18,2)+Scores!$M$5*VLOOKUP(N3,Scores!$A$15:$B$18,2)+Scores!$N$5*VLOOKUP(O3,Scores!$A$15:$B$18,2)+Scores!$O$5*VLOOKUP(P3,Scores!$A$15:$B$18,2)</f>
        <v>0</v>
      </c>
      <c r="P4" s="7"/>
      <c r="Q4" s="7"/>
      <c r="R4" s="6">
        <f>Scores!$B$6*VLOOKUP(R3,Scores!$A$15:$B$18,2)+Scores!$C$6*VLOOKUP(S3,Scores!$A$15:$B$18,2)+Scores!$D$6*VLOOKUP(T3,Scores!$A$15:$B$18,2)+Scores!$E$6*VLOOKUP(U3,Scores!$A$15:$B$18,2)</f>
        <v>60</v>
      </c>
      <c r="S4" s="6">
        <f>Scores!$G$6*VLOOKUP(R3,Scores!$A$15:$B$18,2)+Scores!$H$6*VLOOKUP(S3,Scores!$A$15:$B$18,2)+Scores!$I$6*VLOOKUP(T3,Scores!$A$15:$B$18,2)+Scores!$J$6*VLOOKUP(U3,Scores!$A$15:$B$18,2)</f>
        <v>53</v>
      </c>
      <c r="T4" s="6">
        <f>Scores!$L$6*VLOOKUP(R3,Scores!$A$15:$B$18,2)+Scores!$M$6*VLOOKUP(S3,Scores!$A$15:$B$18,2)+Scores!$N$6*VLOOKUP(T3,Scores!$A$15:$B$18,2)+Scores!$O$6*VLOOKUP(U3,Scores!$A$15:$B$18,2)</f>
        <v>50</v>
      </c>
      <c r="U4" s="7"/>
      <c r="V4" s="7"/>
      <c r="W4" s="6">
        <f>Scores!$B$7*VLOOKUP(W3,Scores!$A$15:$B$18,2)+Scores!$C$7*VLOOKUP(X3,Scores!$A$15:$B$18,2)+Scores!$D$7*VLOOKUP(Y3,Scores!$A$15:$B$18,2)+Scores!$E$7*VLOOKUP(Z3,Scores!$A$15:$B$18,2)</f>
        <v>53</v>
      </c>
      <c r="X4" s="6">
        <f>Scores!$G$7*VLOOKUP(W3,Scores!$A$15:$B$18,2)+Scores!$H$7*VLOOKUP(X3,Scores!$A$15:$B$18,2)+Scores!$I$7*VLOOKUP(Y3,Scores!$A$15:$B$18,2)+Scores!$J$7*VLOOKUP(Z3,Scores!$A$15:$B$18,2)</f>
        <v>53</v>
      </c>
      <c r="Y4" s="6">
        <f>Scores!$L$7*VLOOKUP(W3,Scores!$A$15:$B$18,2)+Scores!$M$7*VLOOKUP(X3,Scores!$A$15:$B$18,2)+Scores!$N$7*VLOOKUP(Y3,Scores!$A$15:$B$18,2)+Scores!$O$7*VLOOKUP(Z3,Scores!$A$15:$B$18,2)</f>
        <v>62</v>
      </c>
      <c r="Z4" s="7"/>
      <c r="AA4" s="7"/>
      <c r="AB4" s="6">
        <f>Scores!$B$8*VLOOKUP(AB3,Scores!$A$15:$B$18,2)+Scores!$C$8*VLOOKUP(AC3,Scores!$A$15:$B$18,2)+Scores!$D$8*VLOOKUP(AD3,Scores!$A$15:$B$18,2)+Scores!$E$8*VLOOKUP(AE3,Scores!$A$15:$B$18,2)</f>
        <v>50</v>
      </c>
      <c r="AC4" s="6">
        <f>Scores!$G$8*VLOOKUP(AB3,Scores!$A$15:$B$18,2)+Scores!$H$8*VLOOKUP(AC3,Scores!$A$15:$B$18,2)+Scores!$I$8*VLOOKUP(AD3,Scores!$A$15:$B$18,2)+Scores!$J$8*VLOOKUP(AE3,Scores!$A$15:$B$18,2)</f>
        <v>57</v>
      </c>
      <c r="AD4" s="6">
        <f>Scores!$L$8*VLOOKUP(AB3,Scores!$A$15:$B$18,2)+Scores!$M$8*VLOOKUP(AC3,Scores!$A$15:$B$18,2)+Scores!$N$8*VLOOKUP(AD3,Scores!$A$15:$B$18,2)+Scores!$O$8*VLOOKUP(AE3,Scores!$A$15:$B$18,2)</f>
        <v>60</v>
      </c>
      <c r="AE4" s="7"/>
      <c r="AF4" s="7"/>
      <c r="AG4" s="6">
        <f>Scores!$B$9*VLOOKUP(AG3,Scores!$A$15:$B$18,2)+Scores!$C$9*VLOOKUP(AH3,Scores!$A$15:$B$18,2)+Scores!$D$9*VLOOKUP(AI3,Scores!$A$15:$B$18,2)+Scores!$E$9*VLOOKUP(AJ3,Scores!$A$15:$B$18,2)</f>
        <v>0</v>
      </c>
      <c r="AH4" s="6">
        <f>Scores!$G$9*VLOOKUP(AG3,Scores!$A$15:$B$18,2)+Scores!$H$9*VLOOKUP(AH3,Scores!$A$15:$B$18,2)+Scores!$I$9*VLOOKUP(AI3,Scores!$A$15:$B$18,2)+Scores!$J$9*VLOOKUP(AJ3,Scores!$A$15:$B$18,2)</f>
        <v>60</v>
      </c>
      <c r="AI4" s="6">
        <f>Scores!$L$9*VLOOKUP(AG3,Scores!$A$15:$B$18,2)+Scores!$M$9*VLOOKUP(AH3,Scores!$A$15:$B$18,2)+Scores!$N$9*VLOOKUP(AI3,Scores!$A$15:$B$18,2)+Scores!$O$9*VLOOKUP(AJ3,Scores!$A$15:$B$18,2)</f>
        <v>0</v>
      </c>
      <c r="AJ4" s="7"/>
      <c r="AK4" s="7"/>
      <c r="AL4" s="6">
        <f>Scores!$B$10*VLOOKUP(AL3,Scores!$A$15:$B$18,2)+Scores!$C$10*VLOOKUP(AM3,Scores!$A$15:$B$18,2)+Scores!$D$10*VLOOKUP(AN3,Scores!$A$15:$B$18,2)+Scores!$E$10*VLOOKUP(AO3,Scores!$A$15:$B$18,2)</f>
        <v>0</v>
      </c>
      <c r="AM4" s="6">
        <f>Scores!$G$10*VLOOKUP(AL3,Scores!$A$15:$B$18,2)+Scores!$H$10*VLOOKUP(AM3,Scores!$A$15:$B$18,2)+Scores!$I$10*VLOOKUP(AN3,Scores!$A$15:$B$18,2)+Scores!$J$10*VLOOKUP(AO3,Scores!$A$15:$B$18,2)</f>
        <v>0</v>
      </c>
      <c r="AN4" s="6">
        <f>Scores!$L$10*VLOOKUP(AL3,Scores!$A$15:$B$18,2)+Scores!$M$10*VLOOKUP(AM3,Scores!$A$15:$B$18,2)+Scores!$N$10*VLOOKUP(AN3,Scores!$A$15:$B$18,2)+Scores!$O$10*VLOOKUP(AO3,Scores!$A$15:$B$18,2)</f>
        <v>0</v>
      </c>
      <c r="AO4" s="7"/>
    </row>
    <row r="5" spans="1:49" x14ac:dyDescent="0.25">
      <c r="A5" t="s">
        <v>31</v>
      </c>
      <c r="B5" t="s">
        <v>26</v>
      </c>
      <c r="C5">
        <v>2</v>
      </c>
      <c r="D5">
        <v>4</v>
      </c>
      <c r="E5">
        <v>3</v>
      </c>
      <c r="F5">
        <v>1</v>
      </c>
      <c r="H5">
        <v>2</v>
      </c>
      <c r="I5">
        <v>4</v>
      </c>
      <c r="J5">
        <v>3</v>
      </c>
      <c r="K5">
        <v>1</v>
      </c>
      <c r="M5">
        <v>3</v>
      </c>
      <c r="N5">
        <v>2</v>
      </c>
      <c r="O5">
        <v>4</v>
      </c>
      <c r="P5">
        <v>1</v>
      </c>
      <c r="R5">
        <v>3</v>
      </c>
      <c r="S5">
        <v>4</v>
      </c>
      <c r="T5">
        <v>1</v>
      </c>
      <c r="U5">
        <v>2</v>
      </c>
      <c r="W5">
        <v>3</v>
      </c>
      <c r="X5">
        <v>2</v>
      </c>
      <c r="Y5">
        <v>1</v>
      </c>
      <c r="Z5">
        <v>4</v>
      </c>
      <c r="AB5">
        <v>5</v>
      </c>
      <c r="AC5">
        <v>5</v>
      </c>
      <c r="AD5">
        <v>5</v>
      </c>
      <c r="AE5">
        <v>5</v>
      </c>
      <c r="AG5">
        <v>5</v>
      </c>
      <c r="AH5">
        <v>5</v>
      </c>
      <c r="AI5">
        <v>5</v>
      </c>
      <c r="AJ5">
        <v>5</v>
      </c>
      <c r="AL5">
        <v>5</v>
      </c>
      <c r="AM5">
        <v>5</v>
      </c>
      <c r="AN5">
        <v>5</v>
      </c>
      <c r="AO5">
        <v>5</v>
      </c>
      <c r="AQ5" s="9">
        <f>((C6+H6+M6+R6+W6)-Scores!$E$15)/(Scores!$I$15-Scores!$E$15)</f>
        <v>0.62931034482758619</v>
      </c>
      <c r="AR5" s="9">
        <f>((D6+I6+N6+S6+X6)-Scores!$E$16)/(Scores!$I$16-Scores!$E$16)</f>
        <v>0.73103448275862071</v>
      </c>
      <c r="AS5" s="9">
        <f>((E6+J6+O6+T6+Y6)-Scores!$E$17)/(Scores!$I$17-Scores!$E$17)</f>
        <v>0.72413793103448276</v>
      </c>
      <c r="AT5" s="9"/>
      <c r="AU5" s="9">
        <f>((AB6+AG6+AL6)-Scores!$F$15)/(Scores!$J$15-Scores!$F$15)</f>
        <v>-0.7931034482758621</v>
      </c>
      <c r="AV5" s="9">
        <f>((AC6+AH6+AM6)-Scores!$F$16)/(Scores!$J$16-Scores!$F$16)</f>
        <v>-0.7931034482758621</v>
      </c>
      <c r="AW5" s="9">
        <f>((AD6+AI6+AN6)-Scores!$F$17)/(Scores!$J$17-Scores!$F$17)</f>
        <v>-0.7931034482758621</v>
      </c>
    </row>
    <row r="6" spans="1:49" s="5" customFormat="1" ht="11.25" x14ac:dyDescent="0.2">
      <c r="C6" s="6">
        <f>Scores!$B$3*VLOOKUP(C5,Scores!$A$15:$B$18,2)+Scores!$C$3*VLOOKUP(D5,Scores!$A$15:$B$18,2)+Scores!$D$3*VLOOKUP(E5,Scores!$A$15:$B$18,2)+Scores!$E$3*VLOOKUP(F5,Scores!$A$15:$B$18,2)</f>
        <v>0</v>
      </c>
      <c r="D6" s="6">
        <f>Scores!$G$3*VLOOKUP(C5,Scores!$A$15:$B$18,2)+Scores!$H$3*VLOOKUP(D5,Scores!$A$15:$B$18,2)+Scores!$I$3*VLOOKUP(E5,Scores!$A$15:$B$18,2)+Scores!$J$3*VLOOKUP(F5,Scores!$A$15:$B$18,2)</f>
        <v>57</v>
      </c>
      <c r="E6" s="6">
        <f>Scores!$L$3*VLOOKUP(C5,Scores!$A$15:$B$18,2)+Scores!$M$3*VLOOKUP(D5,Scores!$A$15:$B$18,2)+Scores!$N$3*VLOOKUP(E5,Scores!$A$15:$B$18,2)+Scores!$O$3*VLOOKUP(F5,Scores!$A$15:$B$18,2)</f>
        <v>0</v>
      </c>
      <c r="F6" s="7"/>
      <c r="G6" s="7"/>
      <c r="H6" s="6">
        <f>Scores!$B$4*VLOOKUP(H5,Scores!$A$15:$B$18,2)+Scores!$C$4*VLOOKUP(I5,Scores!$A$15:$B$18,2)+Scores!$D$4*VLOOKUP(J5,Scores!$A$15:$B$18,2)+Scores!$E$4*VLOOKUP(K5,Scores!$A$15:$B$18,2)</f>
        <v>38</v>
      </c>
      <c r="I6" s="6">
        <f>Scores!$G$4*VLOOKUP(H5,Scores!$A$15:$B$18,2)+Scores!$H$4*VLOOKUP(I5,Scores!$A$15:$B$18,2)+Scores!$I$4*VLOOKUP(J5,Scores!$A$15:$B$18,2)+Scores!$J$4*VLOOKUP(K5,Scores!$A$15:$B$18,2)</f>
        <v>57</v>
      </c>
      <c r="J6" s="6">
        <f>Scores!$L$4*VLOOKUP(H5,Scores!$A$15:$B$18,2)+Scores!$M$4*VLOOKUP(I5,Scores!$A$15:$B$18,2)+Scores!$N$4*VLOOKUP(J5,Scores!$A$15:$B$18,2)+Scores!$O$4*VLOOKUP(K5,Scores!$A$15:$B$18,2)</f>
        <v>0</v>
      </c>
      <c r="K6" s="7"/>
      <c r="L6" s="7"/>
      <c r="M6" s="6">
        <f>Scores!$B$5*VLOOKUP(M5,Scores!$A$15:$B$18,2)+Scores!$C$5*VLOOKUP(N5,Scores!$A$15:$B$18,2)+Scores!$D$5*VLOOKUP(O5,Scores!$A$15:$B$18,2)+Scores!$E$5*VLOOKUP(P5,Scores!$A$15:$B$18,2)</f>
        <v>57</v>
      </c>
      <c r="N6" s="6">
        <f>Scores!$G$5*VLOOKUP(M5,Scores!$A$15:$B$18,2)+Scores!$H$5*VLOOKUP(N5,Scores!$A$15:$B$18,2)+Scores!$I$5*VLOOKUP(O5,Scores!$A$15:$B$18,2)+Scores!$J$5*VLOOKUP(P5,Scores!$A$15:$B$18,2)</f>
        <v>49</v>
      </c>
      <c r="O6" s="6">
        <f>Scores!$L$5*VLOOKUP(M5,Scores!$A$15:$B$18,2)+Scores!$M$5*VLOOKUP(N5,Scores!$A$15:$B$18,2)+Scores!$N$5*VLOOKUP(O5,Scores!$A$15:$B$18,2)+Scores!$O$5*VLOOKUP(P5,Scores!$A$15:$B$18,2)</f>
        <v>0</v>
      </c>
      <c r="P6" s="7"/>
      <c r="Q6" s="7"/>
      <c r="R6" s="6">
        <f>Scores!$B$6*VLOOKUP(R5,Scores!$A$15:$B$18,2)+Scores!$C$6*VLOOKUP(S5,Scores!$A$15:$B$18,2)+Scores!$D$6*VLOOKUP(T5,Scores!$A$15:$B$18,2)+Scores!$E$6*VLOOKUP(U5,Scores!$A$15:$B$18,2)</f>
        <v>50</v>
      </c>
      <c r="S6" s="6">
        <f>Scores!$G$6*VLOOKUP(R5,Scores!$A$15:$B$18,2)+Scores!$H$6*VLOOKUP(S5,Scores!$A$15:$B$18,2)+Scores!$I$6*VLOOKUP(T5,Scores!$A$15:$B$18,2)+Scores!$J$6*VLOOKUP(U5,Scores!$A$15:$B$18,2)</f>
        <v>48</v>
      </c>
      <c r="T6" s="6">
        <f>Scores!$L$6*VLOOKUP(R5,Scores!$A$15:$B$18,2)+Scores!$M$6*VLOOKUP(S5,Scores!$A$15:$B$18,2)+Scores!$N$6*VLOOKUP(T5,Scores!$A$15:$B$18,2)+Scores!$O$6*VLOOKUP(U5,Scores!$A$15:$B$18,2)</f>
        <v>60</v>
      </c>
      <c r="U6" s="7"/>
      <c r="V6" s="7"/>
      <c r="W6" s="6">
        <f>Scores!$B$7*VLOOKUP(W5,Scores!$A$15:$B$18,2)+Scores!$C$7*VLOOKUP(X5,Scores!$A$15:$B$18,2)+Scores!$D$7*VLOOKUP(Y5,Scores!$A$15:$B$18,2)+Scores!$E$7*VLOOKUP(Z5,Scores!$A$15:$B$18,2)</f>
        <v>60</v>
      </c>
      <c r="X6" s="6">
        <f>Scores!$G$7*VLOOKUP(W5,Scores!$A$15:$B$18,2)+Scores!$H$7*VLOOKUP(X5,Scores!$A$15:$B$18,2)+Scores!$I$7*VLOOKUP(Y5,Scores!$A$15:$B$18,2)+Scores!$J$7*VLOOKUP(Z5,Scores!$A$15:$B$18,2)</f>
        <v>60</v>
      </c>
      <c r="Y6" s="6">
        <f>Scores!$L$7*VLOOKUP(W5,Scores!$A$15:$B$18,2)+Scores!$M$7*VLOOKUP(X5,Scores!$A$15:$B$18,2)+Scores!$N$7*VLOOKUP(Y5,Scores!$A$15:$B$18,2)+Scores!$O$7*VLOOKUP(Z5,Scores!$A$15:$B$18,2)</f>
        <v>48</v>
      </c>
      <c r="Z6" s="7"/>
      <c r="AA6" s="7"/>
      <c r="AB6" s="6">
        <f>Scores!$B$8*VLOOKUP(AB5,Scores!$A$15:$B$18,2)+Scores!$C$8*VLOOKUP(AC5,Scores!$A$15:$B$18,2)+Scores!$D$8*VLOOKUP(AD5,Scores!$A$15:$B$18,2)+Scores!$E$8*VLOOKUP(AE5,Scores!$A$15:$B$18,2)</f>
        <v>10</v>
      </c>
      <c r="AC6" s="6">
        <f>Scores!$G$8*VLOOKUP(AB5,Scores!$A$15:$B$18,2)+Scores!$H$8*VLOOKUP(AC5,Scores!$A$15:$B$18,2)+Scores!$I$8*VLOOKUP(AD5,Scores!$A$15:$B$18,2)+Scores!$J$8*VLOOKUP(AE5,Scores!$A$15:$B$18,2)</f>
        <v>10</v>
      </c>
      <c r="AD6" s="6">
        <f>Scores!$L$8*VLOOKUP(AB5,Scores!$A$15:$B$18,2)+Scores!$M$8*VLOOKUP(AC5,Scores!$A$15:$B$18,2)+Scores!$N$8*VLOOKUP(AD5,Scores!$A$15:$B$18,2)+Scores!$O$8*VLOOKUP(AE5,Scores!$A$15:$B$18,2)</f>
        <v>10</v>
      </c>
      <c r="AE6" s="7"/>
      <c r="AF6" s="7"/>
      <c r="AG6" s="6">
        <f>Scores!$B$9*VLOOKUP(AG5,Scores!$A$15:$B$18,2)+Scores!$C$9*VLOOKUP(AH5,Scores!$A$15:$B$18,2)+Scores!$D$9*VLOOKUP(AI5,Scores!$A$15:$B$18,2)+Scores!$E$9*VLOOKUP(AJ5,Scores!$A$15:$B$18,2)</f>
        <v>0</v>
      </c>
      <c r="AH6" s="6">
        <f>Scores!$G$9*VLOOKUP(AG5,Scores!$A$15:$B$18,2)+Scores!$H$9*VLOOKUP(AH5,Scores!$A$15:$B$18,2)+Scores!$I$9*VLOOKUP(AI5,Scores!$A$15:$B$18,2)+Scores!$J$9*VLOOKUP(AJ5,Scores!$A$15:$B$18,2)</f>
        <v>10</v>
      </c>
      <c r="AI6" s="6">
        <f>Scores!$L$9*VLOOKUP(AG5,Scores!$A$15:$B$18,2)+Scores!$M$9*VLOOKUP(AH5,Scores!$A$15:$B$18,2)+Scores!$N$9*VLOOKUP(AI5,Scores!$A$15:$B$18,2)+Scores!$O$9*VLOOKUP(AJ5,Scores!$A$15:$B$18,2)</f>
        <v>0</v>
      </c>
      <c r="AJ6" s="7"/>
      <c r="AK6" s="7"/>
      <c r="AL6" s="6">
        <f>Scores!$B$10*VLOOKUP(AL5,Scores!$A$15:$B$18,2)+Scores!$C$10*VLOOKUP(AM5,Scores!$A$15:$B$18,2)+Scores!$D$10*VLOOKUP(AN5,Scores!$A$15:$B$18,2)+Scores!$E$10*VLOOKUP(AO5,Scores!$A$15:$B$18,2)</f>
        <v>0</v>
      </c>
      <c r="AM6" s="6">
        <f>Scores!$G$10*VLOOKUP(AL5,Scores!$A$15:$B$18,2)+Scores!$H$10*VLOOKUP(AM5,Scores!$A$15:$B$18,2)+Scores!$I$10*VLOOKUP(AN5,Scores!$A$15:$B$18,2)+Scores!$J$10*VLOOKUP(AO5,Scores!$A$15:$B$18,2)</f>
        <v>0</v>
      </c>
      <c r="AN6" s="6">
        <f>Scores!$L$10*VLOOKUP(AL5,Scores!$A$15:$B$18,2)+Scores!$M$10*VLOOKUP(AM5,Scores!$A$15:$B$18,2)+Scores!$N$10*VLOOKUP(AN5,Scores!$A$15:$B$18,2)+Scores!$O$10*VLOOKUP(AO5,Scores!$A$15:$B$18,2)</f>
        <v>0</v>
      </c>
      <c r="AO6" s="7"/>
    </row>
    <row r="7" spans="1:49" x14ac:dyDescent="0.25">
      <c r="A7" t="s">
        <v>32</v>
      </c>
      <c r="B7" t="s">
        <v>26</v>
      </c>
      <c r="C7">
        <v>1</v>
      </c>
      <c r="D7">
        <v>4</v>
      </c>
      <c r="E7">
        <v>3</v>
      </c>
      <c r="F7">
        <v>2</v>
      </c>
      <c r="H7">
        <v>4</v>
      </c>
      <c r="I7">
        <v>1</v>
      </c>
      <c r="J7">
        <v>3</v>
      </c>
      <c r="K7">
        <v>2</v>
      </c>
      <c r="M7">
        <v>3</v>
      </c>
      <c r="N7">
        <v>1</v>
      </c>
      <c r="O7">
        <v>4</v>
      </c>
      <c r="P7">
        <v>2</v>
      </c>
      <c r="R7">
        <v>4</v>
      </c>
      <c r="S7">
        <v>1</v>
      </c>
      <c r="T7">
        <v>3</v>
      </c>
      <c r="U7">
        <v>2</v>
      </c>
      <c r="W7">
        <v>2</v>
      </c>
      <c r="X7">
        <v>3</v>
      </c>
      <c r="Y7">
        <v>1</v>
      </c>
      <c r="Z7">
        <v>4</v>
      </c>
      <c r="AB7">
        <v>1</v>
      </c>
      <c r="AC7">
        <v>2</v>
      </c>
      <c r="AD7">
        <v>4</v>
      </c>
      <c r="AE7">
        <v>3</v>
      </c>
      <c r="AG7">
        <v>3</v>
      </c>
      <c r="AH7">
        <v>4</v>
      </c>
      <c r="AI7">
        <v>2</v>
      </c>
      <c r="AJ7">
        <v>1</v>
      </c>
      <c r="AL7">
        <v>2</v>
      </c>
      <c r="AM7">
        <v>1</v>
      </c>
      <c r="AN7">
        <v>3</v>
      </c>
      <c r="AO7">
        <v>4</v>
      </c>
      <c r="AQ7" s="9">
        <f>((C8+H8+M8+R8+W8)-Scores!$E$15)/(Scores!$I$15-Scores!$E$15)</f>
        <v>0.78448275862068961</v>
      </c>
      <c r="AR7" s="9">
        <f>((D8+I8+N8+S8+X8)-Scores!$E$16)/(Scores!$I$16-Scores!$E$16)</f>
        <v>0.4689655172413793</v>
      </c>
      <c r="AS7" s="9">
        <f>((E8+J8+O8+T8+Y8)-Scores!$E$17)/(Scores!$I$17-Scores!$E$17)</f>
        <v>0.32758620689655171</v>
      </c>
      <c r="AT7" s="9"/>
      <c r="AU7" s="9">
        <f>((AB8+AG8+AL8)-Scores!$F$15)/(Scores!$J$15-Scores!$F$15)</f>
        <v>1</v>
      </c>
      <c r="AV7" s="9">
        <f>((AC8+AH8+AM8)-Scores!$F$16)/(Scores!$J$16-Scores!$F$16)</f>
        <v>0.96551724137931039</v>
      </c>
      <c r="AW7" s="9">
        <f>((AD8+AI8+AN8)-Scores!$F$17)/(Scores!$J$17-Scores!$F$17)</f>
        <v>0.51724137931034486</v>
      </c>
    </row>
    <row r="8" spans="1:49" s="5" customFormat="1" ht="11.25" x14ac:dyDescent="0.2">
      <c r="C8" s="6">
        <f>Scores!$B$3*VLOOKUP(C7,Scores!$A$15:$B$18,2)+Scores!$C$3*VLOOKUP(D7,Scores!$A$15:$B$18,2)+Scores!$D$3*VLOOKUP(E7,Scores!$A$15:$B$18,2)+Scores!$E$3*VLOOKUP(F7,Scores!$A$15:$B$18,2)</f>
        <v>0</v>
      </c>
      <c r="D8" s="6">
        <f>Scores!$G$3*VLOOKUP(C7,Scores!$A$15:$B$18,2)+Scores!$H$3*VLOOKUP(D7,Scores!$A$15:$B$18,2)+Scores!$I$3*VLOOKUP(E7,Scores!$A$15:$B$18,2)+Scores!$J$3*VLOOKUP(F7,Scores!$A$15:$B$18,2)</f>
        <v>62</v>
      </c>
      <c r="E8" s="6">
        <f>Scores!$L$3*VLOOKUP(C7,Scores!$A$15:$B$18,2)+Scores!$M$3*VLOOKUP(D7,Scores!$A$15:$B$18,2)+Scores!$N$3*VLOOKUP(E7,Scores!$A$15:$B$18,2)+Scores!$O$3*VLOOKUP(F7,Scores!$A$15:$B$18,2)</f>
        <v>0</v>
      </c>
      <c r="F8" s="7"/>
      <c r="G8" s="7"/>
      <c r="H8" s="6">
        <f>Scores!$B$4*VLOOKUP(H7,Scores!$A$15:$B$18,2)+Scores!$C$4*VLOOKUP(I7,Scores!$A$15:$B$18,2)+Scores!$D$4*VLOOKUP(J7,Scores!$A$15:$B$18,2)+Scores!$E$4*VLOOKUP(K7,Scores!$A$15:$B$18,2)</f>
        <v>60</v>
      </c>
      <c r="I8" s="6">
        <f>Scores!$G$4*VLOOKUP(H7,Scores!$A$15:$B$18,2)+Scores!$H$4*VLOOKUP(I7,Scores!$A$15:$B$18,2)+Scores!$I$4*VLOOKUP(J7,Scores!$A$15:$B$18,2)+Scores!$J$4*VLOOKUP(K7,Scores!$A$15:$B$18,2)</f>
        <v>35</v>
      </c>
      <c r="J8" s="6">
        <f>Scores!$L$4*VLOOKUP(H7,Scores!$A$15:$B$18,2)+Scores!$M$4*VLOOKUP(I7,Scores!$A$15:$B$18,2)+Scores!$N$4*VLOOKUP(J7,Scores!$A$15:$B$18,2)+Scores!$O$4*VLOOKUP(K7,Scores!$A$15:$B$18,2)</f>
        <v>0</v>
      </c>
      <c r="K8" s="7"/>
      <c r="L8" s="7"/>
      <c r="M8" s="6">
        <f>Scores!$B$5*VLOOKUP(M7,Scores!$A$15:$B$18,2)+Scores!$C$5*VLOOKUP(N7,Scores!$A$15:$B$18,2)+Scores!$D$5*VLOOKUP(O7,Scores!$A$15:$B$18,2)+Scores!$E$5*VLOOKUP(P7,Scores!$A$15:$B$18,2)</f>
        <v>62</v>
      </c>
      <c r="N8" s="6">
        <f>Scores!$G$5*VLOOKUP(M7,Scores!$A$15:$B$18,2)+Scores!$H$5*VLOOKUP(N7,Scores!$A$15:$B$18,2)+Scores!$I$5*VLOOKUP(O7,Scores!$A$15:$B$18,2)+Scores!$J$5*VLOOKUP(P7,Scores!$A$15:$B$18,2)</f>
        <v>39</v>
      </c>
      <c r="O8" s="6">
        <f>Scores!$L$5*VLOOKUP(M7,Scores!$A$15:$B$18,2)+Scores!$M$5*VLOOKUP(N7,Scores!$A$15:$B$18,2)+Scores!$N$5*VLOOKUP(O7,Scores!$A$15:$B$18,2)+Scores!$O$5*VLOOKUP(P7,Scores!$A$15:$B$18,2)</f>
        <v>0</v>
      </c>
      <c r="P8" s="7"/>
      <c r="Q8" s="7"/>
      <c r="R8" s="6">
        <f>Scores!$B$6*VLOOKUP(R7,Scores!$A$15:$B$18,2)+Scores!$C$6*VLOOKUP(S7,Scores!$A$15:$B$18,2)+Scores!$D$6*VLOOKUP(T7,Scores!$A$15:$B$18,2)+Scores!$E$6*VLOOKUP(U7,Scores!$A$15:$B$18,2)</f>
        <v>39</v>
      </c>
      <c r="S8" s="6">
        <f>Scores!$G$6*VLOOKUP(R7,Scores!$A$15:$B$18,2)+Scores!$H$6*VLOOKUP(S7,Scores!$A$15:$B$18,2)+Scores!$I$6*VLOOKUP(T7,Scores!$A$15:$B$18,2)+Scores!$J$6*VLOOKUP(U7,Scores!$A$15:$B$18,2)</f>
        <v>35</v>
      </c>
      <c r="T8" s="6">
        <f>Scores!$L$6*VLOOKUP(R7,Scores!$A$15:$B$18,2)+Scores!$M$6*VLOOKUP(S7,Scores!$A$15:$B$18,2)+Scores!$N$6*VLOOKUP(T7,Scores!$A$15:$B$18,2)+Scores!$O$6*VLOOKUP(U7,Scores!$A$15:$B$18,2)</f>
        <v>35</v>
      </c>
      <c r="U8" s="7"/>
      <c r="V8" s="7"/>
      <c r="W8" s="6">
        <f>Scores!$B$7*VLOOKUP(W7,Scores!$A$15:$B$18,2)+Scores!$C$7*VLOOKUP(X7,Scores!$A$15:$B$18,2)+Scores!$D$7*VLOOKUP(Y7,Scores!$A$15:$B$18,2)+Scores!$E$7*VLOOKUP(Z7,Scores!$A$15:$B$18,2)</f>
        <v>62</v>
      </c>
      <c r="X8" s="6">
        <f>Scores!$G$7*VLOOKUP(W7,Scores!$A$15:$B$18,2)+Scores!$H$7*VLOOKUP(X7,Scores!$A$15:$B$18,2)+Scores!$I$7*VLOOKUP(Y7,Scores!$A$15:$B$18,2)+Scores!$J$7*VLOOKUP(Z7,Scores!$A$15:$B$18,2)</f>
        <v>62</v>
      </c>
      <c r="Y8" s="6">
        <f>Scores!$L$7*VLOOKUP(W7,Scores!$A$15:$B$18,2)+Scores!$M$7*VLOOKUP(X7,Scores!$A$15:$B$18,2)+Scores!$N$7*VLOOKUP(Y7,Scores!$A$15:$B$18,2)+Scores!$O$7*VLOOKUP(Z7,Scores!$A$15:$B$18,2)</f>
        <v>50</v>
      </c>
      <c r="Z8" s="7"/>
      <c r="AA8" s="7"/>
      <c r="AB8" s="6">
        <f>Scores!$B$8*VLOOKUP(AB7,Scores!$A$15:$B$18,2)+Scores!$C$8*VLOOKUP(AC7,Scores!$A$15:$B$18,2)+Scores!$D$8*VLOOKUP(AD7,Scores!$A$15:$B$18,2)+Scores!$E$8*VLOOKUP(AE7,Scores!$A$15:$B$18,2)</f>
        <v>62</v>
      </c>
      <c r="AC8" s="6">
        <f>Scores!$G$8*VLOOKUP(AB7,Scores!$A$15:$B$18,2)+Scores!$H$8*VLOOKUP(AC7,Scores!$A$15:$B$18,2)+Scores!$I$8*VLOOKUP(AD7,Scores!$A$15:$B$18,2)+Scores!$J$8*VLOOKUP(AE7,Scores!$A$15:$B$18,2)</f>
        <v>60</v>
      </c>
      <c r="AD8" s="6">
        <f>Scores!$L$8*VLOOKUP(AB7,Scores!$A$15:$B$18,2)+Scores!$M$8*VLOOKUP(AC7,Scores!$A$15:$B$18,2)+Scores!$N$8*VLOOKUP(AD7,Scores!$A$15:$B$18,2)+Scores!$O$8*VLOOKUP(AE7,Scores!$A$15:$B$18,2)</f>
        <v>48</v>
      </c>
      <c r="AE8" s="7"/>
      <c r="AF8" s="7"/>
      <c r="AG8" s="6">
        <f>Scores!$B$9*VLOOKUP(AG7,Scores!$A$15:$B$18,2)+Scores!$C$9*VLOOKUP(AH7,Scores!$A$15:$B$18,2)+Scores!$D$9*VLOOKUP(AI7,Scores!$A$15:$B$18,2)+Scores!$E$9*VLOOKUP(AJ7,Scores!$A$15:$B$18,2)</f>
        <v>0</v>
      </c>
      <c r="AH8" s="6">
        <f>Scores!$G$9*VLOOKUP(AG7,Scores!$A$15:$B$18,2)+Scores!$H$9*VLOOKUP(AH7,Scores!$A$15:$B$18,2)+Scores!$I$9*VLOOKUP(AI7,Scores!$A$15:$B$18,2)+Scores!$J$9*VLOOKUP(AJ7,Scores!$A$15:$B$18,2)</f>
        <v>62</v>
      </c>
      <c r="AI8" s="6">
        <f>Scores!$L$9*VLOOKUP(AG7,Scores!$A$15:$B$18,2)+Scores!$M$9*VLOOKUP(AH7,Scores!$A$15:$B$18,2)+Scores!$N$9*VLOOKUP(AI7,Scores!$A$15:$B$18,2)+Scores!$O$9*VLOOKUP(AJ7,Scores!$A$15:$B$18,2)</f>
        <v>0</v>
      </c>
      <c r="AJ8" s="7"/>
      <c r="AK8" s="7"/>
      <c r="AL8" s="6">
        <f>Scores!$B$10*VLOOKUP(AL7,Scores!$A$15:$B$18,2)+Scores!$C$10*VLOOKUP(AM7,Scores!$A$15:$B$18,2)+Scores!$D$10*VLOOKUP(AN7,Scores!$A$15:$B$18,2)+Scores!$E$10*VLOOKUP(AO7,Scores!$A$15:$B$18,2)</f>
        <v>0</v>
      </c>
      <c r="AM8" s="6">
        <f>Scores!$G$10*VLOOKUP(AL7,Scores!$A$15:$B$18,2)+Scores!$H$10*VLOOKUP(AM7,Scores!$A$15:$B$18,2)+Scores!$I$10*VLOOKUP(AN7,Scores!$A$15:$B$18,2)+Scores!$J$10*VLOOKUP(AO7,Scores!$A$15:$B$18,2)</f>
        <v>0</v>
      </c>
      <c r="AN8" s="6">
        <f>Scores!$L$10*VLOOKUP(AL7,Scores!$A$15:$B$18,2)+Scores!$M$10*VLOOKUP(AM7,Scores!$A$15:$B$18,2)+Scores!$N$10*VLOOKUP(AN7,Scores!$A$15:$B$18,2)+Scores!$O$10*VLOOKUP(AO7,Scores!$A$15:$B$18,2)</f>
        <v>0</v>
      </c>
      <c r="AO8" s="7"/>
    </row>
    <row r="9" spans="1:49" x14ac:dyDescent="0.25">
      <c r="A9" t="s">
        <v>49</v>
      </c>
      <c r="B9" t="s">
        <v>15</v>
      </c>
      <c r="C9">
        <v>1</v>
      </c>
      <c r="D9">
        <v>4</v>
      </c>
      <c r="E9">
        <v>3</v>
      </c>
      <c r="F9">
        <v>2</v>
      </c>
      <c r="H9">
        <v>4</v>
      </c>
      <c r="I9">
        <v>1</v>
      </c>
      <c r="J9">
        <v>3</v>
      </c>
      <c r="K9">
        <v>2</v>
      </c>
      <c r="M9">
        <v>3</v>
      </c>
      <c r="N9">
        <v>1</v>
      </c>
      <c r="O9">
        <v>4</v>
      </c>
      <c r="P9">
        <v>2</v>
      </c>
      <c r="R9">
        <v>3</v>
      </c>
      <c r="S9">
        <v>1</v>
      </c>
      <c r="T9">
        <v>4</v>
      </c>
      <c r="U9">
        <v>2</v>
      </c>
      <c r="W9">
        <v>2</v>
      </c>
      <c r="X9">
        <v>3</v>
      </c>
      <c r="Y9">
        <v>1</v>
      </c>
      <c r="Z9">
        <v>4</v>
      </c>
      <c r="AB9">
        <v>1</v>
      </c>
      <c r="AC9">
        <v>2</v>
      </c>
      <c r="AD9">
        <v>4</v>
      </c>
      <c r="AE9">
        <v>3</v>
      </c>
      <c r="AG9">
        <v>3</v>
      </c>
      <c r="AH9">
        <v>4</v>
      </c>
      <c r="AI9">
        <v>2</v>
      </c>
      <c r="AJ9">
        <v>1</v>
      </c>
      <c r="AL9">
        <v>2</v>
      </c>
      <c r="AM9">
        <v>1</v>
      </c>
      <c r="AN9">
        <v>4</v>
      </c>
      <c r="AO9">
        <v>3</v>
      </c>
      <c r="AQ9" s="9">
        <f>((C10+H10+M10+R10+W10)-Scores!$E$15)/(Scores!$I$15-Scores!$E$15)</f>
        <v>0.80172413793103448</v>
      </c>
      <c r="AR9" s="9">
        <f>((D10+I10+N10+S10+X10)-Scores!$E$16)/(Scores!$I$16-Scores!$E$16)</f>
        <v>0.49655172413793103</v>
      </c>
      <c r="AS9" s="9">
        <f>((E10+J10+O10+T10+Y10)-Scores!$E$17)/(Scores!$I$17-Scores!$E$17)</f>
        <v>0.29310344827586204</v>
      </c>
      <c r="AT9" s="9"/>
      <c r="AU9" s="9">
        <f>((AB10+AG10+AL10)-Scores!$F$15)/(Scores!$J$15-Scores!$F$15)</f>
        <v>1</v>
      </c>
      <c r="AV9" s="9">
        <f>((AC10+AH10+AM10)-Scores!$F$16)/(Scores!$J$16-Scores!$F$16)</f>
        <v>0.96551724137931039</v>
      </c>
      <c r="AW9" s="9">
        <f>((AD10+AI10+AN10)-Scores!$F$17)/(Scores!$J$17-Scores!$F$17)</f>
        <v>0.51724137931034486</v>
      </c>
    </row>
    <row r="10" spans="1:49" s="5" customFormat="1" ht="11.25" x14ac:dyDescent="0.2">
      <c r="C10" s="6">
        <f>Scores!$B$3*VLOOKUP(C9,Scores!$A$15:$B$18,2)+Scores!$C$3*VLOOKUP(D9,Scores!$A$15:$B$18,2)+Scores!$D$3*VLOOKUP(E9,Scores!$A$15:$B$18,2)+Scores!$E$3*VLOOKUP(F9,Scores!$A$15:$B$18,2)</f>
        <v>0</v>
      </c>
      <c r="D10" s="6">
        <f>Scores!$G$3*VLOOKUP(C9,Scores!$A$15:$B$18,2)+Scores!$H$3*VLOOKUP(D9,Scores!$A$15:$B$18,2)+Scores!$I$3*VLOOKUP(E9,Scores!$A$15:$B$18,2)+Scores!$J$3*VLOOKUP(F9,Scores!$A$15:$B$18,2)</f>
        <v>62</v>
      </c>
      <c r="E10" s="6">
        <f>Scores!$L$3*VLOOKUP(C9,Scores!$A$15:$B$18,2)+Scores!$M$3*VLOOKUP(D9,Scores!$A$15:$B$18,2)+Scores!$N$3*VLOOKUP(E9,Scores!$A$15:$B$18,2)+Scores!$O$3*VLOOKUP(F9,Scores!$A$15:$B$18,2)</f>
        <v>0</v>
      </c>
      <c r="F10" s="7"/>
      <c r="G10" s="7"/>
      <c r="H10" s="6">
        <f>Scores!$B$4*VLOOKUP(H9,Scores!$A$15:$B$18,2)+Scores!$C$4*VLOOKUP(I9,Scores!$A$15:$B$18,2)+Scores!$D$4*VLOOKUP(J9,Scores!$A$15:$B$18,2)+Scores!$E$4*VLOOKUP(K9,Scores!$A$15:$B$18,2)</f>
        <v>60</v>
      </c>
      <c r="I10" s="6">
        <f>Scores!$G$4*VLOOKUP(H9,Scores!$A$15:$B$18,2)+Scores!$H$4*VLOOKUP(I9,Scores!$A$15:$B$18,2)+Scores!$I$4*VLOOKUP(J9,Scores!$A$15:$B$18,2)+Scores!$J$4*VLOOKUP(K9,Scores!$A$15:$B$18,2)</f>
        <v>35</v>
      </c>
      <c r="J10" s="6">
        <f>Scores!$L$4*VLOOKUP(H9,Scores!$A$15:$B$18,2)+Scores!$M$4*VLOOKUP(I9,Scores!$A$15:$B$18,2)+Scores!$N$4*VLOOKUP(J9,Scores!$A$15:$B$18,2)+Scores!$O$4*VLOOKUP(K9,Scores!$A$15:$B$18,2)</f>
        <v>0</v>
      </c>
      <c r="K10" s="7"/>
      <c r="L10" s="7"/>
      <c r="M10" s="6">
        <f>Scores!$B$5*VLOOKUP(M9,Scores!$A$15:$B$18,2)+Scores!$C$5*VLOOKUP(N9,Scores!$A$15:$B$18,2)+Scores!$D$5*VLOOKUP(O9,Scores!$A$15:$B$18,2)+Scores!$E$5*VLOOKUP(P9,Scores!$A$15:$B$18,2)</f>
        <v>62</v>
      </c>
      <c r="N10" s="6">
        <f>Scores!$G$5*VLOOKUP(M9,Scores!$A$15:$B$18,2)+Scores!$H$5*VLOOKUP(N9,Scores!$A$15:$B$18,2)+Scores!$I$5*VLOOKUP(O9,Scores!$A$15:$B$18,2)+Scores!$J$5*VLOOKUP(P9,Scores!$A$15:$B$18,2)</f>
        <v>39</v>
      </c>
      <c r="O10" s="6">
        <f>Scores!$L$5*VLOOKUP(M9,Scores!$A$15:$B$18,2)+Scores!$M$5*VLOOKUP(N9,Scores!$A$15:$B$18,2)+Scores!$N$5*VLOOKUP(O9,Scores!$A$15:$B$18,2)+Scores!$O$5*VLOOKUP(P9,Scores!$A$15:$B$18,2)</f>
        <v>0</v>
      </c>
      <c r="P10" s="7"/>
      <c r="Q10" s="7"/>
      <c r="R10" s="6">
        <f>Scores!$B$6*VLOOKUP(R9,Scores!$A$15:$B$18,2)+Scores!$C$6*VLOOKUP(S9,Scores!$A$15:$B$18,2)+Scores!$D$6*VLOOKUP(T9,Scores!$A$15:$B$18,2)+Scores!$E$6*VLOOKUP(U9,Scores!$A$15:$B$18,2)</f>
        <v>41</v>
      </c>
      <c r="S10" s="6">
        <f>Scores!$G$6*VLOOKUP(R9,Scores!$A$15:$B$18,2)+Scores!$H$6*VLOOKUP(S9,Scores!$A$15:$B$18,2)+Scores!$I$6*VLOOKUP(T9,Scores!$A$15:$B$18,2)+Scores!$J$6*VLOOKUP(U9,Scores!$A$15:$B$18,2)</f>
        <v>39</v>
      </c>
      <c r="T10" s="6">
        <f>Scores!$L$6*VLOOKUP(R9,Scores!$A$15:$B$18,2)+Scores!$M$6*VLOOKUP(S9,Scores!$A$15:$B$18,2)+Scores!$N$6*VLOOKUP(T9,Scores!$A$15:$B$18,2)+Scores!$O$6*VLOOKUP(U9,Scores!$A$15:$B$18,2)</f>
        <v>33</v>
      </c>
      <c r="U10" s="7"/>
      <c r="V10" s="7"/>
      <c r="W10" s="6">
        <f>Scores!$B$7*VLOOKUP(W9,Scores!$A$15:$B$18,2)+Scores!$C$7*VLOOKUP(X9,Scores!$A$15:$B$18,2)+Scores!$D$7*VLOOKUP(Y9,Scores!$A$15:$B$18,2)+Scores!$E$7*VLOOKUP(Z9,Scores!$A$15:$B$18,2)</f>
        <v>62</v>
      </c>
      <c r="X10" s="6">
        <f>Scores!$G$7*VLOOKUP(W9,Scores!$A$15:$B$18,2)+Scores!$H$7*VLOOKUP(X9,Scores!$A$15:$B$18,2)+Scores!$I$7*VLOOKUP(Y9,Scores!$A$15:$B$18,2)+Scores!$J$7*VLOOKUP(Z9,Scores!$A$15:$B$18,2)</f>
        <v>62</v>
      </c>
      <c r="Y10" s="6">
        <f>Scores!$L$7*VLOOKUP(W9,Scores!$A$15:$B$18,2)+Scores!$M$7*VLOOKUP(X9,Scores!$A$15:$B$18,2)+Scores!$N$7*VLOOKUP(Y9,Scores!$A$15:$B$18,2)+Scores!$O$7*VLOOKUP(Z9,Scores!$A$15:$B$18,2)</f>
        <v>50</v>
      </c>
      <c r="Z10" s="7"/>
      <c r="AA10" s="7"/>
      <c r="AB10" s="6">
        <f>Scores!$B$8*VLOOKUP(AB9,Scores!$A$15:$B$18,2)+Scores!$C$8*VLOOKUP(AC9,Scores!$A$15:$B$18,2)+Scores!$D$8*VLOOKUP(AD9,Scores!$A$15:$B$18,2)+Scores!$E$8*VLOOKUP(AE9,Scores!$A$15:$B$18,2)</f>
        <v>62</v>
      </c>
      <c r="AC10" s="6">
        <f>Scores!$G$8*VLOOKUP(AB9,Scores!$A$15:$B$18,2)+Scores!$H$8*VLOOKUP(AC9,Scores!$A$15:$B$18,2)+Scores!$I$8*VLOOKUP(AD9,Scores!$A$15:$B$18,2)+Scores!$J$8*VLOOKUP(AE9,Scores!$A$15:$B$18,2)</f>
        <v>60</v>
      </c>
      <c r="AD10" s="6">
        <f>Scores!$L$8*VLOOKUP(AB9,Scores!$A$15:$B$18,2)+Scores!$M$8*VLOOKUP(AC9,Scores!$A$15:$B$18,2)+Scores!$N$8*VLOOKUP(AD9,Scores!$A$15:$B$18,2)+Scores!$O$8*VLOOKUP(AE9,Scores!$A$15:$B$18,2)</f>
        <v>48</v>
      </c>
      <c r="AE10" s="7"/>
      <c r="AF10" s="7"/>
      <c r="AG10" s="6">
        <f>Scores!$B$9*VLOOKUP(AG9,Scores!$A$15:$B$18,2)+Scores!$C$9*VLOOKUP(AH9,Scores!$A$15:$B$18,2)+Scores!$D$9*VLOOKUP(AI9,Scores!$A$15:$B$18,2)+Scores!$E$9*VLOOKUP(AJ9,Scores!$A$15:$B$18,2)</f>
        <v>0</v>
      </c>
      <c r="AH10" s="6">
        <f>Scores!$G$9*VLOOKUP(AG9,Scores!$A$15:$B$18,2)+Scores!$H$9*VLOOKUP(AH9,Scores!$A$15:$B$18,2)+Scores!$I$9*VLOOKUP(AI9,Scores!$A$15:$B$18,2)+Scores!$J$9*VLOOKUP(AJ9,Scores!$A$15:$B$18,2)</f>
        <v>62</v>
      </c>
      <c r="AI10" s="6">
        <f>Scores!$L$9*VLOOKUP(AG9,Scores!$A$15:$B$18,2)+Scores!$M$9*VLOOKUP(AH9,Scores!$A$15:$B$18,2)+Scores!$N$9*VLOOKUP(AI9,Scores!$A$15:$B$18,2)+Scores!$O$9*VLOOKUP(AJ9,Scores!$A$15:$B$18,2)</f>
        <v>0</v>
      </c>
      <c r="AJ10" s="7"/>
      <c r="AK10" s="7"/>
      <c r="AL10" s="6">
        <f>Scores!$B$10*VLOOKUP(AL9,Scores!$A$15:$B$18,2)+Scores!$C$10*VLOOKUP(AM9,Scores!$A$15:$B$18,2)+Scores!$D$10*VLOOKUP(AN9,Scores!$A$15:$B$18,2)+Scores!$E$10*VLOOKUP(AO9,Scores!$A$15:$B$18,2)</f>
        <v>0</v>
      </c>
      <c r="AM10" s="6">
        <f>Scores!$G$10*VLOOKUP(AL9,Scores!$A$15:$B$18,2)+Scores!$H$10*VLOOKUP(AM9,Scores!$A$15:$B$18,2)+Scores!$I$10*VLOOKUP(AN9,Scores!$A$15:$B$18,2)+Scores!$J$10*VLOOKUP(AO9,Scores!$A$15:$B$18,2)</f>
        <v>0</v>
      </c>
      <c r="AN10" s="6">
        <f>Scores!$L$10*VLOOKUP(AL9,Scores!$A$15:$B$18,2)+Scores!$M$10*VLOOKUP(AM9,Scores!$A$15:$B$18,2)+Scores!$N$10*VLOOKUP(AN9,Scores!$A$15:$B$18,2)+Scores!$O$10*VLOOKUP(AO9,Scores!$A$15:$B$18,2)</f>
        <v>0</v>
      </c>
      <c r="AO10" s="7"/>
    </row>
    <row r="11" spans="1:49" x14ac:dyDescent="0.25">
      <c r="A11" t="s">
        <v>50</v>
      </c>
      <c r="B11" t="s">
        <v>37</v>
      </c>
      <c r="C11">
        <v>1</v>
      </c>
      <c r="D11">
        <v>4</v>
      </c>
      <c r="E11">
        <v>3</v>
      </c>
      <c r="F11">
        <v>2</v>
      </c>
      <c r="H11">
        <v>3</v>
      </c>
      <c r="I11">
        <v>1</v>
      </c>
      <c r="J11">
        <v>4</v>
      </c>
      <c r="K11">
        <v>2</v>
      </c>
      <c r="M11">
        <v>3</v>
      </c>
      <c r="N11">
        <v>2</v>
      </c>
      <c r="O11">
        <v>4</v>
      </c>
      <c r="P11">
        <v>1</v>
      </c>
      <c r="R11">
        <v>3</v>
      </c>
      <c r="S11">
        <v>2</v>
      </c>
      <c r="T11">
        <v>4</v>
      </c>
      <c r="U11">
        <v>1</v>
      </c>
      <c r="W11">
        <v>2</v>
      </c>
      <c r="X11">
        <v>3</v>
      </c>
      <c r="Y11">
        <v>1</v>
      </c>
      <c r="Z11">
        <v>4</v>
      </c>
      <c r="AB11">
        <v>1</v>
      </c>
      <c r="AC11">
        <v>3</v>
      </c>
      <c r="AD11">
        <v>4</v>
      </c>
      <c r="AE11">
        <v>2</v>
      </c>
      <c r="AG11">
        <v>2</v>
      </c>
      <c r="AH11">
        <v>3</v>
      </c>
      <c r="AI11">
        <v>4</v>
      </c>
      <c r="AJ11">
        <v>1</v>
      </c>
      <c r="AL11">
        <v>3</v>
      </c>
      <c r="AM11">
        <v>1</v>
      </c>
      <c r="AN11">
        <v>2</v>
      </c>
      <c r="AO11">
        <v>4</v>
      </c>
      <c r="AQ11" s="9">
        <f>((C12+H12+M12+R12+W12)-Scores!$E$15)/(Scores!$I$15-Scores!$E$15)</f>
        <v>0.85344827586206895</v>
      </c>
      <c r="AR11" s="9">
        <f>((D12+I12+N12+S12+X12)-Scores!$E$16)/(Scores!$I$16-Scores!$E$16)</f>
        <v>0.66206896551724137</v>
      </c>
      <c r="AS11" s="9">
        <f>((E12+J12+O12+T12+Y12)-Scores!$E$17)/(Scores!$I$17-Scores!$E$17)</f>
        <v>0.37931034482758619</v>
      </c>
      <c r="AT11" s="9"/>
      <c r="AU11" s="9">
        <f>((AB12+AG12+AL12)-Scores!$F$15)/(Scores!$J$15-Scores!$F$15)</f>
        <v>0.93103448275862066</v>
      </c>
      <c r="AV11" s="9">
        <f>((AC12+AH12+AM12)-Scores!$F$16)/(Scores!$J$16-Scores!$F$16)</f>
        <v>0.89655172413793105</v>
      </c>
      <c r="AW11" s="9">
        <f>((AD12+AI12+AN12)-Scores!$F$17)/(Scores!$J$17-Scores!$F$17)</f>
        <v>0.58620689655172409</v>
      </c>
    </row>
    <row r="12" spans="1:49" s="5" customFormat="1" ht="11.25" x14ac:dyDescent="0.2">
      <c r="C12" s="6">
        <f>Scores!$B$3*VLOOKUP(C11,Scores!$A$15:$B$18,2)+Scores!$C$3*VLOOKUP(D11,Scores!$A$15:$B$18,2)+Scores!$D$3*VLOOKUP(E11,Scores!$A$15:$B$18,2)+Scores!$E$3*VLOOKUP(F11,Scores!$A$15:$B$18,2)</f>
        <v>0</v>
      </c>
      <c r="D12" s="6">
        <f>Scores!$G$3*VLOOKUP(C11,Scores!$A$15:$B$18,2)+Scores!$H$3*VLOOKUP(D11,Scores!$A$15:$B$18,2)+Scores!$I$3*VLOOKUP(E11,Scores!$A$15:$B$18,2)+Scores!$J$3*VLOOKUP(F11,Scores!$A$15:$B$18,2)</f>
        <v>62</v>
      </c>
      <c r="E12" s="6">
        <f>Scores!$L$3*VLOOKUP(C11,Scores!$A$15:$B$18,2)+Scores!$M$3*VLOOKUP(D11,Scores!$A$15:$B$18,2)+Scores!$N$3*VLOOKUP(E11,Scores!$A$15:$B$18,2)+Scores!$O$3*VLOOKUP(F11,Scores!$A$15:$B$18,2)</f>
        <v>0</v>
      </c>
      <c r="F12" s="7"/>
      <c r="G12" s="7"/>
      <c r="H12" s="6">
        <f>Scores!$B$4*VLOOKUP(H11,Scores!$A$15:$B$18,2)+Scores!$C$4*VLOOKUP(I11,Scores!$A$15:$B$18,2)+Scores!$D$4*VLOOKUP(J11,Scores!$A$15:$B$18,2)+Scores!$E$4*VLOOKUP(K11,Scores!$A$15:$B$18,2)</f>
        <v>56</v>
      </c>
      <c r="I12" s="6">
        <f>Scores!$G$4*VLOOKUP(H11,Scores!$A$15:$B$18,2)+Scores!$H$4*VLOOKUP(I11,Scores!$A$15:$B$18,2)+Scores!$I$4*VLOOKUP(J11,Scores!$A$15:$B$18,2)+Scores!$J$4*VLOOKUP(K11,Scores!$A$15:$B$18,2)</f>
        <v>39</v>
      </c>
      <c r="J12" s="6">
        <f>Scores!$L$4*VLOOKUP(H11,Scores!$A$15:$B$18,2)+Scores!$M$4*VLOOKUP(I11,Scores!$A$15:$B$18,2)+Scores!$N$4*VLOOKUP(J11,Scores!$A$15:$B$18,2)+Scores!$O$4*VLOOKUP(K11,Scores!$A$15:$B$18,2)</f>
        <v>0</v>
      </c>
      <c r="K12" s="7"/>
      <c r="L12" s="7"/>
      <c r="M12" s="6">
        <f>Scores!$B$5*VLOOKUP(M11,Scores!$A$15:$B$18,2)+Scores!$C$5*VLOOKUP(N11,Scores!$A$15:$B$18,2)+Scores!$D$5*VLOOKUP(O11,Scores!$A$15:$B$18,2)+Scores!$E$5*VLOOKUP(P11,Scores!$A$15:$B$18,2)</f>
        <v>57</v>
      </c>
      <c r="N12" s="6">
        <f>Scores!$G$5*VLOOKUP(M11,Scores!$A$15:$B$18,2)+Scores!$H$5*VLOOKUP(N11,Scores!$A$15:$B$18,2)+Scores!$I$5*VLOOKUP(O11,Scores!$A$15:$B$18,2)+Scores!$J$5*VLOOKUP(P11,Scores!$A$15:$B$18,2)</f>
        <v>49</v>
      </c>
      <c r="O12" s="6">
        <f>Scores!$L$5*VLOOKUP(M11,Scores!$A$15:$B$18,2)+Scores!$M$5*VLOOKUP(N11,Scores!$A$15:$B$18,2)+Scores!$N$5*VLOOKUP(O11,Scores!$A$15:$B$18,2)+Scores!$O$5*VLOOKUP(P11,Scores!$A$15:$B$18,2)</f>
        <v>0</v>
      </c>
      <c r="P12" s="7"/>
      <c r="Q12" s="7"/>
      <c r="R12" s="6">
        <f>Scores!$B$6*VLOOKUP(R11,Scores!$A$15:$B$18,2)+Scores!$C$6*VLOOKUP(S11,Scores!$A$15:$B$18,2)+Scores!$D$6*VLOOKUP(T11,Scores!$A$15:$B$18,2)+Scores!$E$6*VLOOKUP(U11,Scores!$A$15:$B$18,2)</f>
        <v>56</v>
      </c>
      <c r="S12" s="6">
        <f>Scores!$G$6*VLOOKUP(R11,Scores!$A$15:$B$18,2)+Scores!$H$6*VLOOKUP(S11,Scores!$A$15:$B$18,2)+Scores!$I$6*VLOOKUP(T11,Scores!$A$15:$B$18,2)+Scores!$J$6*VLOOKUP(U11,Scores!$A$15:$B$18,2)</f>
        <v>49</v>
      </c>
      <c r="T12" s="6">
        <f>Scores!$L$6*VLOOKUP(R11,Scores!$A$15:$B$18,2)+Scores!$M$6*VLOOKUP(S11,Scores!$A$15:$B$18,2)+Scores!$N$6*VLOOKUP(T11,Scores!$A$15:$B$18,2)+Scores!$O$6*VLOOKUP(U11,Scores!$A$15:$B$18,2)</f>
        <v>38</v>
      </c>
      <c r="U12" s="7"/>
      <c r="V12" s="7"/>
      <c r="W12" s="6">
        <f>Scores!$B$7*VLOOKUP(W11,Scores!$A$15:$B$18,2)+Scores!$C$7*VLOOKUP(X11,Scores!$A$15:$B$18,2)+Scores!$D$7*VLOOKUP(Y11,Scores!$A$15:$B$18,2)+Scores!$E$7*VLOOKUP(Z11,Scores!$A$15:$B$18,2)</f>
        <v>62</v>
      </c>
      <c r="X12" s="6">
        <f>Scores!$G$7*VLOOKUP(W11,Scores!$A$15:$B$18,2)+Scores!$H$7*VLOOKUP(X11,Scores!$A$15:$B$18,2)+Scores!$I$7*VLOOKUP(Y11,Scores!$A$15:$B$18,2)+Scores!$J$7*VLOOKUP(Z11,Scores!$A$15:$B$18,2)</f>
        <v>62</v>
      </c>
      <c r="Y12" s="6">
        <f>Scores!$L$7*VLOOKUP(W11,Scores!$A$15:$B$18,2)+Scores!$M$7*VLOOKUP(X11,Scores!$A$15:$B$18,2)+Scores!$N$7*VLOOKUP(Y11,Scores!$A$15:$B$18,2)+Scores!$O$7*VLOOKUP(Z11,Scores!$A$15:$B$18,2)</f>
        <v>50</v>
      </c>
      <c r="Z12" s="7"/>
      <c r="AA12" s="7"/>
      <c r="AB12" s="6">
        <f>Scores!$B$8*VLOOKUP(AB11,Scores!$A$15:$B$18,2)+Scores!$C$8*VLOOKUP(AC11,Scores!$A$15:$B$18,2)+Scores!$D$8*VLOOKUP(AD11,Scores!$A$15:$B$18,2)+Scores!$E$8*VLOOKUP(AE11,Scores!$A$15:$B$18,2)</f>
        <v>60</v>
      </c>
      <c r="AC12" s="6">
        <f>Scores!$G$8*VLOOKUP(AB11,Scores!$A$15:$B$18,2)+Scores!$H$8*VLOOKUP(AC11,Scores!$A$15:$B$18,2)+Scores!$I$8*VLOOKUP(AD11,Scores!$A$15:$B$18,2)+Scores!$J$8*VLOOKUP(AE11,Scores!$A$15:$B$18,2)</f>
        <v>62</v>
      </c>
      <c r="AD12" s="6">
        <f>Scores!$L$8*VLOOKUP(AB11,Scores!$A$15:$B$18,2)+Scores!$M$8*VLOOKUP(AC11,Scores!$A$15:$B$18,2)+Scores!$N$8*VLOOKUP(AD11,Scores!$A$15:$B$18,2)+Scores!$O$8*VLOOKUP(AE11,Scores!$A$15:$B$18,2)</f>
        <v>50</v>
      </c>
      <c r="AE12" s="7"/>
      <c r="AF12" s="7"/>
      <c r="AG12" s="6">
        <f>Scores!$B$9*VLOOKUP(AG11,Scores!$A$15:$B$18,2)+Scores!$C$9*VLOOKUP(AH11,Scores!$A$15:$B$18,2)+Scores!$D$9*VLOOKUP(AI11,Scores!$A$15:$B$18,2)+Scores!$E$9*VLOOKUP(AJ11,Scores!$A$15:$B$18,2)</f>
        <v>0</v>
      </c>
      <c r="AH12" s="6">
        <f>Scores!$G$9*VLOOKUP(AG11,Scores!$A$15:$B$18,2)+Scores!$H$9*VLOOKUP(AH11,Scores!$A$15:$B$18,2)+Scores!$I$9*VLOOKUP(AI11,Scores!$A$15:$B$18,2)+Scores!$J$9*VLOOKUP(AJ11,Scores!$A$15:$B$18,2)</f>
        <v>56</v>
      </c>
      <c r="AI12" s="6">
        <f>Scores!$L$9*VLOOKUP(AG11,Scores!$A$15:$B$18,2)+Scores!$M$9*VLOOKUP(AH11,Scores!$A$15:$B$18,2)+Scores!$N$9*VLOOKUP(AI11,Scores!$A$15:$B$18,2)+Scores!$O$9*VLOOKUP(AJ11,Scores!$A$15:$B$18,2)</f>
        <v>0</v>
      </c>
      <c r="AJ12" s="7"/>
      <c r="AK12" s="7"/>
      <c r="AL12" s="6">
        <f>Scores!$B$10*VLOOKUP(AL11,Scores!$A$15:$B$18,2)+Scores!$C$10*VLOOKUP(AM11,Scores!$A$15:$B$18,2)+Scores!$D$10*VLOOKUP(AN11,Scores!$A$15:$B$18,2)+Scores!$E$10*VLOOKUP(AO11,Scores!$A$15:$B$18,2)</f>
        <v>0</v>
      </c>
      <c r="AM12" s="6">
        <f>Scores!$G$10*VLOOKUP(AL11,Scores!$A$15:$B$18,2)+Scores!$H$10*VLOOKUP(AM11,Scores!$A$15:$B$18,2)+Scores!$I$10*VLOOKUP(AN11,Scores!$A$15:$B$18,2)+Scores!$J$10*VLOOKUP(AO11,Scores!$A$15:$B$18,2)</f>
        <v>0</v>
      </c>
      <c r="AN12" s="6">
        <f>Scores!$L$10*VLOOKUP(AL11,Scores!$A$15:$B$18,2)+Scores!$M$10*VLOOKUP(AM11,Scores!$A$15:$B$18,2)+Scores!$N$10*VLOOKUP(AN11,Scores!$A$15:$B$18,2)+Scores!$O$10*VLOOKUP(AO11,Scores!$A$15:$B$18,2)</f>
        <v>0</v>
      </c>
      <c r="AO12" s="7"/>
    </row>
    <row r="13" spans="1:49" x14ac:dyDescent="0.25">
      <c r="A13" t="s">
        <v>51</v>
      </c>
      <c r="B13" t="s">
        <v>15</v>
      </c>
      <c r="C13">
        <v>1</v>
      </c>
      <c r="D13">
        <v>4</v>
      </c>
      <c r="E13">
        <v>3</v>
      </c>
      <c r="F13">
        <v>2</v>
      </c>
      <c r="H13">
        <v>4</v>
      </c>
      <c r="I13">
        <v>2</v>
      </c>
      <c r="J13">
        <v>3</v>
      </c>
      <c r="K13">
        <v>1</v>
      </c>
      <c r="M13">
        <v>3</v>
      </c>
      <c r="N13">
        <v>2</v>
      </c>
      <c r="O13">
        <v>4</v>
      </c>
      <c r="P13">
        <v>1</v>
      </c>
      <c r="R13">
        <v>4</v>
      </c>
      <c r="S13">
        <v>2</v>
      </c>
      <c r="T13">
        <v>3</v>
      </c>
      <c r="U13">
        <v>1</v>
      </c>
      <c r="W13">
        <v>2</v>
      </c>
      <c r="X13">
        <v>3</v>
      </c>
      <c r="Y13">
        <v>1</v>
      </c>
      <c r="Z13">
        <v>4</v>
      </c>
      <c r="AB13">
        <v>1</v>
      </c>
      <c r="AC13">
        <v>3</v>
      </c>
      <c r="AD13">
        <v>4</v>
      </c>
      <c r="AE13">
        <v>2</v>
      </c>
      <c r="AG13">
        <v>3</v>
      </c>
      <c r="AH13">
        <v>4</v>
      </c>
      <c r="AI13">
        <v>2</v>
      </c>
      <c r="AJ13">
        <v>1</v>
      </c>
      <c r="AL13">
        <v>1</v>
      </c>
      <c r="AM13">
        <v>2</v>
      </c>
      <c r="AN13">
        <v>3</v>
      </c>
      <c r="AO13">
        <v>4</v>
      </c>
      <c r="AQ13" s="9">
        <f>((C14+H14+M14+R14+W14)-Scores!$E$15)/(Scores!$I$15-Scores!$E$15)</f>
        <v>0.78448275862068961</v>
      </c>
      <c r="AR13" s="9">
        <f>((D14+I14+N14+S14+X14)-Scores!$E$16)/(Scores!$I$16-Scores!$E$16)</f>
        <v>0.67586206896551726</v>
      </c>
      <c r="AS13" s="9">
        <f>((E14+J14+O14+T14+Y14)-Scores!$E$17)/(Scores!$I$17-Scores!$E$17)</f>
        <v>0.41379310344827586</v>
      </c>
      <c r="AT13" s="9"/>
      <c r="AU13" s="9">
        <f>((AB14+AG14+AL14)-Scores!$F$15)/(Scores!$J$15-Scores!$F$15)</f>
        <v>0.93103448275862066</v>
      </c>
      <c r="AV13" s="9">
        <f>((AC14+AH14+AM14)-Scores!$F$16)/(Scores!$J$16-Scores!$F$16)</f>
        <v>1</v>
      </c>
      <c r="AW13" s="9">
        <f>((AD14+AI14+AN14)-Scores!$F$17)/(Scores!$J$17-Scores!$F$17)</f>
        <v>0.58620689655172409</v>
      </c>
    </row>
    <row r="14" spans="1:49" s="5" customFormat="1" ht="11.25" x14ac:dyDescent="0.2">
      <c r="C14" s="6">
        <f>Scores!$B$3*VLOOKUP(C13,Scores!$A$15:$B$18,2)+Scores!$C$3*VLOOKUP(D13,Scores!$A$15:$B$18,2)+Scores!$D$3*VLOOKUP(E13,Scores!$A$15:$B$18,2)+Scores!$E$3*VLOOKUP(F13,Scores!$A$15:$B$18,2)</f>
        <v>0</v>
      </c>
      <c r="D14" s="6">
        <f>Scores!$G$3*VLOOKUP(C13,Scores!$A$15:$B$18,2)+Scores!$H$3*VLOOKUP(D13,Scores!$A$15:$B$18,2)+Scores!$I$3*VLOOKUP(E13,Scores!$A$15:$B$18,2)+Scores!$J$3*VLOOKUP(F13,Scores!$A$15:$B$18,2)</f>
        <v>62</v>
      </c>
      <c r="E14" s="6">
        <f>Scores!$L$3*VLOOKUP(C13,Scores!$A$15:$B$18,2)+Scores!$M$3*VLOOKUP(D13,Scores!$A$15:$B$18,2)+Scores!$N$3*VLOOKUP(E13,Scores!$A$15:$B$18,2)+Scores!$O$3*VLOOKUP(F13,Scores!$A$15:$B$18,2)</f>
        <v>0</v>
      </c>
      <c r="F14" s="7"/>
      <c r="G14" s="7"/>
      <c r="H14" s="6">
        <f>Scores!$B$4*VLOOKUP(H13,Scores!$A$15:$B$18,2)+Scores!$C$4*VLOOKUP(I13,Scores!$A$15:$B$18,2)+Scores!$D$4*VLOOKUP(J13,Scores!$A$15:$B$18,2)+Scores!$E$4*VLOOKUP(K13,Scores!$A$15:$B$18,2)</f>
        <v>50</v>
      </c>
      <c r="I14" s="6">
        <f>Scores!$G$4*VLOOKUP(H13,Scores!$A$15:$B$18,2)+Scores!$H$4*VLOOKUP(I13,Scores!$A$15:$B$18,2)+Scores!$I$4*VLOOKUP(J13,Scores!$A$15:$B$18,2)+Scores!$J$4*VLOOKUP(K13,Scores!$A$15:$B$18,2)</f>
        <v>45</v>
      </c>
      <c r="J14" s="6">
        <f>Scores!$L$4*VLOOKUP(H13,Scores!$A$15:$B$18,2)+Scores!$M$4*VLOOKUP(I13,Scores!$A$15:$B$18,2)+Scores!$N$4*VLOOKUP(J13,Scores!$A$15:$B$18,2)+Scores!$O$4*VLOOKUP(K13,Scores!$A$15:$B$18,2)</f>
        <v>0</v>
      </c>
      <c r="K14" s="7"/>
      <c r="L14" s="7"/>
      <c r="M14" s="6">
        <f>Scores!$B$5*VLOOKUP(M13,Scores!$A$15:$B$18,2)+Scores!$C$5*VLOOKUP(N13,Scores!$A$15:$B$18,2)+Scores!$D$5*VLOOKUP(O13,Scores!$A$15:$B$18,2)+Scores!$E$5*VLOOKUP(P13,Scores!$A$15:$B$18,2)</f>
        <v>57</v>
      </c>
      <c r="N14" s="6">
        <f>Scores!$G$5*VLOOKUP(M13,Scores!$A$15:$B$18,2)+Scores!$H$5*VLOOKUP(N13,Scores!$A$15:$B$18,2)+Scores!$I$5*VLOOKUP(O13,Scores!$A$15:$B$18,2)+Scores!$J$5*VLOOKUP(P13,Scores!$A$15:$B$18,2)</f>
        <v>49</v>
      </c>
      <c r="O14" s="6">
        <f>Scores!$L$5*VLOOKUP(M13,Scores!$A$15:$B$18,2)+Scores!$M$5*VLOOKUP(N13,Scores!$A$15:$B$18,2)+Scores!$N$5*VLOOKUP(O13,Scores!$A$15:$B$18,2)+Scores!$O$5*VLOOKUP(P13,Scores!$A$15:$B$18,2)</f>
        <v>0</v>
      </c>
      <c r="P14" s="7"/>
      <c r="Q14" s="7"/>
      <c r="R14" s="6">
        <f>Scores!$B$6*VLOOKUP(R13,Scores!$A$15:$B$18,2)+Scores!$C$6*VLOOKUP(S13,Scores!$A$15:$B$18,2)+Scores!$D$6*VLOOKUP(T13,Scores!$A$15:$B$18,2)+Scores!$E$6*VLOOKUP(U13,Scores!$A$15:$B$18,2)</f>
        <v>54</v>
      </c>
      <c r="S14" s="6">
        <f>Scores!$G$6*VLOOKUP(R13,Scores!$A$15:$B$18,2)+Scores!$H$6*VLOOKUP(S13,Scores!$A$15:$B$18,2)+Scores!$I$6*VLOOKUP(T13,Scores!$A$15:$B$18,2)+Scores!$J$6*VLOOKUP(U13,Scores!$A$15:$B$18,2)</f>
        <v>45</v>
      </c>
      <c r="T14" s="6">
        <f>Scores!$L$6*VLOOKUP(R13,Scores!$A$15:$B$18,2)+Scores!$M$6*VLOOKUP(S13,Scores!$A$15:$B$18,2)+Scores!$N$6*VLOOKUP(T13,Scores!$A$15:$B$18,2)+Scores!$O$6*VLOOKUP(U13,Scores!$A$15:$B$18,2)</f>
        <v>40</v>
      </c>
      <c r="U14" s="7"/>
      <c r="V14" s="7"/>
      <c r="W14" s="6">
        <f>Scores!$B$7*VLOOKUP(W13,Scores!$A$15:$B$18,2)+Scores!$C$7*VLOOKUP(X13,Scores!$A$15:$B$18,2)+Scores!$D$7*VLOOKUP(Y13,Scores!$A$15:$B$18,2)+Scores!$E$7*VLOOKUP(Z13,Scores!$A$15:$B$18,2)</f>
        <v>62</v>
      </c>
      <c r="X14" s="6">
        <f>Scores!$G$7*VLOOKUP(W13,Scores!$A$15:$B$18,2)+Scores!$H$7*VLOOKUP(X13,Scores!$A$15:$B$18,2)+Scores!$I$7*VLOOKUP(Y13,Scores!$A$15:$B$18,2)+Scores!$J$7*VLOOKUP(Z13,Scores!$A$15:$B$18,2)</f>
        <v>62</v>
      </c>
      <c r="Y14" s="6">
        <f>Scores!$L$7*VLOOKUP(W13,Scores!$A$15:$B$18,2)+Scores!$M$7*VLOOKUP(X13,Scores!$A$15:$B$18,2)+Scores!$N$7*VLOOKUP(Y13,Scores!$A$15:$B$18,2)+Scores!$O$7*VLOOKUP(Z13,Scores!$A$15:$B$18,2)</f>
        <v>50</v>
      </c>
      <c r="Z14" s="7"/>
      <c r="AA14" s="7"/>
      <c r="AB14" s="6">
        <f>Scores!$B$8*VLOOKUP(AB13,Scores!$A$15:$B$18,2)+Scores!$C$8*VLOOKUP(AC13,Scores!$A$15:$B$18,2)+Scores!$D$8*VLOOKUP(AD13,Scores!$A$15:$B$18,2)+Scores!$E$8*VLOOKUP(AE13,Scores!$A$15:$B$18,2)</f>
        <v>60</v>
      </c>
      <c r="AC14" s="6">
        <f>Scores!$G$8*VLOOKUP(AB13,Scores!$A$15:$B$18,2)+Scores!$H$8*VLOOKUP(AC13,Scores!$A$15:$B$18,2)+Scores!$I$8*VLOOKUP(AD13,Scores!$A$15:$B$18,2)+Scores!$J$8*VLOOKUP(AE13,Scores!$A$15:$B$18,2)</f>
        <v>62</v>
      </c>
      <c r="AD14" s="6">
        <f>Scores!$L$8*VLOOKUP(AB13,Scores!$A$15:$B$18,2)+Scores!$M$8*VLOOKUP(AC13,Scores!$A$15:$B$18,2)+Scores!$N$8*VLOOKUP(AD13,Scores!$A$15:$B$18,2)+Scores!$O$8*VLOOKUP(AE13,Scores!$A$15:$B$18,2)</f>
        <v>50</v>
      </c>
      <c r="AE14" s="7"/>
      <c r="AF14" s="7"/>
      <c r="AG14" s="6">
        <f>Scores!$B$9*VLOOKUP(AG13,Scores!$A$15:$B$18,2)+Scores!$C$9*VLOOKUP(AH13,Scores!$A$15:$B$18,2)+Scores!$D$9*VLOOKUP(AI13,Scores!$A$15:$B$18,2)+Scores!$E$9*VLOOKUP(AJ13,Scores!$A$15:$B$18,2)</f>
        <v>0</v>
      </c>
      <c r="AH14" s="6">
        <f>Scores!$G$9*VLOOKUP(AG13,Scores!$A$15:$B$18,2)+Scores!$H$9*VLOOKUP(AH13,Scores!$A$15:$B$18,2)+Scores!$I$9*VLOOKUP(AI13,Scores!$A$15:$B$18,2)+Scores!$J$9*VLOOKUP(AJ13,Scores!$A$15:$B$18,2)</f>
        <v>62</v>
      </c>
      <c r="AI14" s="6">
        <f>Scores!$L$9*VLOOKUP(AG13,Scores!$A$15:$B$18,2)+Scores!$M$9*VLOOKUP(AH13,Scores!$A$15:$B$18,2)+Scores!$N$9*VLOOKUP(AI13,Scores!$A$15:$B$18,2)+Scores!$O$9*VLOOKUP(AJ13,Scores!$A$15:$B$18,2)</f>
        <v>0</v>
      </c>
      <c r="AJ14" s="7"/>
      <c r="AK14" s="7"/>
      <c r="AL14" s="6">
        <f>Scores!$B$10*VLOOKUP(AL13,Scores!$A$15:$B$18,2)+Scores!$C$10*VLOOKUP(AM13,Scores!$A$15:$B$18,2)+Scores!$D$10*VLOOKUP(AN13,Scores!$A$15:$B$18,2)+Scores!$E$10*VLOOKUP(AO13,Scores!$A$15:$B$18,2)</f>
        <v>0</v>
      </c>
      <c r="AM14" s="6">
        <f>Scores!$G$10*VLOOKUP(AL13,Scores!$A$15:$B$18,2)+Scores!$H$10*VLOOKUP(AM13,Scores!$A$15:$B$18,2)+Scores!$I$10*VLOOKUP(AN13,Scores!$A$15:$B$18,2)+Scores!$J$10*VLOOKUP(AO13,Scores!$A$15:$B$18,2)</f>
        <v>0</v>
      </c>
      <c r="AN14" s="6">
        <f>Scores!$L$10*VLOOKUP(AL13,Scores!$A$15:$B$18,2)+Scores!$M$10*VLOOKUP(AM13,Scores!$A$15:$B$18,2)+Scores!$N$10*VLOOKUP(AN13,Scores!$A$15:$B$18,2)+Scores!$O$10*VLOOKUP(AO13,Scores!$A$15:$B$18,2)</f>
        <v>0</v>
      </c>
      <c r="AO14" s="7"/>
    </row>
    <row r="15" spans="1:49" x14ac:dyDescent="0.25">
      <c r="A15" t="s">
        <v>52</v>
      </c>
      <c r="B15" t="s">
        <v>15</v>
      </c>
      <c r="C15">
        <v>1</v>
      </c>
      <c r="D15">
        <v>4</v>
      </c>
      <c r="E15">
        <v>3</v>
      </c>
      <c r="F15">
        <v>2</v>
      </c>
      <c r="H15">
        <v>2</v>
      </c>
      <c r="I15">
        <v>3</v>
      </c>
      <c r="J15">
        <v>4</v>
      </c>
      <c r="K15">
        <v>1</v>
      </c>
      <c r="M15">
        <v>2</v>
      </c>
      <c r="N15">
        <v>3</v>
      </c>
      <c r="O15">
        <v>4</v>
      </c>
      <c r="P15">
        <v>1</v>
      </c>
      <c r="R15">
        <v>2</v>
      </c>
      <c r="S15">
        <v>3</v>
      </c>
      <c r="T15">
        <v>4</v>
      </c>
      <c r="U15">
        <v>1</v>
      </c>
      <c r="W15">
        <v>2</v>
      </c>
      <c r="X15">
        <v>3</v>
      </c>
      <c r="Y15">
        <v>1</v>
      </c>
      <c r="Z15">
        <v>4</v>
      </c>
      <c r="AB15">
        <v>1</v>
      </c>
      <c r="AC15">
        <v>3</v>
      </c>
      <c r="AD15">
        <v>4</v>
      </c>
      <c r="AE15">
        <v>2</v>
      </c>
      <c r="AG15">
        <v>2</v>
      </c>
      <c r="AH15">
        <v>4</v>
      </c>
      <c r="AI15">
        <v>3</v>
      </c>
      <c r="AJ15">
        <v>1</v>
      </c>
      <c r="AL15">
        <v>3</v>
      </c>
      <c r="AM15">
        <v>1</v>
      </c>
      <c r="AN15">
        <v>2</v>
      </c>
      <c r="AO15">
        <v>4</v>
      </c>
      <c r="AQ15" s="9">
        <f>((C16+H16+M16+R16+W16)-Scores!$E$15)/(Scores!$I$15-Scores!$E$15)</f>
        <v>0.71551724137931039</v>
      </c>
      <c r="AR15" s="9">
        <f>((D16+I16+N16+S16+X16)-Scores!$E$16)/(Scores!$I$16-Scores!$E$16)</f>
        <v>0.85517241379310349</v>
      </c>
      <c r="AS15" s="9">
        <f>((E16+J16+O16+T16+Y16)-Scores!$E$17)/(Scores!$I$17-Scores!$E$17)</f>
        <v>0.44827586206896552</v>
      </c>
      <c r="AT15" s="9"/>
      <c r="AU15" s="9">
        <f>((AB16+AG16+AL16)-Scores!$F$15)/(Scores!$J$15-Scores!$F$15)</f>
        <v>0.93103448275862066</v>
      </c>
      <c r="AV15" s="9">
        <f>((AC16+AH16+AM16)-Scores!$F$16)/(Scores!$J$16-Scores!$F$16)</f>
        <v>0.96551724137931039</v>
      </c>
      <c r="AW15" s="9">
        <f>((AD16+AI16+AN16)-Scores!$F$17)/(Scores!$J$17-Scores!$F$17)</f>
        <v>0.58620689655172409</v>
      </c>
    </row>
    <row r="16" spans="1:49" s="5" customFormat="1" ht="11.25" x14ac:dyDescent="0.2">
      <c r="C16" s="6">
        <f>Scores!$B$3*VLOOKUP(C15,Scores!$A$15:$B$18,2)+Scores!$C$3*VLOOKUP(D15,Scores!$A$15:$B$18,2)+Scores!$D$3*VLOOKUP(E15,Scores!$A$15:$B$18,2)+Scores!$E$3*VLOOKUP(F15,Scores!$A$15:$B$18,2)</f>
        <v>0</v>
      </c>
      <c r="D16" s="6">
        <f>Scores!$G$3*VLOOKUP(C15,Scores!$A$15:$B$18,2)+Scores!$H$3*VLOOKUP(D15,Scores!$A$15:$B$18,2)+Scores!$I$3*VLOOKUP(E15,Scores!$A$15:$B$18,2)+Scores!$J$3*VLOOKUP(F15,Scores!$A$15:$B$18,2)</f>
        <v>62</v>
      </c>
      <c r="E16" s="6">
        <f>Scores!$L$3*VLOOKUP(C15,Scores!$A$15:$B$18,2)+Scores!$M$3*VLOOKUP(D15,Scores!$A$15:$B$18,2)+Scores!$N$3*VLOOKUP(E15,Scores!$A$15:$B$18,2)+Scores!$O$3*VLOOKUP(F15,Scores!$A$15:$B$18,2)</f>
        <v>0</v>
      </c>
      <c r="F16" s="7"/>
      <c r="G16" s="7"/>
      <c r="H16" s="6">
        <f>Scores!$B$4*VLOOKUP(H15,Scores!$A$15:$B$18,2)+Scores!$C$4*VLOOKUP(I15,Scores!$A$15:$B$18,2)+Scores!$D$4*VLOOKUP(J15,Scores!$A$15:$B$18,2)+Scores!$E$4*VLOOKUP(K15,Scores!$A$15:$B$18,2)</f>
        <v>40</v>
      </c>
      <c r="I16" s="6">
        <f>Scores!$G$4*VLOOKUP(H15,Scores!$A$15:$B$18,2)+Scores!$H$4*VLOOKUP(I15,Scores!$A$15:$B$18,2)+Scores!$I$4*VLOOKUP(J15,Scores!$A$15:$B$18,2)+Scores!$J$4*VLOOKUP(K15,Scores!$A$15:$B$18,2)</f>
        <v>55</v>
      </c>
      <c r="J16" s="6">
        <f>Scores!$L$4*VLOOKUP(H15,Scores!$A$15:$B$18,2)+Scores!$M$4*VLOOKUP(I15,Scores!$A$15:$B$18,2)+Scores!$N$4*VLOOKUP(J15,Scores!$A$15:$B$18,2)+Scores!$O$4*VLOOKUP(K15,Scores!$A$15:$B$18,2)</f>
        <v>0</v>
      </c>
      <c r="K16" s="7"/>
      <c r="L16" s="7"/>
      <c r="M16" s="6">
        <f>Scores!$B$5*VLOOKUP(M15,Scores!$A$15:$B$18,2)+Scores!$C$5*VLOOKUP(N15,Scores!$A$15:$B$18,2)+Scores!$D$5*VLOOKUP(O15,Scores!$A$15:$B$18,2)+Scores!$E$5*VLOOKUP(P15,Scores!$A$15:$B$18,2)</f>
        <v>53</v>
      </c>
      <c r="N16" s="6">
        <f>Scores!$G$5*VLOOKUP(M15,Scores!$A$15:$B$18,2)+Scores!$H$5*VLOOKUP(N15,Scores!$A$15:$B$18,2)+Scores!$I$5*VLOOKUP(O15,Scores!$A$15:$B$18,2)+Scores!$J$5*VLOOKUP(P15,Scores!$A$15:$B$18,2)</f>
        <v>55</v>
      </c>
      <c r="O16" s="6">
        <f>Scores!$L$5*VLOOKUP(M15,Scores!$A$15:$B$18,2)+Scores!$M$5*VLOOKUP(N15,Scores!$A$15:$B$18,2)+Scores!$N$5*VLOOKUP(O15,Scores!$A$15:$B$18,2)+Scores!$O$5*VLOOKUP(P15,Scores!$A$15:$B$18,2)</f>
        <v>0</v>
      </c>
      <c r="P16" s="7"/>
      <c r="Q16" s="7"/>
      <c r="R16" s="6">
        <f>Scores!$B$6*VLOOKUP(R15,Scores!$A$15:$B$18,2)+Scores!$C$6*VLOOKUP(S15,Scores!$A$15:$B$18,2)+Scores!$D$6*VLOOKUP(T15,Scores!$A$15:$B$18,2)+Scores!$E$6*VLOOKUP(U15,Scores!$A$15:$B$18,2)</f>
        <v>60</v>
      </c>
      <c r="S16" s="6">
        <f>Scores!$G$6*VLOOKUP(R15,Scores!$A$15:$B$18,2)+Scores!$H$6*VLOOKUP(S15,Scores!$A$15:$B$18,2)+Scores!$I$6*VLOOKUP(T15,Scores!$A$15:$B$18,2)+Scores!$J$6*VLOOKUP(U15,Scores!$A$15:$B$18,2)</f>
        <v>55</v>
      </c>
      <c r="T16" s="6">
        <f>Scores!$L$6*VLOOKUP(R15,Scores!$A$15:$B$18,2)+Scores!$M$6*VLOOKUP(S15,Scores!$A$15:$B$18,2)+Scores!$N$6*VLOOKUP(T15,Scores!$A$15:$B$18,2)+Scores!$O$6*VLOOKUP(U15,Scores!$A$15:$B$18,2)</f>
        <v>42</v>
      </c>
      <c r="U16" s="7"/>
      <c r="V16" s="7"/>
      <c r="W16" s="6">
        <f>Scores!$B$7*VLOOKUP(W15,Scores!$A$15:$B$18,2)+Scores!$C$7*VLOOKUP(X15,Scores!$A$15:$B$18,2)+Scores!$D$7*VLOOKUP(Y15,Scores!$A$15:$B$18,2)+Scores!$E$7*VLOOKUP(Z15,Scores!$A$15:$B$18,2)</f>
        <v>62</v>
      </c>
      <c r="X16" s="6">
        <f>Scores!$G$7*VLOOKUP(W15,Scores!$A$15:$B$18,2)+Scores!$H$7*VLOOKUP(X15,Scores!$A$15:$B$18,2)+Scores!$I$7*VLOOKUP(Y15,Scores!$A$15:$B$18,2)+Scores!$J$7*VLOOKUP(Z15,Scores!$A$15:$B$18,2)</f>
        <v>62</v>
      </c>
      <c r="Y16" s="6">
        <f>Scores!$L$7*VLOOKUP(W15,Scores!$A$15:$B$18,2)+Scores!$M$7*VLOOKUP(X15,Scores!$A$15:$B$18,2)+Scores!$N$7*VLOOKUP(Y15,Scores!$A$15:$B$18,2)+Scores!$O$7*VLOOKUP(Z15,Scores!$A$15:$B$18,2)</f>
        <v>50</v>
      </c>
      <c r="Z16" s="7"/>
      <c r="AA16" s="7"/>
      <c r="AB16" s="6">
        <f>Scores!$B$8*VLOOKUP(AB15,Scores!$A$15:$B$18,2)+Scores!$C$8*VLOOKUP(AC15,Scores!$A$15:$B$18,2)+Scores!$D$8*VLOOKUP(AD15,Scores!$A$15:$B$18,2)+Scores!$E$8*VLOOKUP(AE15,Scores!$A$15:$B$18,2)</f>
        <v>60</v>
      </c>
      <c r="AC16" s="6">
        <f>Scores!$G$8*VLOOKUP(AB15,Scores!$A$15:$B$18,2)+Scores!$H$8*VLOOKUP(AC15,Scores!$A$15:$B$18,2)+Scores!$I$8*VLOOKUP(AD15,Scores!$A$15:$B$18,2)+Scores!$J$8*VLOOKUP(AE15,Scores!$A$15:$B$18,2)</f>
        <v>62</v>
      </c>
      <c r="AD16" s="6">
        <f>Scores!$L$8*VLOOKUP(AB15,Scores!$A$15:$B$18,2)+Scores!$M$8*VLOOKUP(AC15,Scores!$A$15:$B$18,2)+Scores!$N$8*VLOOKUP(AD15,Scores!$A$15:$B$18,2)+Scores!$O$8*VLOOKUP(AE15,Scores!$A$15:$B$18,2)</f>
        <v>50</v>
      </c>
      <c r="AE16" s="7"/>
      <c r="AF16" s="7"/>
      <c r="AG16" s="6">
        <f>Scores!$B$9*VLOOKUP(AG15,Scores!$A$15:$B$18,2)+Scores!$C$9*VLOOKUP(AH15,Scores!$A$15:$B$18,2)+Scores!$D$9*VLOOKUP(AI15,Scores!$A$15:$B$18,2)+Scores!$E$9*VLOOKUP(AJ15,Scores!$A$15:$B$18,2)</f>
        <v>0</v>
      </c>
      <c r="AH16" s="6">
        <f>Scores!$G$9*VLOOKUP(AG15,Scores!$A$15:$B$18,2)+Scores!$H$9*VLOOKUP(AH15,Scores!$A$15:$B$18,2)+Scores!$I$9*VLOOKUP(AI15,Scores!$A$15:$B$18,2)+Scores!$J$9*VLOOKUP(AJ15,Scores!$A$15:$B$18,2)</f>
        <v>60</v>
      </c>
      <c r="AI16" s="6">
        <f>Scores!$L$9*VLOOKUP(AG15,Scores!$A$15:$B$18,2)+Scores!$M$9*VLOOKUP(AH15,Scores!$A$15:$B$18,2)+Scores!$N$9*VLOOKUP(AI15,Scores!$A$15:$B$18,2)+Scores!$O$9*VLOOKUP(AJ15,Scores!$A$15:$B$18,2)</f>
        <v>0</v>
      </c>
      <c r="AJ16" s="7"/>
      <c r="AK16" s="7"/>
      <c r="AL16" s="6">
        <f>Scores!$B$10*VLOOKUP(AL15,Scores!$A$15:$B$18,2)+Scores!$C$10*VLOOKUP(AM15,Scores!$A$15:$B$18,2)+Scores!$D$10*VLOOKUP(AN15,Scores!$A$15:$B$18,2)+Scores!$E$10*VLOOKUP(AO15,Scores!$A$15:$B$18,2)</f>
        <v>0</v>
      </c>
      <c r="AM16" s="6">
        <f>Scores!$G$10*VLOOKUP(AL15,Scores!$A$15:$B$18,2)+Scores!$H$10*VLOOKUP(AM15,Scores!$A$15:$B$18,2)+Scores!$I$10*VLOOKUP(AN15,Scores!$A$15:$B$18,2)+Scores!$J$10*VLOOKUP(AO15,Scores!$A$15:$B$18,2)</f>
        <v>0</v>
      </c>
      <c r="AN16" s="6">
        <f>Scores!$L$10*VLOOKUP(AL15,Scores!$A$15:$B$18,2)+Scores!$M$10*VLOOKUP(AM15,Scores!$A$15:$B$18,2)+Scores!$N$10*VLOOKUP(AN15,Scores!$A$15:$B$18,2)+Scores!$O$10*VLOOKUP(AO15,Scores!$A$15:$B$18,2)</f>
        <v>0</v>
      </c>
      <c r="AO16" s="7"/>
    </row>
    <row r="17" spans="1:49" x14ac:dyDescent="0.25">
      <c r="A17" t="s">
        <v>53</v>
      </c>
      <c r="B17" t="s">
        <v>43</v>
      </c>
      <c r="C17">
        <v>1</v>
      </c>
      <c r="D17">
        <v>4</v>
      </c>
      <c r="E17">
        <v>3</v>
      </c>
      <c r="F17">
        <v>2</v>
      </c>
      <c r="H17">
        <v>2</v>
      </c>
      <c r="I17">
        <v>4</v>
      </c>
      <c r="J17">
        <v>3</v>
      </c>
      <c r="K17">
        <v>1</v>
      </c>
      <c r="M17">
        <v>2</v>
      </c>
      <c r="N17">
        <v>3</v>
      </c>
      <c r="O17">
        <v>4</v>
      </c>
      <c r="P17">
        <v>1</v>
      </c>
      <c r="R17">
        <v>2</v>
      </c>
      <c r="S17">
        <v>4</v>
      </c>
      <c r="T17">
        <v>3</v>
      </c>
      <c r="U17">
        <v>1</v>
      </c>
      <c r="W17">
        <v>1</v>
      </c>
      <c r="X17">
        <v>3</v>
      </c>
      <c r="Y17">
        <v>4</v>
      </c>
      <c r="Z17">
        <v>2</v>
      </c>
      <c r="AB17">
        <v>1</v>
      </c>
      <c r="AC17">
        <v>2</v>
      </c>
      <c r="AD17">
        <v>4</v>
      </c>
      <c r="AE17">
        <v>3</v>
      </c>
      <c r="AG17">
        <v>2</v>
      </c>
      <c r="AH17">
        <v>3</v>
      </c>
      <c r="AI17">
        <v>1</v>
      </c>
      <c r="AJ17">
        <v>4</v>
      </c>
      <c r="AL17">
        <v>1</v>
      </c>
      <c r="AM17">
        <v>3</v>
      </c>
      <c r="AN17">
        <v>2</v>
      </c>
      <c r="AO17">
        <v>4</v>
      </c>
      <c r="AQ17" s="9">
        <f>((C18+H18+M18+R18+W18)-Scores!$E$15)/(Scores!$I$15-Scores!$E$15)</f>
        <v>0.56896551724137934</v>
      </c>
      <c r="AR17" s="9">
        <f>((D18+I18+N18+S18+X18)-Scores!$E$16)/(Scores!$I$16-Scores!$E$16)</f>
        <v>0.76551724137931032</v>
      </c>
      <c r="AS17" s="9">
        <f>((E18+J18+O18+T18+Y18)-Scores!$E$17)/(Scores!$I$17-Scores!$E$17)</f>
        <v>0.65517241379310343</v>
      </c>
      <c r="AT17" s="9"/>
      <c r="AU17" s="9">
        <f>((AB18+AG18+AL18)-Scores!$F$15)/(Scores!$J$15-Scores!$F$15)</f>
        <v>1</v>
      </c>
      <c r="AV17" s="9">
        <f>((AC18+AH18+AM18)-Scores!$F$16)/(Scores!$J$16-Scores!$F$16)</f>
        <v>0.7068965517241379</v>
      </c>
      <c r="AW17" s="9">
        <f>((AD18+AI18+AN18)-Scores!$F$17)/(Scores!$J$17-Scores!$F$17)</f>
        <v>0.51724137931034486</v>
      </c>
    </row>
    <row r="18" spans="1:49" s="5" customFormat="1" ht="11.25" x14ac:dyDescent="0.2">
      <c r="C18" s="6">
        <f>Scores!$B$3*VLOOKUP(C17,Scores!$A$15:$B$18,2)+Scores!$C$3*VLOOKUP(D17,Scores!$A$15:$B$18,2)+Scores!$D$3*VLOOKUP(E17,Scores!$A$15:$B$18,2)+Scores!$E$3*VLOOKUP(F17,Scores!$A$15:$B$18,2)</f>
        <v>0</v>
      </c>
      <c r="D18" s="6">
        <f>Scores!$G$3*VLOOKUP(C17,Scores!$A$15:$B$18,2)+Scores!$H$3*VLOOKUP(D17,Scores!$A$15:$B$18,2)+Scores!$I$3*VLOOKUP(E17,Scores!$A$15:$B$18,2)+Scores!$J$3*VLOOKUP(F17,Scores!$A$15:$B$18,2)</f>
        <v>62</v>
      </c>
      <c r="E18" s="6">
        <f>Scores!$L$3*VLOOKUP(C17,Scores!$A$15:$B$18,2)+Scores!$M$3*VLOOKUP(D17,Scores!$A$15:$B$18,2)+Scores!$N$3*VLOOKUP(E17,Scores!$A$15:$B$18,2)+Scores!$O$3*VLOOKUP(F17,Scores!$A$15:$B$18,2)</f>
        <v>0</v>
      </c>
      <c r="F18" s="7"/>
      <c r="G18" s="7"/>
      <c r="H18" s="6">
        <f>Scores!$B$4*VLOOKUP(H17,Scores!$A$15:$B$18,2)+Scores!$C$4*VLOOKUP(I17,Scores!$A$15:$B$18,2)+Scores!$D$4*VLOOKUP(J17,Scores!$A$15:$B$18,2)+Scores!$E$4*VLOOKUP(K17,Scores!$A$15:$B$18,2)</f>
        <v>38</v>
      </c>
      <c r="I18" s="6">
        <f>Scores!$G$4*VLOOKUP(H17,Scores!$A$15:$B$18,2)+Scores!$H$4*VLOOKUP(I17,Scores!$A$15:$B$18,2)+Scores!$I$4*VLOOKUP(J17,Scores!$A$15:$B$18,2)+Scores!$J$4*VLOOKUP(K17,Scores!$A$15:$B$18,2)</f>
        <v>57</v>
      </c>
      <c r="J18" s="6">
        <f>Scores!$L$4*VLOOKUP(H17,Scores!$A$15:$B$18,2)+Scores!$M$4*VLOOKUP(I17,Scores!$A$15:$B$18,2)+Scores!$N$4*VLOOKUP(J17,Scores!$A$15:$B$18,2)+Scores!$O$4*VLOOKUP(K17,Scores!$A$15:$B$18,2)</f>
        <v>0</v>
      </c>
      <c r="K18" s="7"/>
      <c r="L18" s="7"/>
      <c r="M18" s="6">
        <f>Scores!$B$5*VLOOKUP(M17,Scores!$A$15:$B$18,2)+Scores!$C$5*VLOOKUP(N17,Scores!$A$15:$B$18,2)+Scores!$D$5*VLOOKUP(O17,Scores!$A$15:$B$18,2)+Scores!$E$5*VLOOKUP(P17,Scores!$A$15:$B$18,2)</f>
        <v>53</v>
      </c>
      <c r="N18" s="6">
        <f>Scores!$G$5*VLOOKUP(M17,Scores!$A$15:$B$18,2)+Scores!$H$5*VLOOKUP(N17,Scores!$A$15:$B$18,2)+Scores!$I$5*VLOOKUP(O17,Scores!$A$15:$B$18,2)+Scores!$J$5*VLOOKUP(P17,Scores!$A$15:$B$18,2)</f>
        <v>55</v>
      </c>
      <c r="O18" s="6">
        <f>Scores!$L$5*VLOOKUP(M17,Scores!$A$15:$B$18,2)+Scores!$M$5*VLOOKUP(N17,Scores!$A$15:$B$18,2)+Scores!$N$5*VLOOKUP(O17,Scores!$A$15:$B$18,2)+Scores!$O$5*VLOOKUP(P17,Scores!$A$15:$B$18,2)</f>
        <v>0</v>
      </c>
      <c r="P18" s="7"/>
      <c r="Q18" s="7"/>
      <c r="R18" s="6">
        <f>Scores!$B$6*VLOOKUP(R17,Scores!$A$15:$B$18,2)+Scores!$C$6*VLOOKUP(S17,Scores!$A$15:$B$18,2)+Scores!$D$6*VLOOKUP(T17,Scores!$A$15:$B$18,2)+Scores!$E$6*VLOOKUP(U17,Scores!$A$15:$B$18,2)</f>
        <v>62</v>
      </c>
      <c r="S18" s="6">
        <f>Scores!$G$6*VLOOKUP(R17,Scores!$A$15:$B$18,2)+Scores!$H$6*VLOOKUP(S17,Scores!$A$15:$B$18,2)+Scores!$I$6*VLOOKUP(T17,Scores!$A$15:$B$18,2)+Scores!$J$6*VLOOKUP(U17,Scores!$A$15:$B$18,2)</f>
        <v>57</v>
      </c>
      <c r="T18" s="6">
        <f>Scores!$L$6*VLOOKUP(R17,Scores!$A$15:$B$18,2)+Scores!$M$6*VLOOKUP(S17,Scores!$A$15:$B$18,2)+Scores!$N$6*VLOOKUP(T17,Scores!$A$15:$B$18,2)+Scores!$O$6*VLOOKUP(U17,Scores!$A$15:$B$18,2)</f>
        <v>48</v>
      </c>
      <c r="U18" s="7"/>
      <c r="V18" s="7"/>
      <c r="W18" s="6">
        <f>Scores!$B$7*VLOOKUP(W17,Scores!$A$15:$B$18,2)+Scores!$C$7*VLOOKUP(X17,Scores!$A$15:$B$18,2)+Scores!$D$7*VLOOKUP(Y17,Scores!$A$15:$B$18,2)+Scores!$E$7*VLOOKUP(Z17,Scores!$A$15:$B$18,2)</f>
        <v>45</v>
      </c>
      <c r="X18" s="6">
        <f>Scores!$G$7*VLOOKUP(W17,Scores!$A$15:$B$18,2)+Scores!$H$7*VLOOKUP(X17,Scores!$A$15:$B$18,2)+Scores!$I$7*VLOOKUP(Y17,Scores!$A$15:$B$18,2)+Scores!$J$7*VLOOKUP(Z17,Scores!$A$15:$B$18,2)</f>
        <v>45</v>
      </c>
      <c r="Y18" s="6">
        <f>Scores!$L$7*VLOOKUP(W17,Scores!$A$15:$B$18,2)+Scores!$M$7*VLOOKUP(X17,Scores!$A$15:$B$18,2)+Scores!$N$7*VLOOKUP(Y17,Scores!$A$15:$B$18,2)+Scores!$O$7*VLOOKUP(Z17,Scores!$A$15:$B$18,2)</f>
        <v>56</v>
      </c>
      <c r="Z18" s="7"/>
      <c r="AA18" s="7"/>
      <c r="AB18" s="6">
        <f>Scores!$B$8*VLOOKUP(AB17,Scores!$A$15:$B$18,2)+Scores!$C$8*VLOOKUP(AC17,Scores!$A$15:$B$18,2)+Scores!$D$8*VLOOKUP(AD17,Scores!$A$15:$B$18,2)+Scores!$E$8*VLOOKUP(AE17,Scores!$A$15:$B$18,2)</f>
        <v>62</v>
      </c>
      <c r="AC18" s="6">
        <f>Scores!$G$8*VLOOKUP(AB17,Scores!$A$15:$B$18,2)+Scores!$H$8*VLOOKUP(AC17,Scores!$A$15:$B$18,2)+Scores!$I$8*VLOOKUP(AD17,Scores!$A$15:$B$18,2)+Scores!$J$8*VLOOKUP(AE17,Scores!$A$15:$B$18,2)</f>
        <v>60</v>
      </c>
      <c r="AD18" s="6">
        <f>Scores!$L$8*VLOOKUP(AB17,Scores!$A$15:$B$18,2)+Scores!$M$8*VLOOKUP(AC17,Scores!$A$15:$B$18,2)+Scores!$N$8*VLOOKUP(AD17,Scores!$A$15:$B$18,2)+Scores!$O$8*VLOOKUP(AE17,Scores!$A$15:$B$18,2)</f>
        <v>48</v>
      </c>
      <c r="AE18" s="7"/>
      <c r="AF18" s="7"/>
      <c r="AG18" s="6">
        <f>Scores!$B$9*VLOOKUP(AG17,Scores!$A$15:$B$18,2)+Scores!$C$9*VLOOKUP(AH17,Scores!$A$15:$B$18,2)+Scores!$D$9*VLOOKUP(AI17,Scores!$A$15:$B$18,2)+Scores!$E$9*VLOOKUP(AJ17,Scores!$A$15:$B$18,2)</f>
        <v>0</v>
      </c>
      <c r="AH18" s="6">
        <f>Scores!$G$9*VLOOKUP(AG17,Scores!$A$15:$B$18,2)+Scores!$H$9*VLOOKUP(AH17,Scores!$A$15:$B$18,2)+Scores!$I$9*VLOOKUP(AI17,Scores!$A$15:$B$18,2)+Scores!$J$9*VLOOKUP(AJ17,Scores!$A$15:$B$18,2)</f>
        <v>47</v>
      </c>
      <c r="AI18" s="6">
        <f>Scores!$L$9*VLOOKUP(AG17,Scores!$A$15:$B$18,2)+Scores!$M$9*VLOOKUP(AH17,Scores!$A$15:$B$18,2)+Scores!$N$9*VLOOKUP(AI17,Scores!$A$15:$B$18,2)+Scores!$O$9*VLOOKUP(AJ17,Scores!$A$15:$B$18,2)</f>
        <v>0</v>
      </c>
      <c r="AJ18" s="7"/>
      <c r="AK18" s="7"/>
      <c r="AL18" s="6">
        <f>Scores!$B$10*VLOOKUP(AL17,Scores!$A$15:$B$18,2)+Scores!$C$10*VLOOKUP(AM17,Scores!$A$15:$B$18,2)+Scores!$D$10*VLOOKUP(AN17,Scores!$A$15:$B$18,2)+Scores!$E$10*VLOOKUP(AO17,Scores!$A$15:$B$18,2)</f>
        <v>0</v>
      </c>
      <c r="AM18" s="6">
        <f>Scores!$G$10*VLOOKUP(AL17,Scores!$A$15:$B$18,2)+Scores!$H$10*VLOOKUP(AM17,Scores!$A$15:$B$18,2)+Scores!$I$10*VLOOKUP(AN17,Scores!$A$15:$B$18,2)+Scores!$J$10*VLOOKUP(AO17,Scores!$A$15:$B$18,2)</f>
        <v>0</v>
      </c>
      <c r="AN18" s="6">
        <f>Scores!$L$10*VLOOKUP(AL17,Scores!$A$15:$B$18,2)+Scores!$M$10*VLOOKUP(AM17,Scores!$A$15:$B$18,2)+Scores!$N$10*VLOOKUP(AN17,Scores!$A$15:$B$18,2)+Scores!$O$10*VLOOKUP(AO17,Scores!$A$15:$B$18,2)</f>
        <v>0</v>
      </c>
      <c r="AO18" s="7"/>
    </row>
    <row r="19" spans="1:49" x14ac:dyDescent="0.25">
      <c r="A19" t="s">
        <v>54</v>
      </c>
      <c r="B19" t="s">
        <v>16</v>
      </c>
      <c r="C19">
        <v>1</v>
      </c>
      <c r="D19">
        <v>4</v>
      </c>
      <c r="E19">
        <v>3</v>
      </c>
      <c r="F19">
        <v>2</v>
      </c>
      <c r="H19">
        <v>2</v>
      </c>
      <c r="I19">
        <v>4</v>
      </c>
      <c r="J19">
        <v>3</v>
      </c>
      <c r="K19">
        <v>1</v>
      </c>
      <c r="M19">
        <v>3</v>
      </c>
      <c r="N19">
        <v>2</v>
      </c>
      <c r="O19">
        <v>4</v>
      </c>
      <c r="P19">
        <v>1</v>
      </c>
      <c r="R19">
        <v>4</v>
      </c>
      <c r="S19">
        <v>3</v>
      </c>
      <c r="T19">
        <v>1</v>
      </c>
      <c r="U19">
        <v>2</v>
      </c>
      <c r="W19">
        <v>2</v>
      </c>
      <c r="X19">
        <v>3</v>
      </c>
      <c r="Y19">
        <v>1</v>
      </c>
      <c r="Z19">
        <v>4</v>
      </c>
      <c r="AB19">
        <v>1</v>
      </c>
      <c r="AC19">
        <v>2</v>
      </c>
      <c r="AD19">
        <v>4</v>
      </c>
      <c r="AE19">
        <v>3</v>
      </c>
      <c r="AG19">
        <v>3</v>
      </c>
      <c r="AH19">
        <v>4</v>
      </c>
      <c r="AI19">
        <v>2</v>
      </c>
      <c r="AJ19">
        <v>1</v>
      </c>
      <c r="AL19">
        <v>2</v>
      </c>
      <c r="AM19">
        <v>1</v>
      </c>
      <c r="AN19">
        <v>3</v>
      </c>
      <c r="AO19">
        <v>4</v>
      </c>
      <c r="AQ19" s="9">
        <f>((C20+H20+M20+R20+W20)-Scores!$E$15)/(Scores!$I$15-Scores!$E$15)</f>
        <v>0.61206896551724133</v>
      </c>
      <c r="AR19" s="9">
        <f>((D20+I20+N20+S20+X20)-Scores!$E$16)/(Scores!$I$16-Scores!$E$16)</f>
        <v>0.73793103448275865</v>
      </c>
      <c r="AS19" s="9">
        <f>((E20+J20+O20+T20+Y20)-Scores!$E$17)/(Scores!$I$17-Scores!$E$17)</f>
        <v>0.68965517241379315</v>
      </c>
      <c r="AT19" s="9"/>
      <c r="AU19" s="9">
        <f>((AB20+AG20+AL20)-Scores!$F$15)/(Scores!$J$15-Scores!$F$15)</f>
        <v>1</v>
      </c>
      <c r="AV19" s="9">
        <f>((AC20+AH20+AM20)-Scores!$F$16)/(Scores!$J$16-Scores!$F$16)</f>
        <v>0.96551724137931039</v>
      </c>
      <c r="AW19" s="9">
        <f>((AD20+AI20+AN20)-Scores!$F$17)/(Scores!$J$17-Scores!$F$17)</f>
        <v>0.51724137931034486</v>
      </c>
    </row>
    <row r="20" spans="1:49" s="5" customFormat="1" ht="11.25" x14ac:dyDescent="0.2">
      <c r="C20" s="6">
        <f>Scores!$B$3*VLOOKUP(C19,Scores!$A$15:$B$18,2)+Scores!$C$3*VLOOKUP(D19,Scores!$A$15:$B$18,2)+Scores!$D$3*VLOOKUP(E19,Scores!$A$15:$B$18,2)+Scores!$E$3*VLOOKUP(F19,Scores!$A$15:$B$18,2)</f>
        <v>0</v>
      </c>
      <c r="D20" s="6">
        <f>Scores!$G$3*VLOOKUP(C19,Scores!$A$15:$B$18,2)+Scores!$H$3*VLOOKUP(D19,Scores!$A$15:$B$18,2)+Scores!$I$3*VLOOKUP(E19,Scores!$A$15:$B$18,2)+Scores!$J$3*VLOOKUP(F19,Scores!$A$15:$B$18,2)</f>
        <v>62</v>
      </c>
      <c r="E20" s="6">
        <f>Scores!$L$3*VLOOKUP(C19,Scores!$A$15:$B$18,2)+Scores!$M$3*VLOOKUP(D19,Scores!$A$15:$B$18,2)+Scores!$N$3*VLOOKUP(E19,Scores!$A$15:$B$18,2)+Scores!$O$3*VLOOKUP(F19,Scores!$A$15:$B$18,2)</f>
        <v>0</v>
      </c>
      <c r="F20" s="7"/>
      <c r="G20" s="7"/>
      <c r="H20" s="6">
        <f>Scores!$B$4*VLOOKUP(H19,Scores!$A$15:$B$18,2)+Scores!$C$4*VLOOKUP(I19,Scores!$A$15:$B$18,2)+Scores!$D$4*VLOOKUP(J19,Scores!$A$15:$B$18,2)+Scores!$E$4*VLOOKUP(K19,Scores!$A$15:$B$18,2)</f>
        <v>38</v>
      </c>
      <c r="I20" s="6">
        <f>Scores!$G$4*VLOOKUP(H19,Scores!$A$15:$B$18,2)+Scores!$H$4*VLOOKUP(I19,Scores!$A$15:$B$18,2)+Scores!$I$4*VLOOKUP(J19,Scores!$A$15:$B$18,2)+Scores!$J$4*VLOOKUP(K19,Scores!$A$15:$B$18,2)</f>
        <v>57</v>
      </c>
      <c r="J20" s="6">
        <f>Scores!$L$4*VLOOKUP(H19,Scores!$A$15:$B$18,2)+Scores!$M$4*VLOOKUP(I19,Scores!$A$15:$B$18,2)+Scores!$N$4*VLOOKUP(J19,Scores!$A$15:$B$18,2)+Scores!$O$4*VLOOKUP(K19,Scores!$A$15:$B$18,2)</f>
        <v>0</v>
      </c>
      <c r="K20" s="7"/>
      <c r="L20" s="7"/>
      <c r="M20" s="6">
        <f>Scores!$B$5*VLOOKUP(M19,Scores!$A$15:$B$18,2)+Scores!$C$5*VLOOKUP(N19,Scores!$A$15:$B$18,2)+Scores!$D$5*VLOOKUP(O19,Scores!$A$15:$B$18,2)+Scores!$E$5*VLOOKUP(P19,Scores!$A$15:$B$18,2)</f>
        <v>57</v>
      </c>
      <c r="N20" s="6">
        <f>Scores!$G$5*VLOOKUP(M19,Scores!$A$15:$B$18,2)+Scores!$H$5*VLOOKUP(N19,Scores!$A$15:$B$18,2)+Scores!$I$5*VLOOKUP(O19,Scores!$A$15:$B$18,2)+Scores!$J$5*VLOOKUP(P19,Scores!$A$15:$B$18,2)</f>
        <v>49</v>
      </c>
      <c r="O20" s="6">
        <f>Scores!$L$5*VLOOKUP(M19,Scores!$A$15:$B$18,2)+Scores!$M$5*VLOOKUP(N19,Scores!$A$15:$B$18,2)+Scores!$N$5*VLOOKUP(O19,Scores!$A$15:$B$18,2)+Scores!$O$5*VLOOKUP(P19,Scores!$A$15:$B$18,2)</f>
        <v>0</v>
      </c>
      <c r="P20" s="7"/>
      <c r="Q20" s="7"/>
      <c r="R20" s="6">
        <f>Scores!$B$6*VLOOKUP(R19,Scores!$A$15:$B$18,2)+Scores!$C$6*VLOOKUP(S19,Scores!$A$15:$B$18,2)+Scores!$D$6*VLOOKUP(T19,Scores!$A$15:$B$18,2)+Scores!$E$6*VLOOKUP(U19,Scores!$A$15:$B$18,2)</f>
        <v>46</v>
      </c>
      <c r="S20" s="6">
        <f>Scores!$G$6*VLOOKUP(R19,Scores!$A$15:$B$18,2)+Scores!$H$6*VLOOKUP(S19,Scores!$A$15:$B$18,2)+Scores!$I$6*VLOOKUP(T19,Scores!$A$15:$B$18,2)+Scores!$J$6*VLOOKUP(U19,Scores!$A$15:$B$18,2)</f>
        <v>42</v>
      </c>
      <c r="T20" s="6">
        <f>Scores!$L$6*VLOOKUP(R19,Scores!$A$15:$B$18,2)+Scores!$M$6*VLOOKUP(S19,Scores!$A$15:$B$18,2)+Scores!$N$6*VLOOKUP(T19,Scores!$A$15:$B$18,2)+Scores!$O$6*VLOOKUP(U19,Scores!$A$15:$B$18,2)</f>
        <v>56</v>
      </c>
      <c r="U20" s="7"/>
      <c r="V20" s="7"/>
      <c r="W20" s="6">
        <f>Scores!$B$7*VLOOKUP(W19,Scores!$A$15:$B$18,2)+Scores!$C$7*VLOOKUP(X19,Scores!$A$15:$B$18,2)+Scores!$D$7*VLOOKUP(Y19,Scores!$A$15:$B$18,2)+Scores!$E$7*VLOOKUP(Z19,Scores!$A$15:$B$18,2)</f>
        <v>62</v>
      </c>
      <c r="X20" s="6">
        <f>Scores!$G$7*VLOOKUP(W19,Scores!$A$15:$B$18,2)+Scores!$H$7*VLOOKUP(X19,Scores!$A$15:$B$18,2)+Scores!$I$7*VLOOKUP(Y19,Scores!$A$15:$B$18,2)+Scores!$J$7*VLOOKUP(Z19,Scores!$A$15:$B$18,2)</f>
        <v>62</v>
      </c>
      <c r="Y20" s="6">
        <f>Scores!$L$7*VLOOKUP(W19,Scores!$A$15:$B$18,2)+Scores!$M$7*VLOOKUP(X19,Scores!$A$15:$B$18,2)+Scores!$N$7*VLOOKUP(Y19,Scores!$A$15:$B$18,2)+Scores!$O$7*VLOOKUP(Z19,Scores!$A$15:$B$18,2)</f>
        <v>50</v>
      </c>
      <c r="Z20" s="7"/>
      <c r="AA20" s="7"/>
      <c r="AB20" s="6">
        <f>Scores!$B$8*VLOOKUP(AB19,Scores!$A$15:$B$18,2)+Scores!$C$8*VLOOKUP(AC19,Scores!$A$15:$B$18,2)+Scores!$D$8*VLOOKUP(AD19,Scores!$A$15:$B$18,2)+Scores!$E$8*VLOOKUP(AE19,Scores!$A$15:$B$18,2)</f>
        <v>62</v>
      </c>
      <c r="AC20" s="6">
        <f>Scores!$G$8*VLOOKUP(AB19,Scores!$A$15:$B$18,2)+Scores!$H$8*VLOOKUP(AC19,Scores!$A$15:$B$18,2)+Scores!$I$8*VLOOKUP(AD19,Scores!$A$15:$B$18,2)+Scores!$J$8*VLOOKUP(AE19,Scores!$A$15:$B$18,2)</f>
        <v>60</v>
      </c>
      <c r="AD20" s="6">
        <f>Scores!$L$8*VLOOKUP(AB19,Scores!$A$15:$B$18,2)+Scores!$M$8*VLOOKUP(AC19,Scores!$A$15:$B$18,2)+Scores!$N$8*VLOOKUP(AD19,Scores!$A$15:$B$18,2)+Scores!$O$8*VLOOKUP(AE19,Scores!$A$15:$B$18,2)</f>
        <v>48</v>
      </c>
      <c r="AE20" s="7"/>
      <c r="AF20" s="7"/>
      <c r="AG20" s="6">
        <f>Scores!$B$9*VLOOKUP(AG19,Scores!$A$15:$B$18,2)+Scores!$C$9*VLOOKUP(AH19,Scores!$A$15:$B$18,2)+Scores!$D$9*VLOOKUP(AI19,Scores!$A$15:$B$18,2)+Scores!$E$9*VLOOKUP(AJ19,Scores!$A$15:$B$18,2)</f>
        <v>0</v>
      </c>
      <c r="AH20" s="6">
        <f>Scores!$G$9*VLOOKUP(AG19,Scores!$A$15:$B$18,2)+Scores!$H$9*VLOOKUP(AH19,Scores!$A$15:$B$18,2)+Scores!$I$9*VLOOKUP(AI19,Scores!$A$15:$B$18,2)+Scores!$J$9*VLOOKUP(AJ19,Scores!$A$15:$B$18,2)</f>
        <v>62</v>
      </c>
      <c r="AI20" s="6">
        <f>Scores!$L$9*VLOOKUP(AG19,Scores!$A$15:$B$18,2)+Scores!$M$9*VLOOKUP(AH19,Scores!$A$15:$B$18,2)+Scores!$N$9*VLOOKUP(AI19,Scores!$A$15:$B$18,2)+Scores!$O$9*VLOOKUP(AJ19,Scores!$A$15:$B$18,2)</f>
        <v>0</v>
      </c>
      <c r="AJ20" s="7"/>
      <c r="AK20" s="7"/>
      <c r="AL20" s="6">
        <f>Scores!$B$10*VLOOKUP(AL19,Scores!$A$15:$B$18,2)+Scores!$C$10*VLOOKUP(AM19,Scores!$A$15:$B$18,2)+Scores!$D$10*VLOOKUP(AN19,Scores!$A$15:$B$18,2)+Scores!$E$10*VLOOKUP(AO19,Scores!$A$15:$B$18,2)</f>
        <v>0</v>
      </c>
      <c r="AM20" s="6">
        <f>Scores!$G$10*VLOOKUP(AL19,Scores!$A$15:$B$18,2)+Scores!$H$10*VLOOKUP(AM19,Scores!$A$15:$B$18,2)+Scores!$I$10*VLOOKUP(AN19,Scores!$A$15:$B$18,2)+Scores!$J$10*VLOOKUP(AO19,Scores!$A$15:$B$18,2)</f>
        <v>0</v>
      </c>
      <c r="AN20" s="6">
        <f>Scores!$L$10*VLOOKUP(AL19,Scores!$A$15:$B$18,2)+Scores!$M$10*VLOOKUP(AM19,Scores!$A$15:$B$18,2)+Scores!$N$10*VLOOKUP(AN19,Scores!$A$15:$B$18,2)+Scores!$O$10*VLOOKUP(AO19,Scores!$A$15:$B$18,2)</f>
        <v>0</v>
      </c>
      <c r="AO20" s="7"/>
    </row>
    <row r="21" spans="1:49" x14ac:dyDescent="0.25">
      <c r="A21" t="s">
        <v>55</v>
      </c>
      <c r="B21" t="s">
        <v>37</v>
      </c>
      <c r="C21">
        <v>1</v>
      </c>
      <c r="D21">
        <v>4</v>
      </c>
      <c r="E21">
        <v>3</v>
      </c>
      <c r="F21">
        <v>2</v>
      </c>
      <c r="H21">
        <v>2</v>
      </c>
      <c r="I21">
        <v>3</v>
      </c>
      <c r="J21">
        <v>4</v>
      </c>
      <c r="K21">
        <v>1</v>
      </c>
      <c r="M21">
        <v>2</v>
      </c>
      <c r="N21">
        <v>3</v>
      </c>
      <c r="O21">
        <v>4</v>
      </c>
      <c r="P21">
        <v>1</v>
      </c>
      <c r="R21">
        <v>2</v>
      </c>
      <c r="S21">
        <v>3</v>
      </c>
      <c r="T21">
        <v>4</v>
      </c>
      <c r="U21">
        <v>1</v>
      </c>
      <c r="W21">
        <v>2</v>
      </c>
      <c r="X21">
        <v>3</v>
      </c>
      <c r="Y21">
        <v>1</v>
      </c>
      <c r="Z21">
        <v>4</v>
      </c>
      <c r="AB21">
        <v>1</v>
      </c>
      <c r="AC21">
        <v>2</v>
      </c>
      <c r="AD21">
        <v>4</v>
      </c>
      <c r="AE21">
        <v>3</v>
      </c>
      <c r="AG21">
        <v>1</v>
      </c>
      <c r="AH21">
        <v>2</v>
      </c>
      <c r="AI21">
        <v>3</v>
      </c>
      <c r="AJ21">
        <v>4</v>
      </c>
      <c r="AL21">
        <v>1</v>
      </c>
      <c r="AM21">
        <v>2</v>
      </c>
      <c r="AN21">
        <v>3</v>
      </c>
      <c r="AO21">
        <v>4</v>
      </c>
      <c r="AQ21" s="9">
        <f>((C22+H22+M22+R22+W22)-Scores!$E$15)/(Scores!$I$15-Scores!$E$15)</f>
        <v>0.71551724137931039</v>
      </c>
      <c r="AR21" s="9">
        <f>((D22+I22+N22+S22+X22)-Scores!$E$16)/(Scores!$I$16-Scores!$E$16)</f>
        <v>0.85517241379310349</v>
      </c>
      <c r="AS21" s="9">
        <f>((E22+J22+O22+T22+Y22)-Scores!$E$17)/(Scores!$I$17-Scores!$E$17)</f>
        <v>0.44827586206896552</v>
      </c>
      <c r="AT21" s="9"/>
      <c r="AU21" s="9">
        <f>((AB22+AG22+AL22)-Scores!$F$15)/(Scores!$J$15-Scores!$F$15)</f>
        <v>1</v>
      </c>
      <c r="AV21" s="9">
        <f>((AC22+AH22+AM22)-Scores!$F$16)/(Scores!$J$16-Scores!$F$16)</f>
        <v>0.55172413793103448</v>
      </c>
      <c r="AW21" s="9">
        <f>((AD22+AI22+AN22)-Scores!$F$17)/(Scores!$J$17-Scores!$F$17)</f>
        <v>0.51724137931034486</v>
      </c>
    </row>
    <row r="22" spans="1:49" s="5" customFormat="1" ht="11.25" x14ac:dyDescent="0.2">
      <c r="C22" s="6">
        <f>Scores!$B$3*VLOOKUP(C21,Scores!$A$15:$B$18,2)+Scores!$C$3*VLOOKUP(D21,Scores!$A$15:$B$18,2)+Scores!$D$3*VLOOKUP(E21,Scores!$A$15:$B$18,2)+Scores!$E$3*VLOOKUP(F21,Scores!$A$15:$B$18,2)</f>
        <v>0</v>
      </c>
      <c r="D22" s="6">
        <f>Scores!$G$3*VLOOKUP(C21,Scores!$A$15:$B$18,2)+Scores!$H$3*VLOOKUP(D21,Scores!$A$15:$B$18,2)+Scores!$I$3*VLOOKUP(E21,Scores!$A$15:$B$18,2)+Scores!$J$3*VLOOKUP(F21,Scores!$A$15:$B$18,2)</f>
        <v>62</v>
      </c>
      <c r="E22" s="6">
        <f>Scores!$L$3*VLOOKUP(C21,Scores!$A$15:$B$18,2)+Scores!$M$3*VLOOKUP(D21,Scores!$A$15:$B$18,2)+Scores!$N$3*VLOOKUP(E21,Scores!$A$15:$B$18,2)+Scores!$O$3*VLOOKUP(F21,Scores!$A$15:$B$18,2)</f>
        <v>0</v>
      </c>
      <c r="F22" s="7"/>
      <c r="G22" s="7"/>
      <c r="H22" s="6">
        <f>Scores!$B$4*VLOOKUP(H21,Scores!$A$15:$B$18,2)+Scores!$C$4*VLOOKUP(I21,Scores!$A$15:$B$18,2)+Scores!$D$4*VLOOKUP(J21,Scores!$A$15:$B$18,2)+Scores!$E$4*VLOOKUP(K21,Scores!$A$15:$B$18,2)</f>
        <v>40</v>
      </c>
      <c r="I22" s="6">
        <f>Scores!$G$4*VLOOKUP(H21,Scores!$A$15:$B$18,2)+Scores!$H$4*VLOOKUP(I21,Scores!$A$15:$B$18,2)+Scores!$I$4*VLOOKUP(J21,Scores!$A$15:$B$18,2)+Scores!$J$4*VLOOKUP(K21,Scores!$A$15:$B$18,2)</f>
        <v>55</v>
      </c>
      <c r="J22" s="6">
        <f>Scores!$L$4*VLOOKUP(H21,Scores!$A$15:$B$18,2)+Scores!$M$4*VLOOKUP(I21,Scores!$A$15:$B$18,2)+Scores!$N$4*VLOOKUP(J21,Scores!$A$15:$B$18,2)+Scores!$O$4*VLOOKUP(K21,Scores!$A$15:$B$18,2)</f>
        <v>0</v>
      </c>
      <c r="K22" s="7"/>
      <c r="L22" s="7"/>
      <c r="M22" s="6">
        <f>Scores!$B$5*VLOOKUP(M21,Scores!$A$15:$B$18,2)+Scores!$C$5*VLOOKUP(N21,Scores!$A$15:$B$18,2)+Scores!$D$5*VLOOKUP(O21,Scores!$A$15:$B$18,2)+Scores!$E$5*VLOOKUP(P21,Scores!$A$15:$B$18,2)</f>
        <v>53</v>
      </c>
      <c r="N22" s="6">
        <f>Scores!$G$5*VLOOKUP(M21,Scores!$A$15:$B$18,2)+Scores!$H$5*VLOOKUP(N21,Scores!$A$15:$B$18,2)+Scores!$I$5*VLOOKUP(O21,Scores!$A$15:$B$18,2)+Scores!$J$5*VLOOKUP(P21,Scores!$A$15:$B$18,2)</f>
        <v>55</v>
      </c>
      <c r="O22" s="6">
        <f>Scores!$L$5*VLOOKUP(M21,Scores!$A$15:$B$18,2)+Scores!$M$5*VLOOKUP(N21,Scores!$A$15:$B$18,2)+Scores!$N$5*VLOOKUP(O21,Scores!$A$15:$B$18,2)+Scores!$O$5*VLOOKUP(P21,Scores!$A$15:$B$18,2)</f>
        <v>0</v>
      </c>
      <c r="P22" s="7"/>
      <c r="Q22" s="7"/>
      <c r="R22" s="6">
        <f>Scores!$B$6*VLOOKUP(R21,Scores!$A$15:$B$18,2)+Scores!$C$6*VLOOKUP(S21,Scores!$A$15:$B$18,2)+Scores!$D$6*VLOOKUP(T21,Scores!$A$15:$B$18,2)+Scores!$E$6*VLOOKUP(U21,Scores!$A$15:$B$18,2)</f>
        <v>60</v>
      </c>
      <c r="S22" s="6">
        <f>Scores!$G$6*VLOOKUP(R21,Scores!$A$15:$B$18,2)+Scores!$H$6*VLOOKUP(S21,Scores!$A$15:$B$18,2)+Scores!$I$6*VLOOKUP(T21,Scores!$A$15:$B$18,2)+Scores!$J$6*VLOOKUP(U21,Scores!$A$15:$B$18,2)</f>
        <v>55</v>
      </c>
      <c r="T22" s="6">
        <f>Scores!$L$6*VLOOKUP(R21,Scores!$A$15:$B$18,2)+Scores!$M$6*VLOOKUP(S21,Scores!$A$15:$B$18,2)+Scores!$N$6*VLOOKUP(T21,Scores!$A$15:$B$18,2)+Scores!$O$6*VLOOKUP(U21,Scores!$A$15:$B$18,2)</f>
        <v>42</v>
      </c>
      <c r="U22" s="7"/>
      <c r="V22" s="7"/>
      <c r="W22" s="6">
        <f>Scores!$B$7*VLOOKUP(W21,Scores!$A$15:$B$18,2)+Scores!$C$7*VLOOKUP(X21,Scores!$A$15:$B$18,2)+Scores!$D$7*VLOOKUP(Y21,Scores!$A$15:$B$18,2)+Scores!$E$7*VLOOKUP(Z21,Scores!$A$15:$B$18,2)</f>
        <v>62</v>
      </c>
      <c r="X22" s="6">
        <f>Scores!$G$7*VLOOKUP(W21,Scores!$A$15:$B$18,2)+Scores!$H$7*VLOOKUP(X21,Scores!$A$15:$B$18,2)+Scores!$I$7*VLOOKUP(Y21,Scores!$A$15:$B$18,2)+Scores!$J$7*VLOOKUP(Z21,Scores!$A$15:$B$18,2)</f>
        <v>62</v>
      </c>
      <c r="Y22" s="6">
        <f>Scores!$L$7*VLOOKUP(W21,Scores!$A$15:$B$18,2)+Scores!$M$7*VLOOKUP(X21,Scores!$A$15:$B$18,2)+Scores!$N$7*VLOOKUP(Y21,Scores!$A$15:$B$18,2)+Scores!$O$7*VLOOKUP(Z21,Scores!$A$15:$B$18,2)</f>
        <v>50</v>
      </c>
      <c r="Z22" s="7"/>
      <c r="AA22" s="7"/>
      <c r="AB22" s="6">
        <f>Scores!$B$8*VLOOKUP(AB21,Scores!$A$15:$B$18,2)+Scores!$C$8*VLOOKUP(AC21,Scores!$A$15:$B$18,2)+Scores!$D$8*VLOOKUP(AD21,Scores!$A$15:$B$18,2)+Scores!$E$8*VLOOKUP(AE21,Scores!$A$15:$B$18,2)</f>
        <v>62</v>
      </c>
      <c r="AC22" s="6">
        <f>Scores!$G$8*VLOOKUP(AB21,Scores!$A$15:$B$18,2)+Scores!$H$8*VLOOKUP(AC21,Scores!$A$15:$B$18,2)+Scores!$I$8*VLOOKUP(AD21,Scores!$A$15:$B$18,2)+Scores!$J$8*VLOOKUP(AE21,Scores!$A$15:$B$18,2)</f>
        <v>60</v>
      </c>
      <c r="AD22" s="6">
        <f>Scores!$L$8*VLOOKUP(AB21,Scores!$A$15:$B$18,2)+Scores!$M$8*VLOOKUP(AC21,Scores!$A$15:$B$18,2)+Scores!$N$8*VLOOKUP(AD21,Scores!$A$15:$B$18,2)+Scores!$O$8*VLOOKUP(AE21,Scores!$A$15:$B$18,2)</f>
        <v>48</v>
      </c>
      <c r="AE22" s="7"/>
      <c r="AF22" s="7"/>
      <c r="AG22" s="6">
        <f>Scores!$B$9*VLOOKUP(AG21,Scores!$A$15:$B$18,2)+Scores!$C$9*VLOOKUP(AH21,Scores!$A$15:$B$18,2)+Scores!$D$9*VLOOKUP(AI21,Scores!$A$15:$B$18,2)+Scores!$E$9*VLOOKUP(AJ21,Scores!$A$15:$B$18,2)</f>
        <v>0</v>
      </c>
      <c r="AH22" s="6">
        <f>Scores!$G$9*VLOOKUP(AG21,Scores!$A$15:$B$18,2)+Scores!$H$9*VLOOKUP(AH21,Scores!$A$15:$B$18,2)+Scores!$I$9*VLOOKUP(AI21,Scores!$A$15:$B$18,2)+Scores!$J$9*VLOOKUP(AJ21,Scores!$A$15:$B$18,2)</f>
        <v>38</v>
      </c>
      <c r="AI22" s="6">
        <f>Scores!$L$9*VLOOKUP(AG21,Scores!$A$15:$B$18,2)+Scores!$M$9*VLOOKUP(AH21,Scores!$A$15:$B$18,2)+Scores!$N$9*VLOOKUP(AI21,Scores!$A$15:$B$18,2)+Scores!$O$9*VLOOKUP(AJ21,Scores!$A$15:$B$18,2)</f>
        <v>0</v>
      </c>
      <c r="AJ22" s="7"/>
      <c r="AK22" s="7"/>
      <c r="AL22" s="6">
        <f>Scores!$B$10*VLOOKUP(AL21,Scores!$A$15:$B$18,2)+Scores!$C$10*VLOOKUP(AM21,Scores!$A$15:$B$18,2)+Scores!$D$10*VLOOKUP(AN21,Scores!$A$15:$B$18,2)+Scores!$E$10*VLOOKUP(AO21,Scores!$A$15:$B$18,2)</f>
        <v>0</v>
      </c>
      <c r="AM22" s="6">
        <f>Scores!$G$10*VLOOKUP(AL21,Scores!$A$15:$B$18,2)+Scores!$H$10*VLOOKUP(AM21,Scores!$A$15:$B$18,2)+Scores!$I$10*VLOOKUP(AN21,Scores!$A$15:$B$18,2)+Scores!$J$10*VLOOKUP(AO21,Scores!$A$15:$B$18,2)</f>
        <v>0</v>
      </c>
      <c r="AN22" s="6">
        <f>Scores!$L$10*VLOOKUP(AL21,Scores!$A$15:$B$18,2)+Scores!$M$10*VLOOKUP(AM21,Scores!$A$15:$B$18,2)+Scores!$N$10*VLOOKUP(AN21,Scores!$A$15:$B$18,2)+Scores!$O$10*VLOOKUP(AO21,Scores!$A$15:$B$18,2)</f>
        <v>0</v>
      </c>
      <c r="AO22" s="7"/>
    </row>
    <row r="23" spans="1:49" x14ac:dyDescent="0.25">
      <c r="A23" t="s">
        <v>56</v>
      </c>
      <c r="B23" t="s">
        <v>16</v>
      </c>
      <c r="C23">
        <v>1</v>
      </c>
      <c r="D23">
        <v>4</v>
      </c>
      <c r="E23">
        <v>3</v>
      </c>
      <c r="F23">
        <v>2</v>
      </c>
      <c r="H23">
        <v>3</v>
      </c>
      <c r="I23">
        <v>1</v>
      </c>
      <c r="J23">
        <v>4</v>
      </c>
      <c r="K23">
        <v>2</v>
      </c>
      <c r="M23">
        <v>3</v>
      </c>
      <c r="N23">
        <v>1</v>
      </c>
      <c r="O23">
        <v>2</v>
      </c>
      <c r="P23">
        <v>4</v>
      </c>
      <c r="R23">
        <v>3</v>
      </c>
      <c r="S23">
        <v>2</v>
      </c>
      <c r="T23">
        <v>4</v>
      </c>
      <c r="U23">
        <v>1</v>
      </c>
      <c r="W23">
        <v>2</v>
      </c>
      <c r="X23">
        <v>3</v>
      </c>
      <c r="Y23">
        <v>1</v>
      </c>
      <c r="Z23">
        <v>4</v>
      </c>
      <c r="AB23">
        <v>1</v>
      </c>
      <c r="AC23">
        <v>3</v>
      </c>
      <c r="AD23">
        <v>4</v>
      </c>
      <c r="AE23">
        <v>2</v>
      </c>
      <c r="AG23">
        <v>2</v>
      </c>
      <c r="AH23">
        <v>4</v>
      </c>
      <c r="AI23">
        <v>3</v>
      </c>
      <c r="AJ23">
        <v>1</v>
      </c>
      <c r="AL23">
        <v>1</v>
      </c>
      <c r="AM23">
        <v>2</v>
      </c>
      <c r="AN23">
        <v>3</v>
      </c>
      <c r="AO23">
        <v>4</v>
      </c>
      <c r="AQ23" s="9">
        <f>((C24+H24+M24+R24+W24)-Scores!$E$15)/(Scores!$I$15-Scores!$E$15)</f>
        <v>0.82758620689655171</v>
      </c>
      <c r="AR23" s="9">
        <f>((D24+I24+N24+S24+X24)-Scores!$E$16)/(Scores!$I$16-Scores!$E$16)</f>
        <v>0.56551724137931036</v>
      </c>
      <c r="AS23" s="9">
        <f>((E24+J24+O24+T24+Y24)-Scores!$E$17)/(Scores!$I$17-Scores!$E$17)</f>
        <v>0.37931034482758619</v>
      </c>
      <c r="AT23" s="9"/>
      <c r="AU23" s="9">
        <f>((AB24+AG24+AL24)-Scores!$F$15)/(Scores!$J$15-Scores!$F$15)</f>
        <v>0.93103448275862066</v>
      </c>
      <c r="AV23" s="9">
        <f>((AC24+AH24+AM24)-Scores!$F$16)/(Scores!$J$16-Scores!$F$16)</f>
        <v>0.96551724137931039</v>
      </c>
      <c r="AW23" s="9">
        <f>((AD24+AI24+AN24)-Scores!$F$17)/(Scores!$J$17-Scores!$F$17)</f>
        <v>0.58620689655172409</v>
      </c>
    </row>
    <row r="24" spans="1:49" s="5" customFormat="1" ht="11.25" x14ac:dyDescent="0.2">
      <c r="C24" s="6">
        <f>Scores!$B$3*VLOOKUP(C23,Scores!$A$15:$B$18,2)+Scores!$C$3*VLOOKUP(D23,Scores!$A$15:$B$18,2)+Scores!$D$3*VLOOKUP(E23,Scores!$A$15:$B$18,2)+Scores!$E$3*VLOOKUP(F23,Scores!$A$15:$B$18,2)</f>
        <v>0</v>
      </c>
      <c r="D24" s="6">
        <f>Scores!$G$3*VLOOKUP(C23,Scores!$A$15:$B$18,2)+Scores!$H$3*VLOOKUP(D23,Scores!$A$15:$B$18,2)+Scores!$I$3*VLOOKUP(E23,Scores!$A$15:$B$18,2)+Scores!$J$3*VLOOKUP(F23,Scores!$A$15:$B$18,2)</f>
        <v>62</v>
      </c>
      <c r="E24" s="6">
        <f>Scores!$L$3*VLOOKUP(C23,Scores!$A$15:$B$18,2)+Scores!$M$3*VLOOKUP(D23,Scores!$A$15:$B$18,2)+Scores!$N$3*VLOOKUP(E23,Scores!$A$15:$B$18,2)+Scores!$O$3*VLOOKUP(F23,Scores!$A$15:$B$18,2)</f>
        <v>0</v>
      </c>
      <c r="F24" s="7"/>
      <c r="G24" s="7"/>
      <c r="H24" s="6">
        <f>Scores!$B$4*VLOOKUP(H23,Scores!$A$15:$B$18,2)+Scores!$C$4*VLOOKUP(I23,Scores!$A$15:$B$18,2)+Scores!$D$4*VLOOKUP(J23,Scores!$A$15:$B$18,2)+Scores!$E$4*VLOOKUP(K23,Scores!$A$15:$B$18,2)</f>
        <v>56</v>
      </c>
      <c r="I24" s="6">
        <f>Scores!$G$4*VLOOKUP(H23,Scores!$A$15:$B$18,2)+Scores!$H$4*VLOOKUP(I23,Scores!$A$15:$B$18,2)+Scores!$I$4*VLOOKUP(J23,Scores!$A$15:$B$18,2)+Scores!$J$4*VLOOKUP(K23,Scores!$A$15:$B$18,2)</f>
        <v>39</v>
      </c>
      <c r="J24" s="6">
        <f>Scores!$L$4*VLOOKUP(H23,Scores!$A$15:$B$18,2)+Scores!$M$4*VLOOKUP(I23,Scores!$A$15:$B$18,2)+Scores!$N$4*VLOOKUP(J23,Scores!$A$15:$B$18,2)+Scores!$O$4*VLOOKUP(K23,Scores!$A$15:$B$18,2)</f>
        <v>0</v>
      </c>
      <c r="K24" s="7"/>
      <c r="L24" s="7"/>
      <c r="M24" s="6">
        <f>Scores!$B$5*VLOOKUP(M23,Scores!$A$15:$B$18,2)+Scores!$C$5*VLOOKUP(N23,Scores!$A$15:$B$18,2)+Scores!$D$5*VLOOKUP(O23,Scores!$A$15:$B$18,2)+Scores!$E$5*VLOOKUP(P23,Scores!$A$15:$B$18,2)</f>
        <v>54</v>
      </c>
      <c r="N24" s="6">
        <f>Scores!$G$5*VLOOKUP(M23,Scores!$A$15:$B$18,2)+Scores!$H$5*VLOOKUP(N23,Scores!$A$15:$B$18,2)+Scores!$I$5*VLOOKUP(O23,Scores!$A$15:$B$18,2)+Scores!$J$5*VLOOKUP(P23,Scores!$A$15:$B$18,2)</f>
        <v>35</v>
      </c>
      <c r="O24" s="6">
        <f>Scores!$L$5*VLOOKUP(M23,Scores!$A$15:$B$18,2)+Scores!$M$5*VLOOKUP(N23,Scores!$A$15:$B$18,2)+Scores!$N$5*VLOOKUP(O23,Scores!$A$15:$B$18,2)+Scores!$O$5*VLOOKUP(P23,Scores!$A$15:$B$18,2)</f>
        <v>0</v>
      </c>
      <c r="P24" s="7"/>
      <c r="Q24" s="7"/>
      <c r="R24" s="6">
        <f>Scores!$B$6*VLOOKUP(R23,Scores!$A$15:$B$18,2)+Scores!$C$6*VLOOKUP(S23,Scores!$A$15:$B$18,2)+Scores!$D$6*VLOOKUP(T23,Scores!$A$15:$B$18,2)+Scores!$E$6*VLOOKUP(U23,Scores!$A$15:$B$18,2)</f>
        <v>56</v>
      </c>
      <c r="S24" s="6">
        <f>Scores!$G$6*VLOOKUP(R23,Scores!$A$15:$B$18,2)+Scores!$H$6*VLOOKUP(S23,Scores!$A$15:$B$18,2)+Scores!$I$6*VLOOKUP(T23,Scores!$A$15:$B$18,2)+Scores!$J$6*VLOOKUP(U23,Scores!$A$15:$B$18,2)</f>
        <v>49</v>
      </c>
      <c r="T24" s="6">
        <f>Scores!$L$6*VLOOKUP(R23,Scores!$A$15:$B$18,2)+Scores!$M$6*VLOOKUP(S23,Scores!$A$15:$B$18,2)+Scores!$N$6*VLOOKUP(T23,Scores!$A$15:$B$18,2)+Scores!$O$6*VLOOKUP(U23,Scores!$A$15:$B$18,2)</f>
        <v>38</v>
      </c>
      <c r="U24" s="7"/>
      <c r="V24" s="7"/>
      <c r="W24" s="6">
        <f>Scores!$B$7*VLOOKUP(W23,Scores!$A$15:$B$18,2)+Scores!$C$7*VLOOKUP(X23,Scores!$A$15:$B$18,2)+Scores!$D$7*VLOOKUP(Y23,Scores!$A$15:$B$18,2)+Scores!$E$7*VLOOKUP(Z23,Scores!$A$15:$B$18,2)</f>
        <v>62</v>
      </c>
      <c r="X24" s="6">
        <f>Scores!$G$7*VLOOKUP(W23,Scores!$A$15:$B$18,2)+Scores!$H$7*VLOOKUP(X23,Scores!$A$15:$B$18,2)+Scores!$I$7*VLOOKUP(Y23,Scores!$A$15:$B$18,2)+Scores!$J$7*VLOOKUP(Z23,Scores!$A$15:$B$18,2)</f>
        <v>62</v>
      </c>
      <c r="Y24" s="6">
        <f>Scores!$L$7*VLOOKUP(W23,Scores!$A$15:$B$18,2)+Scores!$M$7*VLOOKUP(X23,Scores!$A$15:$B$18,2)+Scores!$N$7*VLOOKUP(Y23,Scores!$A$15:$B$18,2)+Scores!$O$7*VLOOKUP(Z23,Scores!$A$15:$B$18,2)</f>
        <v>50</v>
      </c>
      <c r="Z24" s="7"/>
      <c r="AA24" s="7"/>
      <c r="AB24" s="6">
        <f>Scores!$B$8*VLOOKUP(AB23,Scores!$A$15:$B$18,2)+Scores!$C$8*VLOOKUP(AC23,Scores!$A$15:$B$18,2)+Scores!$D$8*VLOOKUP(AD23,Scores!$A$15:$B$18,2)+Scores!$E$8*VLOOKUP(AE23,Scores!$A$15:$B$18,2)</f>
        <v>60</v>
      </c>
      <c r="AC24" s="6">
        <f>Scores!$G$8*VLOOKUP(AB23,Scores!$A$15:$B$18,2)+Scores!$H$8*VLOOKUP(AC23,Scores!$A$15:$B$18,2)+Scores!$I$8*VLOOKUP(AD23,Scores!$A$15:$B$18,2)+Scores!$J$8*VLOOKUP(AE23,Scores!$A$15:$B$18,2)</f>
        <v>62</v>
      </c>
      <c r="AD24" s="6">
        <f>Scores!$L$8*VLOOKUP(AB23,Scores!$A$15:$B$18,2)+Scores!$M$8*VLOOKUP(AC23,Scores!$A$15:$B$18,2)+Scores!$N$8*VLOOKUP(AD23,Scores!$A$15:$B$18,2)+Scores!$O$8*VLOOKUP(AE23,Scores!$A$15:$B$18,2)</f>
        <v>50</v>
      </c>
      <c r="AE24" s="7"/>
      <c r="AF24" s="7"/>
      <c r="AG24" s="6">
        <f>Scores!$B$9*VLOOKUP(AG23,Scores!$A$15:$B$18,2)+Scores!$C$9*VLOOKUP(AH23,Scores!$A$15:$B$18,2)+Scores!$D$9*VLOOKUP(AI23,Scores!$A$15:$B$18,2)+Scores!$E$9*VLOOKUP(AJ23,Scores!$A$15:$B$18,2)</f>
        <v>0</v>
      </c>
      <c r="AH24" s="6">
        <f>Scores!$G$9*VLOOKUP(AG23,Scores!$A$15:$B$18,2)+Scores!$H$9*VLOOKUP(AH23,Scores!$A$15:$B$18,2)+Scores!$I$9*VLOOKUP(AI23,Scores!$A$15:$B$18,2)+Scores!$J$9*VLOOKUP(AJ23,Scores!$A$15:$B$18,2)</f>
        <v>60</v>
      </c>
      <c r="AI24" s="6">
        <f>Scores!$L$9*VLOOKUP(AG23,Scores!$A$15:$B$18,2)+Scores!$M$9*VLOOKUP(AH23,Scores!$A$15:$B$18,2)+Scores!$N$9*VLOOKUP(AI23,Scores!$A$15:$B$18,2)+Scores!$O$9*VLOOKUP(AJ23,Scores!$A$15:$B$18,2)</f>
        <v>0</v>
      </c>
      <c r="AJ24" s="7"/>
      <c r="AK24" s="7"/>
      <c r="AL24" s="6">
        <f>Scores!$B$10*VLOOKUP(AL23,Scores!$A$15:$B$18,2)+Scores!$C$10*VLOOKUP(AM23,Scores!$A$15:$B$18,2)+Scores!$D$10*VLOOKUP(AN23,Scores!$A$15:$B$18,2)+Scores!$E$10*VLOOKUP(AO23,Scores!$A$15:$B$18,2)</f>
        <v>0</v>
      </c>
      <c r="AM24" s="6">
        <f>Scores!$G$10*VLOOKUP(AL23,Scores!$A$15:$B$18,2)+Scores!$H$10*VLOOKUP(AM23,Scores!$A$15:$B$18,2)+Scores!$I$10*VLOOKUP(AN23,Scores!$A$15:$B$18,2)+Scores!$J$10*VLOOKUP(AO23,Scores!$A$15:$B$18,2)</f>
        <v>0</v>
      </c>
      <c r="AN24" s="6">
        <f>Scores!$L$10*VLOOKUP(AL23,Scores!$A$15:$B$18,2)+Scores!$M$10*VLOOKUP(AM23,Scores!$A$15:$B$18,2)+Scores!$N$10*VLOOKUP(AN23,Scores!$A$15:$B$18,2)+Scores!$O$10*VLOOKUP(AO23,Scores!$A$15:$B$18,2)</f>
        <v>0</v>
      </c>
      <c r="AO24" s="7"/>
    </row>
    <row r="25" spans="1:49" x14ac:dyDescent="0.25">
      <c r="A25" t="s">
        <v>57</v>
      </c>
      <c r="B25" t="s">
        <v>26</v>
      </c>
      <c r="C25">
        <v>1</v>
      </c>
      <c r="D25">
        <v>4</v>
      </c>
      <c r="E25">
        <v>3</v>
      </c>
      <c r="F25">
        <v>2</v>
      </c>
      <c r="H25">
        <v>4</v>
      </c>
      <c r="I25">
        <v>3</v>
      </c>
      <c r="J25">
        <v>2</v>
      </c>
      <c r="K25">
        <v>1</v>
      </c>
      <c r="M25">
        <v>2</v>
      </c>
      <c r="N25">
        <v>4</v>
      </c>
      <c r="O25">
        <v>1</v>
      </c>
      <c r="P25">
        <v>3</v>
      </c>
      <c r="R25">
        <v>3</v>
      </c>
      <c r="S25">
        <v>1</v>
      </c>
      <c r="T25">
        <v>4</v>
      </c>
      <c r="U25">
        <v>2</v>
      </c>
      <c r="W25">
        <v>2</v>
      </c>
      <c r="X25">
        <v>3</v>
      </c>
      <c r="Y25">
        <v>1</v>
      </c>
      <c r="Z25">
        <v>4</v>
      </c>
      <c r="AB25">
        <v>1</v>
      </c>
      <c r="AC25">
        <v>2</v>
      </c>
      <c r="AD25">
        <v>4</v>
      </c>
      <c r="AE25">
        <v>3</v>
      </c>
      <c r="AG25">
        <v>3</v>
      </c>
      <c r="AH25">
        <v>4</v>
      </c>
      <c r="AI25">
        <v>2</v>
      </c>
      <c r="AJ25">
        <v>1</v>
      </c>
      <c r="AL25">
        <v>4</v>
      </c>
      <c r="AM25">
        <v>1</v>
      </c>
      <c r="AN25">
        <v>3</v>
      </c>
      <c r="AO25">
        <v>2</v>
      </c>
      <c r="AQ25" s="9">
        <f>((C26+H26+M26+R26+W26)-Scores!$E$15)/(Scores!$I$15-Scores!$E$15)</f>
        <v>0.44827586206896552</v>
      </c>
      <c r="AR25" s="9">
        <f>((D26+I26+N26+S26+X26)-Scores!$E$16)/(Scores!$I$16-Scores!$E$16)</f>
        <v>0.65517241379310343</v>
      </c>
      <c r="AS25" s="9">
        <f>((E26+J26+O26+T26+Y26)-Scores!$E$17)/(Scores!$I$17-Scores!$E$17)</f>
        <v>0.29310344827586204</v>
      </c>
      <c r="AT25" s="9"/>
      <c r="AU25" s="9">
        <f>((AB26+AG26+AL26)-Scores!$F$15)/(Scores!$J$15-Scores!$F$15)</f>
        <v>1</v>
      </c>
      <c r="AV25" s="9">
        <f>((AC26+AH26+AM26)-Scores!$F$16)/(Scores!$J$16-Scores!$F$16)</f>
        <v>0.96551724137931039</v>
      </c>
      <c r="AW25" s="9">
        <f>((AD26+AI26+AN26)-Scores!$F$17)/(Scores!$J$17-Scores!$F$17)</f>
        <v>0.51724137931034486</v>
      </c>
    </row>
    <row r="26" spans="1:49" s="5" customFormat="1" ht="11.25" x14ac:dyDescent="0.2">
      <c r="C26" s="6">
        <f>Scores!$B$3*VLOOKUP(C25,Scores!$A$15:$B$18,2)+Scores!$C$3*VLOOKUP(D25,Scores!$A$15:$B$18,2)+Scores!$D$3*VLOOKUP(E25,Scores!$A$15:$B$18,2)+Scores!$E$3*VLOOKUP(F25,Scores!$A$15:$B$18,2)</f>
        <v>0</v>
      </c>
      <c r="D26" s="6">
        <f>Scores!$G$3*VLOOKUP(C25,Scores!$A$15:$B$18,2)+Scores!$H$3*VLOOKUP(D25,Scores!$A$15:$B$18,2)+Scores!$I$3*VLOOKUP(E25,Scores!$A$15:$B$18,2)+Scores!$J$3*VLOOKUP(F25,Scores!$A$15:$B$18,2)</f>
        <v>62</v>
      </c>
      <c r="E26" s="6">
        <f>Scores!$L$3*VLOOKUP(C25,Scores!$A$15:$B$18,2)+Scores!$M$3*VLOOKUP(D25,Scores!$A$15:$B$18,2)+Scores!$N$3*VLOOKUP(E25,Scores!$A$15:$B$18,2)+Scores!$O$3*VLOOKUP(F25,Scores!$A$15:$B$18,2)</f>
        <v>0</v>
      </c>
      <c r="F26" s="7"/>
      <c r="G26" s="7"/>
      <c r="H26" s="6">
        <f>Scores!$B$4*VLOOKUP(H25,Scores!$A$15:$B$18,2)+Scores!$C$4*VLOOKUP(I25,Scores!$A$15:$B$18,2)+Scores!$D$4*VLOOKUP(J25,Scores!$A$15:$B$18,2)+Scores!$E$4*VLOOKUP(K25,Scores!$A$15:$B$18,2)</f>
        <v>48</v>
      </c>
      <c r="I26" s="6">
        <f>Scores!$G$4*VLOOKUP(H25,Scores!$A$15:$B$18,2)+Scores!$H$4*VLOOKUP(I25,Scores!$A$15:$B$18,2)+Scores!$I$4*VLOOKUP(J25,Scores!$A$15:$B$18,2)+Scores!$J$4*VLOOKUP(K25,Scores!$A$15:$B$18,2)</f>
        <v>47</v>
      </c>
      <c r="J26" s="6">
        <f>Scores!$L$4*VLOOKUP(H25,Scores!$A$15:$B$18,2)+Scores!$M$4*VLOOKUP(I25,Scores!$A$15:$B$18,2)+Scores!$N$4*VLOOKUP(J25,Scores!$A$15:$B$18,2)+Scores!$O$4*VLOOKUP(K25,Scores!$A$15:$B$18,2)</f>
        <v>0</v>
      </c>
      <c r="K26" s="7"/>
      <c r="L26" s="7"/>
      <c r="M26" s="6">
        <f>Scores!$B$5*VLOOKUP(M25,Scores!$A$15:$B$18,2)+Scores!$C$5*VLOOKUP(N25,Scores!$A$15:$B$18,2)+Scores!$D$5*VLOOKUP(O25,Scores!$A$15:$B$18,2)+Scores!$E$5*VLOOKUP(P25,Scores!$A$15:$B$18,2)</f>
        <v>33</v>
      </c>
      <c r="N26" s="6">
        <f>Scores!$G$5*VLOOKUP(M25,Scores!$A$15:$B$18,2)+Scores!$H$5*VLOOKUP(N25,Scores!$A$15:$B$18,2)+Scores!$I$5*VLOOKUP(O25,Scores!$A$15:$B$18,2)+Scores!$J$5*VLOOKUP(P25,Scores!$A$15:$B$18,2)</f>
        <v>50</v>
      </c>
      <c r="O26" s="6">
        <f>Scores!$L$5*VLOOKUP(M25,Scores!$A$15:$B$18,2)+Scores!$M$5*VLOOKUP(N25,Scores!$A$15:$B$18,2)+Scores!$N$5*VLOOKUP(O25,Scores!$A$15:$B$18,2)+Scores!$O$5*VLOOKUP(P25,Scores!$A$15:$B$18,2)</f>
        <v>0</v>
      </c>
      <c r="P26" s="7"/>
      <c r="Q26" s="7"/>
      <c r="R26" s="6">
        <f>Scores!$B$6*VLOOKUP(R25,Scores!$A$15:$B$18,2)+Scores!$C$6*VLOOKUP(S25,Scores!$A$15:$B$18,2)+Scores!$D$6*VLOOKUP(T25,Scores!$A$15:$B$18,2)+Scores!$E$6*VLOOKUP(U25,Scores!$A$15:$B$18,2)</f>
        <v>41</v>
      </c>
      <c r="S26" s="6">
        <f>Scores!$G$6*VLOOKUP(R25,Scores!$A$15:$B$18,2)+Scores!$H$6*VLOOKUP(S25,Scores!$A$15:$B$18,2)+Scores!$I$6*VLOOKUP(T25,Scores!$A$15:$B$18,2)+Scores!$J$6*VLOOKUP(U25,Scores!$A$15:$B$18,2)</f>
        <v>39</v>
      </c>
      <c r="T26" s="6">
        <f>Scores!$L$6*VLOOKUP(R25,Scores!$A$15:$B$18,2)+Scores!$M$6*VLOOKUP(S25,Scores!$A$15:$B$18,2)+Scores!$N$6*VLOOKUP(T25,Scores!$A$15:$B$18,2)+Scores!$O$6*VLOOKUP(U25,Scores!$A$15:$B$18,2)</f>
        <v>33</v>
      </c>
      <c r="U26" s="7"/>
      <c r="V26" s="7"/>
      <c r="W26" s="6">
        <f>Scores!$B$7*VLOOKUP(W25,Scores!$A$15:$B$18,2)+Scores!$C$7*VLOOKUP(X25,Scores!$A$15:$B$18,2)+Scores!$D$7*VLOOKUP(Y25,Scores!$A$15:$B$18,2)+Scores!$E$7*VLOOKUP(Z25,Scores!$A$15:$B$18,2)</f>
        <v>62</v>
      </c>
      <c r="X26" s="6">
        <f>Scores!$G$7*VLOOKUP(W25,Scores!$A$15:$B$18,2)+Scores!$H$7*VLOOKUP(X25,Scores!$A$15:$B$18,2)+Scores!$I$7*VLOOKUP(Y25,Scores!$A$15:$B$18,2)+Scores!$J$7*VLOOKUP(Z25,Scores!$A$15:$B$18,2)</f>
        <v>62</v>
      </c>
      <c r="Y26" s="6">
        <f>Scores!$L$7*VLOOKUP(W25,Scores!$A$15:$B$18,2)+Scores!$M$7*VLOOKUP(X25,Scores!$A$15:$B$18,2)+Scores!$N$7*VLOOKUP(Y25,Scores!$A$15:$B$18,2)+Scores!$O$7*VLOOKUP(Z25,Scores!$A$15:$B$18,2)</f>
        <v>50</v>
      </c>
      <c r="Z26" s="7"/>
      <c r="AA26" s="7"/>
      <c r="AB26" s="6">
        <f>Scores!$B$8*VLOOKUP(AB25,Scores!$A$15:$B$18,2)+Scores!$C$8*VLOOKUP(AC25,Scores!$A$15:$B$18,2)+Scores!$D$8*VLOOKUP(AD25,Scores!$A$15:$B$18,2)+Scores!$E$8*VLOOKUP(AE25,Scores!$A$15:$B$18,2)</f>
        <v>62</v>
      </c>
      <c r="AC26" s="6">
        <f>Scores!$G$8*VLOOKUP(AB25,Scores!$A$15:$B$18,2)+Scores!$H$8*VLOOKUP(AC25,Scores!$A$15:$B$18,2)+Scores!$I$8*VLOOKUP(AD25,Scores!$A$15:$B$18,2)+Scores!$J$8*VLOOKUP(AE25,Scores!$A$15:$B$18,2)</f>
        <v>60</v>
      </c>
      <c r="AD26" s="6">
        <f>Scores!$L$8*VLOOKUP(AB25,Scores!$A$15:$B$18,2)+Scores!$M$8*VLOOKUP(AC25,Scores!$A$15:$B$18,2)+Scores!$N$8*VLOOKUP(AD25,Scores!$A$15:$B$18,2)+Scores!$O$8*VLOOKUP(AE25,Scores!$A$15:$B$18,2)</f>
        <v>48</v>
      </c>
      <c r="AE26" s="7"/>
      <c r="AF26" s="7"/>
      <c r="AG26" s="6">
        <f>Scores!$B$9*VLOOKUP(AG25,Scores!$A$15:$B$18,2)+Scores!$C$9*VLOOKUP(AH25,Scores!$A$15:$B$18,2)+Scores!$D$9*VLOOKUP(AI25,Scores!$A$15:$B$18,2)+Scores!$E$9*VLOOKUP(AJ25,Scores!$A$15:$B$18,2)</f>
        <v>0</v>
      </c>
      <c r="AH26" s="6">
        <f>Scores!$G$9*VLOOKUP(AG25,Scores!$A$15:$B$18,2)+Scores!$H$9*VLOOKUP(AH25,Scores!$A$15:$B$18,2)+Scores!$I$9*VLOOKUP(AI25,Scores!$A$15:$B$18,2)+Scores!$J$9*VLOOKUP(AJ25,Scores!$A$15:$B$18,2)</f>
        <v>62</v>
      </c>
      <c r="AI26" s="6">
        <f>Scores!$L$9*VLOOKUP(AG25,Scores!$A$15:$B$18,2)+Scores!$M$9*VLOOKUP(AH25,Scores!$A$15:$B$18,2)+Scores!$N$9*VLOOKUP(AI25,Scores!$A$15:$B$18,2)+Scores!$O$9*VLOOKUP(AJ25,Scores!$A$15:$B$18,2)</f>
        <v>0</v>
      </c>
      <c r="AJ26" s="7"/>
      <c r="AK26" s="7"/>
      <c r="AL26" s="6">
        <f>Scores!$B$10*VLOOKUP(AL25,Scores!$A$15:$B$18,2)+Scores!$C$10*VLOOKUP(AM25,Scores!$A$15:$B$18,2)+Scores!$D$10*VLOOKUP(AN25,Scores!$A$15:$B$18,2)+Scores!$E$10*VLOOKUP(AO25,Scores!$A$15:$B$18,2)</f>
        <v>0</v>
      </c>
      <c r="AM26" s="6">
        <f>Scores!$G$10*VLOOKUP(AL25,Scores!$A$15:$B$18,2)+Scores!$H$10*VLOOKUP(AM25,Scores!$A$15:$B$18,2)+Scores!$I$10*VLOOKUP(AN25,Scores!$A$15:$B$18,2)+Scores!$J$10*VLOOKUP(AO25,Scores!$A$15:$B$18,2)</f>
        <v>0</v>
      </c>
      <c r="AN26" s="6">
        <f>Scores!$L$10*VLOOKUP(AL25,Scores!$A$15:$B$18,2)+Scores!$M$10*VLOOKUP(AM25,Scores!$A$15:$B$18,2)+Scores!$N$10*VLOOKUP(AN25,Scores!$A$15:$B$18,2)+Scores!$O$10*VLOOKUP(AO25,Scores!$A$15:$B$18,2)</f>
        <v>0</v>
      </c>
      <c r="AO26" s="7"/>
    </row>
    <row r="27" spans="1:49" x14ac:dyDescent="0.25">
      <c r="A27" t="s">
        <v>58</v>
      </c>
      <c r="B27" t="s">
        <v>43</v>
      </c>
      <c r="C27">
        <v>2</v>
      </c>
      <c r="D27">
        <v>4</v>
      </c>
      <c r="E27">
        <v>1</v>
      </c>
      <c r="F27">
        <v>3</v>
      </c>
      <c r="H27">
        <v>3</v>
      </c>
      <c r="I27">
        <v>4</v>
      </c>
      <c r="J27">
        <v>1</v>
      </c>
      <c r="K27">
        <v>2</v>
      </c>
      <c r="M27">
        <v>3</v>
      </c>
      <c r="N27">
        <v>4</v>
      </c>
      <c r="O27">
        <v>1</v>
      </c>
      <c r="P27">
        <v>2</v>
      </c>
      <c r="R27">
        <v>2</v>
      </c>
      <c r="S27">
        <v>4</v>
      </c>
      <c r="T27">
        <v>1</v>
      </c>
      <c r="U27">
        <v>3</v>
      </c>
      <c r="W27">
        <v>3</v>
      </c>
      <c r="X27">
        <v>2</v>
      </c>
      <c r="Y27">
        <v>1</v>
      </c>
      <c r="Z27">
        <v>4</v>
      </c>
      <c r="AB27">
        <v>2</v>
      </c>
      <c r="AC27">
        <v>3</v>
      </c>
      <c r="AD27">
        <v>4</v>
      </c>
      <c r="AE27">
        <v>1</v>
      </c>
      <c r="AG27">
        <v>3</v>
      </c>
      <c r="AH27">
        <v>2</v>
      </c>
      <c r="AI27">
        <v>1</v>
      </c>
      <c r="AJ27">
        <v>4</v>
      </c>
      <c r="AL27">
        <v>3</v>
      </c>
      <c r="AM27">
        <v>4</v>
      </c>
      <c r="AN27">
        <v>2</v>
      </c>
      <c r="AO27">
        <v>1</v>
      </c>
      <c r="AQ27" s="9">
        <f>((C28+H28+M28+R28+W28)-Scores!$E$15)/(Scores!$I$15-Scores!$E$15)</f>
        <v>0.5</v>
      </c>
      <c r="AR27" s="9">
        <f>((D28+I28+N28+S28+X28)-Scores!$E$16)/(Scores!$I$16-Scores!$E$16)</f>
        <v>0.62758620689655176</v>
      </c>
      <c r="AS27" s="9">
        <f>((E28+J28+O28+T28+Y28)-Scores!$E$17)/(Scores!$I$17-Scores!$E$17)</f>
        <v>0.75862068965517238</v>
      </c>
      <c r="AT27" s="9"/>
      <c r="AU27" s="9">
        <f>((AB28+AG28+AL28)-Scores!$F$15)/(Scores!$J$15-Scores!$F$15)</f>
        <v>0.58620689655172409</v>
      </c>
      <c r="AV27" s="9">
        <f>((AC28+AH28+AM28)-Scores!$F$16)/(Scores!$J$16-Scores!$F$16)</f>
        <v>0.62068965517241381</v>
      </c>
      <c r="AW27" s="9">
        <f>((AD28+AI28+AN28)-Scores!$F$17)/(Scores!$J$17-Scores!$F$17)</f>
        <v>0.93103448275862066</v>
      </c>
    </row>
    <row r="28" spans="1:49" s="5" customFormat="1" ht="11.25" x14ac:dyDescent="0.2">
      <c r="C28" s="6">
        <f>Scores!$B$3*VLOOKUP(C27,Scores!$A$15:$B$18,2)+Scores!$C$3*VLOOKUP(D27,Scores!$A$15:$B$18,2)+Scores!$D$3*VLOOKUP(E27,Scores!$A$15:$B$18,2)+Scores!$E$3*VLOOKUP(F27,Scores!$A$15:$B$18,2)</f>
        <v>0</v>
      </c>
      <c r="D28" s="6">
        <f>Scores!$G$3*VLOOKUP(C27,Scores!$A$15:$B$18,2)+Scores!$H$3*VLOOKUP(D27,Scores!$A$15:$B$18,2)+Scores!$I$3*VLOOKUP(E27,Scores!$A$15:$B$18,2)+Scores!$J$3*VLOOKUP(F27,Scores!$A$15:$B$18,2)</f>
        <v>50</v>
      </c>
      <c r="E28" s="6">
        <f>Scores!$L$3*VLOOKUP(C27,Scores!$A$15:$B$18,2)+Scores!$M$3*VLOOKUP(D27,Scores!$A$15:$B$18,2)+Scores!$N$3*VLOOKUP(E27,Scores!$A$15:$B$18,2)+Scores!$O$3*VLOOKUP(F27,Scores!$A$15:$B$18,2)</f>
        <v>0</v>
      </c>
      <c r="F28" s="7"/>
      <c r="G28" s="7"/>
      <c r="H28" s="6">
        <f>Scores!$B$4*VLOOKUP(H27,Scores!$A$15:$B$18,2)+Scores!$C$4*VLOOKUP(I27,Scores!$A$15:$B$18,2)+Scores!$D$4*VLOOKUP(J27,Scores!$A$15:$B$18,2)+Scores!$E$4*VLOOKUP(K27,Scores!$A$15:$B$18,2)</f>
        <v>47</v>
      </c>
      <c r="I28" s="6">
        <f>Scores!$G$4*VLOOKUP(H27,Scores!$A$15:$B$18,2)+Scores!$H$4*VLOOKUP(I27,Scores!$A$15:$B$18,2)+Scores!$I$4*VLOOKUP(J27,Scores!$A$15:$B$18,2)+Scores!$J$4*VLOOKUP(K27,Scores!$A$15:$B$18,2)</f>
        <v>48</v>
      </c>
      <c r="J28" s="6">
        <f>Scores!$L$4*VLOOKUP(H27,Scores!$A$15:$B$18,2)+Scores!$M$4*VLOOKUP(I27,Scores!$A$15:$B$18,2)+Scores!$N$4*VLOOKUP(J27,Scores!$A$15:$B$18,2)+Scores!$O$4*VLOOKUP(K27,Scores!$A$15:$B$18,2)</f>
        <v>0</v>
      </c>
      <c r="K28" s="7"/>
      <c r="L28" s="7"/>
      <c r="M28" s="6">
        <f>Scores!$B$5*VLOOKUP(M27,Scores!$A$15:$B$18,2)+Scores!$C$5*VLOOKUP(N27,Scores!$A$15:$B$18,2)+Scores!$D$5*VLOOKUP(O27,Scores!$A$15:$B$18,2)+Scores!$E$5*VLOOKUP(P27,Scores!$A$15:$B$18,2)</f>
        <v>35</v>
      </c>
      <c r="N28" s="6">
        <f>Scores!$G$5*VLOOKUP(M27,Scores!$A$15:$B$18,2)+Scores!$H$5*VLOOKUP(N27,Scores!$A$15:$B$18,2)+Scores!$I$5*VLOOKUP(O27,Scores!$A$15:$B$18,2)+Scores!$J$5*VLOOKUP(P27,Scores!$A$15:$B$18,2)</f>
        <v>48</v>
      </c>
      <c r="O28" s="6">
        <f>Scores!$L$5*VLOOKUP(M27,Scores!$A$15:$B$18,2)+Scores!$M$5*VLOOKUP(N27,Scores!$A$15:$B$18,2)+Scores!$N$5*VLOOKUP(O27,Scores!$A$15:$B$18,2)+Scores!$O$5*VLOOKUP(P27,Scores!$A$15:$B$18,2)</f>
        <v>0</v>
      </c>
      <c r="P28" s="7"/>
      <c r="Q28" s="7"/>
      <c r="R28" s="6">
        <f>Scores!$B$6*VLOOKUP(R27,Scores!$A$15:$B$18,2)+Scores!$C$6*VLOOKUP(S27,Scores!$A$15:$B$18,2)+Scores!$D$6*VLOOKUP(T27,Scores!$A$15:$B$18,2)+Scores!$E$6*VLOOKUP(U27,Scores!$A$15:$B$18,2)</f>
        <v>48</v>
      </c>
      <c r="S28" s="6">
        <f>Scores!$G$6*VLOOKUP(R27,Scores!$A$15:$B$18,2)+Scores!$H$6*VLOOKUP(S27,Scores!$A$15:$B$18,2)+Scores!$I$6*VLOOKUP(T27,Scores!$A$15:$B$18,2)+Scores!$J$6*VLOOKUP(U27,Scores!$A$15:$B$18,2)</f>
        <v>50</v>
      </c>
      <c r="T28" s="6">
        <f>Scores!$L$6*VLOOKUP(R27,Scores!$A$15:$B$18,2)+Scores!$M$6*VLOOKUP(S27,Scores!$A$15:$B$18,2)+Scores!$N$6*VLOOKUP(T27,Scores!$A$15:$B$18,2)+Scores!$O$6*VLOOKUP(U27,Scores!$A$15:$B$18,2)</f>
        <v>62</v>
      </c>
      <c r="U28" s="7"/>
      <c r="V28" s="7"/>
      <c r="W28" s="6">
        <f>Scores!$B$7*VLOOKUP(W27,Scores!$A$15:$B$18,2)+Scores!$C$7*VLOOKUP(X27,Scores!$A$15:$B$18,2)+Scores!$D$7*VLOOKUP(Y27,Scores!$A$15:$B$18,2)+Scores!$E$7*VLOOKUP(Z27,Scores!$A$15:$B$18,2)</f>
        <v>60</v>
      </c>
      <c r="X28" s="6">
        <f>Scores!$G$7*VLOOKUP(W27,Scores!$A$15:$B$18,2)+Scores!$H$7*VLOOKUP(X27,Scores!$A$15:$B$18,2)+Scores!$I$7*VLOOKUP(Y27,Scores!$A$15:$B$18,2)+Scores!$J$7*VLOOKUP(Z27,Scores!$A$15:$B$18,2)</f>
        <v>60</v>
      </c>
      <c r="Y28" s="6">
        <f>Scores!$L$7*VLOOKUP(W27,Scores!$A$15:$B$18,2)+Scores!$M$7*VLOOKUP(X27,Scores!$A$15:$B$18,2)+Scores!$N$7*VLOOKUP(Y27,Scores!$A$15:$B$18,2)+Scores!$O$7*VLOOKUP(Z27,Scores!$A$15:$B$18,2)</f>
        <v>48</v>
      </c>
      <c r="Z28" s="7"/>
      <c r="AA28" s="7"/>
      <c r="AB28" s="6">
        <f>Scores!$B$8*VLOOKUP(AB27,Scores!$A$15:$B$18,2)+Scores!$C$8*VLOOKUP(AC27,Scores!$A$15:$B$18,2)+Scores!$D$8*VLOOKUP(AD27,Scores!$A$15:$B$18,2)+Scores!$E$8*VLOOKUP(AE27,Scores!$A$15:$B$18,2)</f>
        <v>50</v>
      </c>
      <c r="AC28" s="6">
        <f>Scores!$G$8*VLOOKUP(AB27,Scores!$A$15:$B$18,2)+Scores!$H$8*VLOOKUP(AC27,Scores!$A$15:$B$18,2)+Scores!$I$8*VLOOKUP(AD27,Scores!$A$15:$B$18,2)+Scores!$J$8*VLOOKUP(AE27,Scores!$A$15:$B$18,2)</f>
        <v>57</v>
      </c>
      <c r="AD28" s="6">
        <f>Scores!$L$8*VLOOKUP(AB27,Scores!$A$15:$B$18,2)+Scores!$M$8*VLOOKUP(AC27,Scores!$A$15:$B$18,2)+Scores!$N$8*VLOOKUP(AD27,Scores!$A$15:$B$18,2)+Scores!$O$8*VLOOKUP(AE27,Scores!$A$15:$B$18,2)</f>
        <v>60</v>
      </c>
      <c r="AE28" s="7"/>
      <c r="AF28" s="7"/>
      <c r="AG28" s="6">
        <f>Scores!$B$9*VLOOKUP(AG27,Scores!$A$15:$B$18,2)+Scores!$C$9*VLOOKUP(AH27,Scores!$A$15:$B$18,2)+Scores!$D$9*VLOOKUP(AI27,Scores!$A$15:$B$18,2)+Scores!$E$9*VLOOKUP(AJ27,Scores!$A$15:$B$18,2)</f>
        <v>0</v>
      </c>
      <c r="AH28" s="6">
        <f>Scores!$G$9*VLOOKUP(AG27,Scores!$A$15:$B$18,2)+Scores!$H$9*VLOOKUP(AH27,Scores!$A$15:$B$18,2)+Scores!$I$9*VLOOKUP(AI27,Scores!$A$15:$B$18,2)+Scores!$J$9*VLOOKUP(AJ27,Scores!$A$15:$B$18,2)</f>
        <v>45</v>
      </c>
      <c r="AI28" s="6">
        <f>Scores!$L$9*VLOOKUP(AG27,Scores!$A$15:$B$18,2)+Scores!$M$9*VLOOKUP(AH27,Scores!$A$15:$B$18,2)+Scores!$N$9*VLOOKUP(AI27,Scores!$A$15:$B$18,2)+Scores!$O$9*VLOOKUP(AJ27,Scores!$A$15:$B$18,2)</f>
        <v>0</v>
      </c>
      <c r="AJ28" s="7"/>
      <c r="AK28" s="7"/>
      <c r="AL28" s="6">
        <f>Scores!$B$10*VLOOKUP(AL27,Scores!$A$15:$B$18,2)+Scores!$C$10*VLOOKUP(AM27,Scores!$A$15:$B$18,2)+Scores!$D$10*VLOOKUP(AN27,Scores!$A$15:$B$18,2)+Scores!$E$10*VLOOKUP(AO27,Scores!$A$15:$B$18,2)</f>
        <v>0</v>
      </c>
      <c r="AM28" s="6">
        <f>Scores!$G$10*VLOOKUP(AL27,Scores!$A$15:$B$18,2)+Scores!$H$10*VLOOKUP(AM27,Scores!$A$15:$B$18,2)+Scores!$I$10*VLOOKUP(AN27,Scores!$A$15:$B$18,2)+Scores!$J$10*VLOOKUP(AO27,Scores!$A$15:$B$18,2)</f>
        <v>0</v>
      </c>
      <c r="AN28" s="6">
        <f>Scores!$L$10*VLOOKUP(AL27,Scores!$A$15:$B$18,2)+Scores!$M$10*VLOOKUP(AM27,Scores!$A$15:$B$18,2)+Scores!$N$10*VLOOKUP(AN27,Scores!$A$15:$B$18,2)+Scores!$O$10*VLOOKUP(AO27,Scores!$A$15:$B$18,2)</f>
        <v>0</v>
      </c>
      <c r="AO28" s="7"/>
    </row>
    <row r="29" spans="1:49" x14ac:dyDescent="0.25">
      <c r="A29" t="s">
        <v>59</v>
      </c>
      <c r="B29" t="s">
        <v>37</v>
      </c>
      <c r="C29">
        <v>2</v>
      </c>
      <c r="D29">
        <v>4</v>
      </c>
      <c r="E29">
        <v>3</v>
      </c>
      <c r="F29">
        <v>1</v>
      </c>
      <c r="H29">
        <v>2</v>
      </c>
      <c r="I29">
        <v>3</v>
      </c>
      <c r="J29">
        <v>4</v>
      </c>
      <c r="K29">
        <v>1</v>
      </c>
      <c r="M29">
        <v>2</v>
      </c>
      <c r="N29">
        <v>3</v>
      </c>
      <c r="O29">
        <v>4</v>
      </c>
      <c r="P29">
        <v>1</v>
      </c>
      <c r="R29">
        <v>2</v>
      </c>
      <c r="S29">
        <v>4</v>
      </c>
      <c r="T29">
        <v>3</v>
      </c>
      <c r="U29">
        <v>1</v>
      </c>
      <c r="W29">
        <v>2</v>
      </c>
      <c r="X29">
        <v>3</v>
      </c>
      <c r="Y29">
        <v>1</v>
      </c>
      <c r="Z29">
        <v>4</v>
      </c>
      <c r="AB29">
        <v>1</v>
      </c>
      <c r="AC29">
        <v>3</v>
      </c>
      <c r="AD29">
        <v>4</v>
      </c>
      <c r="AE29">
        <v>2</v>
      </c>
      <c r="AG29">
        <v>2</v>
      </c>
      <c r="AH29">
        <v>4</v>
      </c>
      <c r="AI29">
        <v>3</v>
      </c>
      <c r="AJ29">
        <v>1</v>
      </c>
      <c r="AL29">
        <v>2</v>
      </c>
      <c r="AM29">
        <v>1</v>
      </c>
      <c r="AN29">
        <v>3</v>
      </c>
      <c r="AO29">
        <v>4</v>
      </c>
      <c r="AQ29" s="9">
        <f>((C30+H30+M30+R30+W30)-Scores!$E$15)/(Scores!$I$15-Scores!$E$15)</f>
        <v>0.73275862068965514</v>
      </c>
      <c r="AR29" s="9">
        <f>((D30+I30+N30+S30+X30)-Scores!$E$16)/(Scores!$I$16-Scores!$E$16)</f>
        <v>0.83448275862068966</v>
      </c>
      <c r="AS29" s="9">
        <f>((E30+J30+O30+T30+Y30)-Scores!$E$17)/(Scores!$I$17-Scores!$E$17)</f>
        <v>0.55172413793103448</v>
      </c>
      <c r="AT29" s="9"/>
      <c r="AU29" s="9">
        <f>((AB30+AG30+AL30)-Scores!$F$15)/(Scores!$J$15-Scores!$F$15)</f>
        <v>0.93103448275862066</v>
      </c>
      <c r="AV29" s="9">
        <f>((AC30+AH30+AM30)-Scores!$F$16)/(Scores!$J$16-Scores!$F$16)</f>
        <v>0.96551724137931039</v>
      </c>
      <c r="AW29" s="9">
        <f>((AD30+AI30+AN30)-Scores!$F$17)/(Scores!$J$17-Scores!$F$17)</f>
        <v>0.58620689655172409</v>
      </c>
    </row>
    <row r="30" spans="1:49" s="5" customFormat="1" ht="11.25" x14ac:dyDescent="0.2">
      <c r="C30" s="6">
        <f>Scores!$B$3*VLOOKUP(C29,Scores!$A$15:$B$18,2)+Scores!$C$3*VLOOKUP(D29,Scores!$A$15:$B$18,2)+Scores!$D$3*VLOOKUP(E29,Scores!$A$15:$B$18,2)+Scores!$E$3*VLOOKUP(F29,Scores!$A$15:$B$18,2)</f>
        <v>0</v>
      </c>
      <c r="D30" s="6">
        <f>Scores!$G$3*VLOOKUP(C29,Scores!$A$15:$B$18,2)+Scores!$H$3*VLOOKUP(D29,Scores!$A$15:$B$18,2)+Scores!$I$3*VLOOKUP(E29,Scores!$A$15:$B$18,2)+Scores!$J$3*VLOOKUP(F29,Scores!$A$15:$B$18,2)</f>
        <v>57</v>
      </c>
      <c r="E30" s="6">
        <f>Scores!$L$3*VLOOKUP(C29,Scores!$A$15:$B$18,2)+Scores!$M$3*VLOOKUP(D29,Scores!$A$15:$B$18,2)+Scores!$N$3*VLOOKUP(E29,Scores!$A$15:$B$18,2)+Scores!$O$3*VLOOKUP(F29,Scores!$A$15:$B$18,2)</f>
        <v>0</v>
      </c>
      <c r="F30" s="7"/>
      <c r="G30" s="7"/>
      <c r="H30" s="6">
        <f>Scores!$B$4*VLOOKUP(H29,Scores!$A$15:$B$18,2)+Scores!$C$4*VLOOKUP(I29,Scores!$A$15:$B$18,2)+Scores!$D$4*VLOOKUP(J29,Scores!$A$15:$B$18,2)+Scores!$E$4*VLOOKUP(K29,Scores!$A$15:$B$18,2)</f>
        <v>40</v>
      </c>
      <c r="I30" s="6">
        <f>Scores!$G$4*VLOOKUP(H29,Scores!$A$15:$B$18,2)+Scores!$H$4*VLOOKUP(I29,Scores!$A$15:$B$18,2)+Scores!$I$4*VLOOKUP(J29,Scores!$A$15:$B$18,2)+Scores!$J$4*VLOOKUP(K29,Scores!$A$15:$B$18,2)</f>
        <v>55</v>
      </c>
      <c r="J30" s="6">
        <f>Scores!$L$4*VLOOKUP(H29,Scores!$A$15:$B$18,2)+Scores!$M$4*VLOOKUP(I29,Scores!$A$15:$B$18,2)+Scores!$N$4*VLOOKUP(J29,Scores!$A$15:$B$18,2)+Scores!$O$4*VLOOKUP(K29,Scores!$A$15:$B$18,2)</f>
        <v>0</v>
      </c>
      <c r="K30" s="7"/>
      <c r="L30" s="7"/>
      <c r="M30" s="6">
        <f>Scores!$B$5*VLOOKUP(M29,Scores!$A$15:$B$18,2)+Scores!$C$5*VLOOKUP(N29,Scores!$A$15:$B$18,2)+Scores!$D$5*VLOOKUP(O29,Scores!$A$15:$B$18,2)+Scores!$E$5*VLOOKUP(P29,Scores!$A$15:$B$18,2)</f>
        <v>53</v>
      </c>
      <c r="N30" s="6">
        <f>Scores!$G$5*VLOOKUP(M29,Scores!$A$15:$B$18,2)+Scores!$H$5*VLOOKUP(N29,Scores!$A$15:$B$18,2)+Scores!$I$5*VLOOKUP(O29,Scores!$A$15:$B$18,2)+Scores!$J$5*VLOOKUP(P29,Scores!$A$15:$B$18,2)</f>
        <v>55</v>
      </c>
      <c r="O30" s="6">
        <f>Scores!$L$5*VLOOKUP(M29,Scores!$A$15:$B$18,2)+Scores!$M$5*VLOOKUP(N29,Scores!$A$15:$B$18,2)+Scores!$N$5*VLOOKUP(O29,Scores!$A$15:$B$18,2)+Scores!$O$5*VLOOKUP(P29,Scores!$A$15:$B$18,2)</f>
        <v>0</v>
      </c>
      <c r="P30" s="7"/>
      <c r="Q30" s="7"/>
      <c r="R30" s="6">
        <f>Scores!$B$6*VLOOKUP(R29,Scores!$A$15:$B$18,2)+Scores!$C$6*VLOOKUP(S29,Scores!$A$15:$B$18,2)+Scores!$D$6*VLOOKUP(T29,Scores!$A$15:$B$18,2)+Scores!$E$6*VLOOKUP(U29,Scores!$A$15:$B$18,2)</f>
        <v>62</v>
      </c>
      <c r="S30" s="6">
        <f>Scores!$G$6*VLOOKUP(R29,Scores!$A$15:$B$18,2)+Scores!$H$6*VLOOKUP(S29,Scores!$A$15:$B$18,2)+Scores!$I$6*VLOOKUP(T29,Scores!$A$15:$B$18,2)+Scores!$J$6*VLOOKUP(U29,Scores!$A$15:$B$18,2)</f>
        <v>57</v>
      </c>
      <c r="T30" s="6">
        <f>Scores!$L$6*VLOOKUP(R29,Scores!$A$15:$B$18,2)+Scores!$M$6*VLOOKUP(S29,Scores!$A$15:$B$18,2)+Scores!$N$6*VLOOKUP(T29,Scores!$A$15:$B$18,2)+Scores!$O$6*VLOOKUP(U29,Scores!$A$15:$B$18,2)</f>
        <v>48</v>
      </c>
      <c r="U30" s="7"/>
      <c r="V30" s="7"/>
      <c r="W30" s="6">
        <f>Scores!$B$7*VLOOKUP(W29,Scores!$A$15:$B$18,2)+Scores!$C$7*VLOOKUP(X29,Scores!$A$15:$B$18,2)+Scores!$D$7*VLOOKUP(Y29,Scores!$A$15:$B$18,2)+Scores!$E$7*VLOOKUP(Z29,Scores!$A$15:$B$18,2)</f>
        <v>62</v>
      </c>
      <c r="X30" s="6">
        <f>Scores!$G$7*VLOOKUP(W29,Scores!$A$15:$B$18,2)+Scores!$H$7*VLOOKUP(X29,Scores!$A$15:$B$18,2)+Scores!$I$7*VLOOKUP(Y29,Scores!$A$15:$B$18,2)+Scores!$J$7*VLOOKUP(Z29,Scores!$A$15:$B$18,2)</f>
        <v>62</v>
      </c>
      <c r="Y30" s="6">
        <f>Scores!$L$7*VLOOKUP(W29,Scores!$A$15:$B$18,2)+Scores!$M$7*VLOOKUP(X29,Scores!$A$15:$B$18,2)+Scores!$N$7*VLOOKUP(Y29,Scores!$A$15:$B$18,2)+Scores!$O$7*VLOOKUP(Z29,Scores!$A$15:$B$18,2)</f>
        <v>50</v>
      </c>
      <c r="Z30" s="7"/>
      <c r="AA30" s="7"/>
      <c r="AB30" s="6">
        <f>Scores!$B$8*VLOOKUP(AB29,Scores!$A$15:$B$18,2)+Scores!$C$8*VLOOKUP(AC29,Scores!$A$15:$B$18,2)+Scores!$D$8*VLOOKUP(AD29,Scores!$A$15:$B$18,2)+Scores!$E$8*VLOOKUP(AE29,Scores!$A$15:$B$18,2)</f>
        <v>60</v>
      </c>
      <c r="AC30" s="6">
        <f>Scores!$G$8*VLOOKUP(AB29,Scores!$A$15:$B$18,2)+Scores!$H$8*VLOOKUP(AC29,Scores!$A$15:$B$18,2)+Scores!$I$8*VLOOKUP(AD29,Scores!$A$15:$B$18,2)+Scores!$J$8*VLOOKUP(AE29,Scores!$A$15:$B$18,2)</f>
        <v>62</v>
      </c>
      <c r="AD30" s="6">
        <f>Scores!$L$8*VLOOKUP(AB29,Scores!$A$15:$B$18,2)+Scores!$M$8*VLOOKUP(AC29,Scores!$A$15:$B$18,2)+Scores!$N$8*VLOOKUP(AD29,Scores!$A$15:$B$18,2)+Scores!$O$8*VLOOKUP(AE29,Scores!$A$15:$B$18,2)</f>
        <v>50</v>
      </c>
      <c r="AE30" s="7"/>
      <c r="AF30" s="7"/>
      <c r="AG30" s="6">
        <f>Scores!$B$9*VLOOKUP(AG29,Scores!$A$15:$B$18,2)+Scores!$C$9*VLOOKUP(AH29,Scores!$A$15:$B$18,2)+Scores!$D$9*VLOOKUP(AI29,Scores!$A$15:$B$18,2)+Scores!$E$9*VLOOKUP(AJ29,Scores!$A$15:$B$18,2)</f>
        <v>0</v>
      </c>
      <c r="AH30" s="6">
        <f>Scores!$G$9*VLOOKUP(AG29,Scores!$A$15:$B$18,2)+Scores!$H$9*VLOOKUP(AH29,Scores!$A$15:$B$18,2)+Scores!$I$9*VLOOKUP(AI29,Scores!$A$15:$B$18,2)+Scores!$J$9*VLOOKUP(AJ29,Scores!$A$15:$B$18,2)</f>
        <v>60</v>
      </c>
      <c r="AI30" s="6">
        <f>Scores!$L$9*VLOOKUP(AG29,Scores!$A$15:$B$18,2)+Scores!$M$9*VLOOKUP(AH29,Scores!$A$15:$B$18,2)+Scores!$N$9*VLOOKUP(AI29,Scores!$A$15:$B$18,2)+Scores!$O$9*VLOOKUP(AJ29,Scores!$A$15:$B$18,2)</f>
        <v>0</v>
      </c>
      <c r="AJ30" s="7"/>
      <c r="AK30" s="7"/>
      <c r="AL30" s="6">
        <f>Scores!$B$10*VLOOKUP(AL29,Scores!$A$15:$B$18,2)+Scores!$C$10*VLOOKUP(AM29,Scores!$A$15:$B$18,2)+Scores!$D$10*VLOOKUP(AN29,Scores!$A$15:$B$18,2)+Scores!$E$10*VLOOKUP(AO29,Scores!$A$15:$B$18,2)</f>
        <v>0</v>
      </c>
      <c r="AM30" s="6">
        <f>Scores!$G$10*VLOOKUP(AL29,Scores!$A$15:$B$18,2)+Scores!$H$10*VLOOKUP(AM29,Scores!$A$15:$B$18,2)+Scores!$I$10*VLOOKUP(AN29,Scores!$A$15:$B$18,2)+Scores!$J$10*VLOOKUP(AO29,Scores!$A$15:$B$18,2)</f>
        <v>0</v>
      </c>
      <c r="AN30" s="6">
        <f>Scores!$L$10*VLOOKUP(AL29,Scores!$A$15:$B$18,2)+Scores!$M$10*VLOOKUP(AM29,Scores!$A$15:$B$18,2)+Scores!$N$10*VLOOKUP(AN29,Scores!$A$15:$B$18,2)+Scores!$O$10*VLOOKUP(AO29,Scores!$A$15:$B$18,2)</f>
        <v>0</v>
      </c>
      <c r="AO30" s="7"/>
    </row>
    <row r="31" spans="1:49" x14ac:dyDescent="0.25">
      <c r="A31" t="s">
        <v>60</v>
      </c>
      <c r="B31" t="s">
        <v>16</v>
      </c>
      <c r="C31">
        <v>1</v>
      </c>
      <c r="D31">
        <v>4</v>
      </c>
      <c r="E31">
        <v>3</v>
      </c>
      <c r="F31">
        <v>2</v>
      </c>
      <c r="H31">
        <v>2</v>
      </c>
      <c r="I31">
        <v>4</v>
      </c>
      <c r="J31">
        <v>3</v>
      </c>
      <c r="K31">
        <v>1</v>
      </c>
      <c r="M31">
        <v>2</v>
      </c>
      <c r="N31">
        <v>4</v>
      </c>
      <c r="O31">
        <v>3</v>
      </c>
      <c r="P31">
        <v>1</v>
      </c>
      <c r="R31">
        <v>2</v>
      </c>
      <c r="S31">
        <v>4</v>
      </c>
      <c r="T31">
        <v>3</v>
      </c>
      <c r="U31">
        <v>1</v>
      </c>
      <c r="W31">
        <v>2</v>
      </c>
      <c r="X31">
        <v>3</v>
      </c>
      <c r="Y31">
        <v>1</v>
      </c>
      <c r="Z31">
        <v>4</v>
      </c>
      <c r="AB31">
        <v>1</v>
      </c>
      <c r="AC31">
        <v>3</v>
      </c>
      <c r="AD31">
        <v>4</v>
      </c>
      <c r="AE31">
        <v>2</v>
      </c>
      <c r="AG31">
        <v>4</v>
      </c>
      <c r="AH31">
        <v>2</v>
      </c>
      <c r="AI31">
        <v>1</v>
      </c>
      <c r="AJ31">
        <v>3</v>
      </c>
      <c r="AL31">
        <v>1</v>
      </c>
      <c r="AM31">
        <v>2</v>
      </c>
      <c r="AN31">
        <v>4</v>
      </c>
      <c r="AO31">
        <v>3</v>
      </c>
      <c r="AQ31" s="9">
        <f>((C32+H32+M32+R32+W32)-Scores!$E$15)/(Scores!$I$15-Scores!$E$15)</f>
        <v>0.66379310344827591</v>
      </c>
      <c r="AR31" s="9">
        <f>((D32+I32+N32+S32+X32)-Scores!$E$16)/(Scores!$I$16-Scores!$E$16)</f>
        <v>0.89655172413793105</v>
      </c>
      <c r="AS31" s="9">
        <f>((E32+J32+O32+T32+Y32)-Scores!$E$17)/(Scores!$I$17-Scores!$E$17)</f>
        <v>0.55172413793103448</v>
      </c>
      <c r="AT31" s="9"/>
      <c r="AU31" s="9">
        <f>((AB32+AG32+AL32)-Scores!$F$15)/(Scores!$J$15-Scores!$F$15)</f>
        <v>0.93103448275862066</v>
      </c>
      <c r="AV31" s="9">
        <f>((AC32+AH32+AM32)-Scores!$F$16)/(Scores!$J$16-Scores!$F$16)</f>
        <v>0.77586206896551724</v>
      </c>
      <c r="AW31" s="9">
        <f>((AD32+AI32+AN32)-Scores!$F$17)/(Scores!$J$17-Scores!$F$17)</f>
        <v>0.58620689655172409</v>
      </c>
    </row>
    <row r="32" spans="1:49" s="5" customFormat="1" ht="11.25" x14ac:dyDescent="0.2">
      <c r="C32" s="6">
        <f>Scores!$B$3*VLOOKUP(C31,Scores!$A$15:$B$18,2)+Scores!$C$3*VLOOKUP(D31,Scores!$A$15:$B$18,2)+Scores!$D$3*VLOOKUP(E31,Scores!$A$15:$B$18,2)+Scores!$E$3*VLOOKUP(F31,Scores!$A$15:$B$18,2)</f>
        <v>0</v>
      </c>
      <c r="D32" s="6">
        <f>Scores!$G$3*VLOOKUP(C31,Scores!$A$15:$B$18,2)+Scores!$H$3*VLOOKUP(D31,Scores!$A$15:$B$18,2)+Scores!$I$3*VLOOKUP(E31,Scores!$A$15:$B$18,2)+Scores!$J$3*VLOOKUP(F31,Scores!$A$15:$B$18,2)</f>
        <v>62</v>
      </c>
      <c r="E32" s="6">
        <f>Scores!$L$3*VLOOKUP(C31,Scores!$A$15:$B$18,2)+Scores!$M$3*VLOOKUP(D31,Scores!$A$15:$B$18,2)+Scores!$N$3*VLOOKUP(E31,Scores!$A$15:$B$18,2)+Scores!$O$3*VLOOKUP(F31,Scores!$A$15:$B$18,2)</f>
        <v>0</v>
      </c>
      <c r="F32" s="7"/>
      <c r="G32" s="7"/>
      <c r="H32" s="6">
        <f>Scores!$B$4*VLOOKUP(H31,Scores!$A$15:$B$18,2)+Scores!$C$4*VLOOKUP(I31,Scores!$A$15:$B$18,2)+Scores!$D$4*VLOOKUP(J31,Scores!$A$15:$B$18,2)+Scores!$E$4*VLOOKUP(K31,Scores!$A$15:$B$18,2)</f>
        <v>38</v>
      </c>
      <c r="I32" s="6">
        <f>Scores!$G$4*VLOOKUP(H31,Scores!$A$15:$B$18,2)+Scores!$H$4*VLOOKUP(I31,Scores!$A$15:$B$18,2)+Scores!$I$4*VLOOKUP(J31,Scores!$A$15:$B$18,2)+Scores!$J$4*VLOOKUP(K31,Scores!$A$15:$B$18,2)</f>
        <v>57</v>
      </c>
      <c r="J32" s="6">
        <f>Scores!$L$4*VLOOKUP(H31,Scores!$A$15:$B$18,2)+Scores!$M$4*VLOOKUP(I31,Scores!$A$15:$B$18,2)+Scores!$N$4*VLOOKUP(J31,Scores!$A$15:$B$18,2)+Scores!$O$4*VLOOKUP(K31,Scores!$A$15:$B$18,2)</f>
        <v>0</v>
      </c>
      <c r="K32" s="7"/>
      <c r="L32" s="7"/>
      <c r="M32" s="6">
        <f>Scores!$B$5*VLOOKUP(M31,Scores!$A$15:$B$18,2)+Scores!$C$5*VLOOKUP(N31,Scores!$A$15:$B$18,2)+Scores!$D$5*VLOOKUP(O31,Scores!$A$15:$B$18,2)+Scores!$E$5*VLOOKUP(P31,Scores!$A$15:$B$18,2)</f>
        <v>47</v>
      </c>
      <c r="N32" s="6">
        <f>Scores!$G$5*VLOOKUP(M31,Scores!$A$15:$B$18,2)+Scores!$H$5*VLOOKUP(N31,Scores!$A$15:$B$18,2)+Scores!$I$5*VLOOKUP(O31,Scores!$A$15:$B$18,2)+Scores!$J$5*VLOOKUP(P31,Scores!$A$15:$B$18,2)</f>
        <v>57</v>
      </c>
      <c r="O32" s="6">
        <f>Scores!$L$5*VLOOKUP(M31,Scores!$A$15:$B$18,2)+Scores!$M$5*VLOOKUP(N31,Scores!$A$15:$B$18,2)+Scores!$N$5*VLOOKUP(O31,Scores!$A$15:$B$18,2)+Scores!$O$5*VLOOKUP(P31,Scores!$A$15:$B$18,2)</f>
        <v>0</v>
      </c>
      <c r="P32" s="7"/>
      <c r="Q32" s="7"/>
      <c r="R32" s="6">
        <f>Scores!$B$6*VLOOKUP(R31,Scores!$A$15:$B$18,2)+Scores!$C$6*VLOOKUP(S31,Scores!$A$15:$B$18,2)+Scores!$D$6*VLOOKUP(T31,Scores!$A$15:$B$18,2)+Scores!$E$6*VLOOKUP(U31,Scores!$A$15:$B$18,2)</f>
        <v>62</v>
      </c>
      <c r="S32" s="6">
        <f>Scores!$G$6*VLOOKUP(R31,Scores!$A$15:$B$18,2)+Scores!$H$6*VLOOKUP(S31,Scores!$A$15:$B$18,2)+Scores!$I$6*VLOOKUP(T31,Scores!$A$15:$B$18,2)+Scores!$J$6*VLOOKUP(U31,Scores!$A$15:$B$18,2)</f>
        <v>57</v>
      </c>
      <c r="T32" s="6">
        <f>Scores!$L$6*VLOOKUP(R31,Scores!$A$15:$B$18,2)+Scores!$M$6*VLOOKUP(S31,Scores!$A$15:$B$18,2)+Scores!$N$6*VLOOKUP(T31,Scores!$A$15:$B$18,2)+Scores!$O$6*VLOOKUP(U31,Scores!$A$15:$B$18,2)</f>
        <v>48</v>
      </c>
      <c r="U32" s="7"/>
      <c r="V32" s="7"/>
      <c r="W32" s="6">
        <f>Scores!$B$7*VLOOKUP(W31,Scores!$A$15:$B$18,2)+Scores!$C$7*VLOOKUP(X31,Scores!$A$15:$B$18,2)+Scores!$D$7*VLOOKUP(Y31,Scores!$A$15:$B$18,2)+Scores!$E$7*VLOOKUP(Z31,Scores!$A$15:$B$18,2)</f>
        <v>62</v>
      </c>
      <c r="X32" s="6">
        <f>Scores!$G$7*VLOOKUP(W31,Scores!$A$15:$B$18,2)+Scores!$H$7*VLOOKUP(X31,Scores!$A$15:$B$18,2)+Scores!$I$7*VLOOKUP(Y31,Scores!$A$15:$B$18,2)+Scores!$J$7*VLOOKUP(Z31,Scores!$A$15:$B$18,2)</f>
        <v>62</v>
      </c>
      <c r="Y32" s="6">
        <f>Scores!$L$7*VLOOKUP(W31,Scores!$A$15:$B$18,2)+Scores!$M$7*VLOOKUP(X31,Scores!$A$15:$B$18,2)+Scores!$N$7*VLOOKUP(Y31,Scores!$A$15:$B$18,2)+Scores!$O$7*VLOOKUP(Z31,Scores!$A$15:$B$18,2)</f>
        <v>50</v>
      </c>
      <c r="Z32" s="7"/>
      <c r="AA32" s="7"/>
      <c r="AB32" s="6">
        <f>Scores!$B$8*VLOOKUP(AB31,Scores!$A$15:$B$18,2)+Scores!$C$8*VLOOKUP(AC31,Scores!$A$15:$B$18,2)+Scores!$D$8*VLOOKUP(AD31,Scores!$A$15:$B$18,2)+Scores!$E$8*VLOOKUP(AE31,Scores!$A$15:$B$18,2)</f>
        <v>60</v>
      </c>
      <c r="AC32" s="6">
        <f>Scores!$G$8*VLOOKUP(AB31,Scores!$A$15:$B$18,2)+Scores!$H$8*VLOOKUP(AC31,Scores!$A$15:$B$18,2)+Scores!$I$8*VLOOKUP(AD31,Scores!$A$15:$B$18,2)+Scores!$J$8*VLOOKUP(AE31,Scores!$A$15:$B$18,2)</f>
        <v>62</v>
      </c>
      <c r="AD32" s="6">
        <f>Scores!$L$8*VLOOKUP(AB31,Scores!$A$15:$B$18,2)+Scores!$M$8*VLOOKUP(AC31,Scores!$A$15:$B$18,2)+Scores!$N$8*VLOOKUP(AD31,Scores!$A$15:$B$18,2)+Scores!$O$8*VLOOKUP(AE31,Scores!$A$15:$B$18,2)</f>
        <v>50</v>
      </c>
      <c r="AE32" s="7"/>
      <c r="AF32" s="7"/>
      <c r="AG32" s="6">
        <f>Scores!$B$9*VLOOKUP(AG31,Scores!$A$15:$B$18,2)+Scores!$C$9*VLOOKUP(AH31,Scores!$A$15:$B$18,2)+Scores!$D$9*VLOOKUP(AI31,Scores!$A$15:$B$18,2)+Scores!$E$9*VLOOKUP(AJ31,Scores!$A$15:$B$18,2)</f>
        <v>0</v>
      </c>
      <c r="AH32" s="6">
        <f>Scores!$G$9*VLOOKUP(AG31,Scores!$A$15:$B$18,2)+Scores!$H$9*VLOOKUP(AH31,Scores!$A$15:$B$18,2)+Scores!$I$9*VLOOKUP(AI31,Scores!$A$15:$B$18,2)+Scores!$J$9*VLOOKUP(AJ31,Scores!$A$15:$B$18,2)</f>
        <v>49</v>
      </c>
      <c r="AI32" s="6">
        <f>Scores!$L$9*VLOOKUP(AG31,Scores!$A$15:$B$18,2)+Scores!$M$9*VLOOKUP(AH31,Scores!$A$15:$B$18,2)+Scores!$N$9*VLOOKUP(AI31,Scores!$A$15:$B$18,2)+Scores!$O$9*VLOOKUP(AJ31,Scores!$A$15:$B$18,2)</f>
        <v>0</v>
      </c>
      <c r="AJ32" s="7"/>
      <c r="AK32" s="7"/>
      <c r="AL32" s="6">
        <f>Scores!$B$10*VLOOKUP(AL31,Scores!$A$15:$B$18,2)+Scores!$C$10*VLOOKUP(AM31,Scores!$A$15:$B$18,2)+Scores!$D$10*VLOOKUP(AN31,Scores!$A$15:$B$18,2)+Scores!$E$10*VLOOKUP(AO31,Scores!$A$15:$B$18,2)</f>
        <v>0</v>
      </c>
      <c r="AM32" s="6">
        <f>Scores!$G$10*VLOOKUP(AL31,Scores!$A$15:$B$18,2)+Scores!$H$10*VLOOKUP(AM31,Scores!$A$15:$B$18,2)+Scores!$I$10*VLOOKUP(AN31,Scores!$A$15:$B$18,2)+Scores!$J$10*VLOOKUP(AO31,Scores!$A$15:$B$18,2)</f>
        <v>0</v>
      </c>
      <c r="AN32" s="6">
        <f>Scores!$L$10*VLOOKUP(AL31,Scores!$A$15:$B$18,2)+Scores!$M$10*VLOOKUP(AM31,Scores!$A$15:$B$18,2)+Scores!$N$10*VLOOKUP(AN31,Scores!$A$15:$B$18,2)+Scores!$O$10*VLOOKUP(AO31,Scores!$A$15:$B$18,2)</f>
        <v>0</v>
      </c>
      <c r="AO32" s="7"/>
    </row>
    <row r="33" spans="1:49" x14ac:dyDescent="0.25">
      <c r="A33" t="s">
        <v>61</v>
      </c>
      <c r="B33" t="s">
        <v>16</v>
      </c>
      <c r="C33">
        <v>1</v>
      </c>
      <c r="D33">
        <v>4</v>
      </c>
      <c r="E33">
        <v>3</v>
      </c>
      <c r="F33">
        <v>2</v>
      </c>
      <c r="H33">
        <v>3</v>
      </c>
      <c r="I33">
        <v>1</v>
      </c>
      <c r="J33">
        <v>4</v>
      </c>
      <c r="K33">
        <v>2</v>
      </c>
      <c r="M33">
        <v>3</v>
      </c>
      <c r="N33">
        <v>1</v>
      </c>
      <c r="O33">
        <v>4</v>
      </c>
      <c r="P33">
        <v>2</v>
      </c>
      <c r="R33">
        <v>2</v>
      </c>
      <c r="S33">
        <v>4</v>
      </c>
      <c r="T33">
        <v>1</v>
      </c>
      <c r="U33">
        <v>3</v>
      </c>
      <c r="W33">
        <v>1</v>
      </c>
      <c r="X33">
        <v>2</v>
      </c>
      <c r="Y33">
        <v>3</v>
      </c>
      <c r="Z33">
        <v>4</v>
      </c>
      <c r="AB33">
        <v>1</v>
      </c>
      <c r="AC33">
        <v>3</v>
      </c>
      <c r="AD33">
        <v>4</v>
      </c>
      <c r="AE33">
        <v>2</v>
      </c>
      <c r="AG33">
        <v>1</v>
      </c>
      <c r="AH33">
        <v>3</v>
      </c>
      <c r="AI33">
        <v>4</v>
      </c>
      <c r="AJ33">
        <v>2</v>
      </c>
      <c r="AL33">
        <v>1</v>
      </c>
      <c r="AM33">
        <v>2</v>
      </c>
      <c r="AN33">
        <v>3</v>
      </c>
      <c r="AO33">
        <v>4</v>
      </c>
      <c r="AQ33" s="9">
        <f>((C34+H34+M34+R34+W34)-Scores!$E$15)/(Scores!$I$15-Scores!$E$15)</f>
        <v>0.75</v>
      </c>
      <c r="AR33" s="9">
        <f>((D34+I34+N34+S34+X34)-Scores!$E$16)/(Scores!$I$16-Scores!$E$16)</f>
        <v>0.53793103448275859</v>
      </c>
      <c r="AS33" s="9">
        <f>((E34+J34+O34+T34+Y34)-Scores!$E$17)/(Scores!$I$17-Scores!$E$17)</f>
        <v>1</v>
      </c>
      <c r="AT33" s="9"/>
      <c r="AU33" s="9">
        <f>((AB34+AG34+AL34)-Scores!$F$15)/(Scores!$J$15-Scores!$F$15)</f>
        <v>0.93103448275862066</v>
      </c>
      <c r="AV33" s="9">
        <f>((AC34+AH34+AM34)-Scores!$F$16)/(Scores!$J$16-Scores!$F$16)</f>
        <v>0.72413793103448276</v>
      </c>
      <c r="AW33" s="9">
        <f>((AD34+AI34+AN34)-Scores!$F$17)/(Scores!$J$17-Scores!$F$17)</f>
        <v>0.58620689655172409</v>
      </c>
    </row>
    <row r="34" spans="1:49" s="5" customFormat="1" ht="11.25" x14ac:dyDescent="0.2">
      <c r="C34" s="6">
        <f>Scores!$B$3*VLOOKUP(C33,Scores!$A$15:$B$18,2)+Scores!$C$3*VLOOKUP(D33,Scores!$A$15:$B$18,2)+Scores!$D$3*VLOOKUP(E33,Scores!$A$15:$B$18,2)+Scores!$E$3*VLOOKUP(F33,Scores!$A$15:$B$18,2)</f>
        <v>0</v>
      </c>
      <c r="D34" s="6">
        <f>Scores!$G$3*VLOOKUP(C33,Scores!$A$15:$B$18,2)+Scores!$H$3*VLOOKUP(D33,Scores!$A$15:$B$18,2)+Scores!$I$3*VLOOKUP(E33,Scores!$A$15:$B$18,2)+Scores!$J$3*VLOOKUP(F33,Scores!$A$15:$B$18,2)</f>
        <v>62</v>
      </c>
      <c r="E34" s="6">
        <f>Scores!$L$3*VLOOKUP(C33,Scores!$A$15:$B$18,2)+Scores!$M$3*VLOOKUP(D33,Scores!$A$15:$B$18,2)+Scores!$N$3*VLOOKUP(E33,Scores!$A$15:$B$18,2)+Scores!$O$3*VLOOKUP(F33,Scores!$A$15:$B$18,2)</f>
        <v>0</v>
      </c>
      <c r="F34" s="7"/>
      <c r="G34" s="7"/>
      <c r="H34" s="6">
        <f>Scores!$B$4*VLOOKUP(H33,Scores!$A$15:$B$18,2)+Scores!$C$4*VLOOKUP(I33,Scores!$A$15:$B$18,2)+Scores!$D$4*VLOOKUP(J33,Scores!$A$15:$B$18,2)+Scores!$E$4*VLOOKUP(K33,Scores!$A$15:$B$18,2)</f>
        <v>56</v>
      </c>
      <c r="I34" s="6">
        <f>Scores!$G$4*VLOOKUP(H33,Scores!$A$15:$B$18,2)+Scores!$H$4*VLOOKUP(I33,Scores!$A$15:$B$18,2)+Scores!$I$4*VLOOKUP(J33,Scores!$A$15:$B$18,2)+Scores!$J$4*VLOOKUP(K33,Scores!$A$15:$B$18,2)</f>
        <v>39</v>
      </c>
      <c r="J34" s="6">
        <f>Scores!$L$4*VLOOKUP(H33,Scores!$A$15:$B$18,2)+Scores!$M$4*VLOOKUP(I33,Scores!$A$15:$B$18,2)+Scores!$N$4*VLOOKUP(J33,Scores!$A$15:$B$18,2)+Scores!$O$4*VLOOKUP(K33,Scores!$A$15:$B$18,2)</f>
        <v>0</v>
      </c>
      <c r="K34" s="7"/>
      <c r="L34" s="7"/>
      <c r="M34" s="6">
        <f>Scores!$B$5*VLOOKUP(M33,Scores!$A$15:$B$18,2)+Scores!$C$5*VLOOKUP(N33,Scores!$A$15:$B$18,2)+Scores!$D$5*VLOOKUP(O33,Scores!$A$15:$B$18,2)+Scores!$E$5*VLOOKUP(P33,Scores!$A$15:$B$18,2)</f>
        <v>62</v>
      </c>
      <c r="N34" s="6">
        <f>Scores!$G$5*VLOOKUP(M33,Scores!$A$15:$B$18,2)+Scores!$H$5*VLOOKUP(N33,Scores!$A$15:$B$18,2)+Scores!$I$5*VLOOKUP(O33,Scores!$A$15:$B$18,2)+Scores!$J$5*VLOOKUP(P33,Scores!$A$15:$B$18,2)</f>
        <v>39</v>
      </c>
      <c r="O34" s="6">
        <f>Scores!$L$5*VLOOKUP(M33,Scores!$A$15:$B$18,2)+Scores!$M$5*VLOOKUP(N33,Scores!$A$15:$B$18,2)+Scores!$N$5*VLOOKUP(O33,Scores!$A$15:$B$18,2)+Scores!$O$5*VLOOKUP(P33,Scores!$A$15:$B$18,2)</f>
        <v>0</v>
      </c>
      <c r="P34" s="7"/>
      <c r="Q34" s="7"/>
      <c r="R34" s="6">
        <f>Scores!$B$6*VLOOKUP(R33,Scores!$A$15:$B$18,2)+Scores!$C$6*VLOOKUP(S33,Scores!$A$15:$B$18,2)+Scores!$D$6*VLOOKUP(T33,Scores!$A$15:$B$18,2)+Scores!$E$6*VLOOKUP(U33,Scores!$A$15:$B$18,2)</f>
        <v>48</v>
      </c>
      <c r="S34" s="6">
        <f>Scores!$G$6*VLOOKUP(R33,Scores!$A$15:$B$18,2)+Scores!$H$6*VLOOKUP(S33,Scores!$A$15:$B$18,2)+Scores!$I$6*VLOOKUP(T33,Scores!$A$15:$B$18,2)+Scores!$J$6*VLOOKUP(U33,Scores!$A$15:$B$18,2)</f>
        <v>50</v>
      </c>
      <c r="T34" s="6">
        <f>Scores!$L$6*VLOOKUP(R33,Scores!$A$15:$B$18,2)+Scores!$M$6*VLOOKUP(S33,Scores!$A$15:$B$18,2)+Scores!$N$6*VLOOKUP(T33,Scores!$A$15:$B$18,2)+Scores!$O$6*VLOOKUP(U33,Scores!$A$15:$B$18,2)</f>
        <v>62</v>
      </c>
      <c r="U34" s="7"/>
      <c r="V34" s="7"/>
      <c r="W34" s="6">
        <f>Scores!$B$7*VLOOKUP(W33,Scores!$A$15:$B$18,2)+Scores!$C$7*VLOOKUP(X33,Scores!$A$15:$B$18,2)+Scores!$D$7*VLOOKUP(Y33,Scores!$A$15:$B$18,2)+Scores!$E$7*VLOOKUP(Z33,Scores!$A$15:$B$18,2)</f>
        <v>53</v>
      </c>
      <c r="X34" s="6">
        <f>Scores!$G$7*VLOOKUP(W33,Scores!$A$15:$B$18,2)+Scores!$H$7*VLOOKUP(X33,Scores!$A$15:$B$18,2)+Scores!$I$7*VLOOKUP(Y33,Scores!$A$15:$B$18,2)+Scores!$J$7*VLOOKUP(Z33,Scores!$A$15:$B$18,2)</f>
        <v>53</v>
      </c>
      <c r="Y34" s="6">
        <f>Scores!$L$7*VLOOKUP(W33,Scores!$A$15:$B$18,2)+Scores!$M$7*VLOOKUP(X33,Scores!$A$15:$B$18,2)+Scores!$N$7*VLOOKUP(Y33,Scores!$A$15:$B$18,2)+Scores!$O$7*VLOOKUP(Z33,Scores!$A$15:$B$18,2)</f>
        <v>62</v>
      </c>
      <c r="Z34" s="7"/>
      <c r="AA34" s="7"/>
      <c r="AB34" s="6">
        <f>Scores!$B$8*VLOOKUP(AB33,Scores!$A$15:$B$18,2)+Scores!$C$8*VLOOKUP(AC33,Scores!$A$15:$B$18,2)+Scores!$D$8*VLOOKUP(AD33,Scores!$A$15:$B$18,2)+Scores!$E$8*VLOOKUP(AE33,Scores!$A$15:$B$18,2)</f>
        <v>60</v>
      </c>
      <c r="AC34" s="6">
        <f>Scores!$G$8*VLOOKUP(AB33,Scores!$A$15:$B$18,2)+Scores!$H$8*VLOOKUP(AC33,Scores!$A$15:$B$18,2)+Scores!$I$8*VLOOKUP(AD33,Scores!$A$15:$B$18,2)+Scores!$J$8*VLOOKUP(AE33,Scores!$A$15:$B$18,2)</f>
        <v>62</v>
      </c>
      <c r="AD34" s="6">
        <f>Scores!$L$8*VLOOKUP(AB33,Scores!$A$15:$B$18,2)+Scores!$M$8*VLOOKUP(AC33,Scores!$A$15:$B$18,2)+Scores!$N$8*VLOOKUP(AD33,Scores!$A$15:$B$18,2)+Scores!$O$8*VLOOKUP(AE33,Scores!$A$15:$B$18,2)</f>
        <v>50</v>
      </c>
      <c r="AE34" s="7"/>
      <c r="AF34" s="7"/>
      <c r="AG34" s="6">
        <f>Scores!$B$9*VLOOKUP(AG33,Scores!$A$15:$B$18,2)+Scores!$C$9*VLOOKUP(AH33,Scores!$A$15:$B$18,2)+Scores!$D$9*VLOOKUP(AI33,Scores!$A$15:$B$18,2)+Scores!$E$9*VLOOKUP(AJ33,Scores!$A$15:$B$18,2)</f>
        <v>0</v>
      </c>
      <c r="AH34" s="6">
        <f>Scores!$G$9*VLOOKUP(AG33,Scores!$A$15:$B$18,2)+Scores!$H$9*VLOOKUP(AH33,Scores!$A$15:$B$18,2)+Scores!$I$9*VLOOKUP(AI33,Scores!$A$15:$B$18,2)+Scores!$J$9*VLOOKUP(AJ33,Scores!$A$15:$B$18,2)</f>
        <v>46</v>
      </c>
      <c r="AI34" s="6">
        <f>Scores!$L$9*VLOOKUP(AG33,Scores!$A$15:$B$18,2)+Scores!$M$9*VLOOKUP(AH33,Scores!$A$15:$B$18,2)+Scores!$N$9*VLOOKUP(AI33,Scores!$A$15:$B$18,2)+Scores!$O$9*VLOOKUP(AJ33,Scores!$A$15:$B$18,2)</f>
        <v>0</v>
      </c>
      <c r="AJ34" s="7"/>
      <c r="AK34" s="7"/>
      <c r="AL34" s="6">
        <f>Scores!$B$10*VLOOKUP(AL33,Scores!$A$15:$B$18,2)+Scores!$C$10*VLOOKUP(AM33,Scores!$A$15:$B$18,2)+Scores!$D$10*VLOOKUP(AN33,Scores!$A$15:$B$18,2)+Scores!$E$10*VLOOKUP(AO33,Scores!$A$15:$B$18,2)</f>
        <v>0</v>
      </c>
      <c r="AM34" s="6">
        <f>Scores!$G$10*VLOOKUP(AL33,Scores!$A$15:$B$18,2)+Scores!$H$10*VLOOKUP(AM33,Scores!$A$15:$B$18,2)+Scores!$I$10*VLOOKUP(AN33,Scores!$A$15:$B$18,2)+Scores!$J$10*VLOOKUP(AO33,Scores!$A$15:$B$18,2)</f>
        <v>0</v>
      </c>
      <c r="AN34" s="6">
        <f>Scores!$L$10*VLOOKUP(AL33,Scores!$A$15:$B$18,2)+Scores!$M$10*VLOOKUP(AM33,Scores!$A$15:$B$18,2)+Scores!$N$10*VLOOKUP(AN33,Scores!$A$15:$B$18,2)+Scores!$O$10*VLOOKUP(AO33,Scores!$A$15:$B$18,2)</f>
        <v>0</v>
      </c>
      <c r="AO34" s="7"/>
    </row>
    <row r="36" spans="1:49" x14ac:dyDescent="0.25">
      <c r="A36" s="8" t="s">
        <v>97</v>
      </c>
      <c r="C36">
        <f>BordaCOunt((C3:F3,C5:F5,C7:F7,C9:F9,C11:F11,C13:F13,C15:F15,C17:F17,C19:F19,C21:F21,C23:F23,C25:F25,C27:F27,C29:F29,C31:F31,C33:F33),1)</f>
        <v>1</v>
      </c>
      <c r="D36">
        <f>BordaCOunt((C3:F3,C5:F5,C7:F7,C9:F9,C11:F11,C13:F13,C15:F15,C17:F17,C19:F19,C21:F21,C23:F23,C25:F25,C27:F27,C29:F29,C31:F31,C33:F33),2)</f>
        <v>4</v>
      </c>
      <c r="E36">
        <f>BordaCOunt((C3:F3,C5:F5,C7:F7,C9:F9,C11:F11,C13:F13,C15:F15,C17:F17,C19:F19,C21:F21,C23:F23,C25:F25,C27:F27,C29:F29,C31:F31,C33:F33),3)</f>
        <v>3</v>
      </c>
      <c r="F36">
        <f>BordaCOunt((C3:F3,C5:F5,C7:F7,C9:F9,C11:F11,C13:F13,C15:F15,C17:F17,C19:F19,C21:F21,C23:F23,C25:F25,C27:F27,C29:F29,C31:F31,C33:F33),4)</f>
        <v>2</v>
      </c>
      <c r="H36">
        <f>BordaCOunt((H3:K3,H5:K5,H7:K7,H9:K9,H11:K11,H13:K13,H15:K15,H17:K17,H19:K19,H21:K21,H23:K23,H25:K25,H27:K27,H29:K29,H31:K31,H33:K33),1)</f>
        <v>3</v>
      </c>
      <c r="I36">
        <f>BordaCOunt((H3:K3,H5:K5,H7:K7,H9:K9,H11:K11,H13:K13,H15:K15,H17:K17,H19:K19,H21:K21,H23:K23,H25:K25,H27:K27,H29:K29,H31:K31,H33:K33),2)</f>
        <v>4</v>
      </c>
      <c r="J36">
        <f>BordaCOunt((H3:K3,H5:K5,H7:K7,H9:K9,H11:K11,H13:K13,H15:K15,H17:K17,H19:K19,H21:K21,H23:K23,H25:K25,H27:K27,H29:K29,H31:K31,H33:K33),3)</f>
        <v>2</v>
      </c>
      <c r="K36">
        <f>BordaCOunt((H3:K3,H5:K5,H7:K7,H9:K9,H11:K11,H13:K13,H15:K15,H17:K17,H19:K19,H21:K21,H23:K23,H25:K25,H27:K27,H29:K29,H31:K31,H33:K33),4)</f>
        <v>1</v>
      </c>
      <c r="M36">
        <f>BordaCOunt((M3:P3,M5:P5,M7:P7,M9:P9,M11:P11,M13:P13,M15:P15,M17:P17,M19:P19,M21:P21,M23:P23,M25:P25,M27:P27,M29:P29,M31:P31,M33:P33),1)</f>
        <v>3</v>
      </c>
      <c r="N36">
        <f>BordaCOunt((M3:P3,M5:P5,M7:P7,M9:P9,M11:P11,M13:P13,M15:P15,M17:P17,M19:P19,M21:P21,M23:P23,M25:P25,M27:P27,M29:P29,M31:P31,M33:P33),2)</f>
        <v>2</v>
      </c>
      <c r="O36">
        <f>BordaCOunt((M3:P3,M5:P5,M7:P7,M9:P9,M11:P11,M13:P13,M15:P15,M17:P17,M19:P19,M21:P21,M23:P23,M25:P25,M27:P27,M29:P29,M31:P31,M33:P33),3)</f>
        <v>4</v>
      </c>
      <c r="P36">
        <f>BordaCOunt((M3:P3,M5:P5,M7:P7,M9:P9,M11:P11,M13:P13,M15:P15,M17:P17,M19:P19,M21:P21,M23:P23,M25:P25,M27:P27,M29:P29,M31:P31,M33:P33),4)</f>
        <v>1</v>
      </c>
      <c r="R36">
        <f>BordaCOunt((R3:U3,R5:U5,R7:U7,R9:U9,R11:U11,R13:U13,R15:U15,R17:U17,R19:U19,R21:U21,R23:U23,R25:U25,R27:U27,R29:U29,R31:U31,R33:U33),1)</f>
        <v>3</v>
      </c>
      <c r="S36">
        <f>BordaCOunt((R3:U3,R5:U5,R7:U7,R9:U9,R11:U11,R13:U13,R15:U15,R17:U17,R19:U19,R21:U21,R23:U23,R25:U25,R27:U27,R29:U29,R31:U31,R33:U33),2)</f>
        <v>4</v>
      </c>
      <c r="T36">
        <f>BordaCOunt((R3:U3,R5:U5,R7:U7,R9:U9,R11:U11,R13:U13,R15:U15,R17:U17,R19:U19,R21:U21,R23:U23,R25:U25,R27:U27,R29:U29,R31:U31,R33:U33),3)</f>
        <v>2</v>
      </c>
      <c r="U36">
        <f>BordaCOunt((R3:U3,R5:U5,R7:U7,R9:U9,R11:U11,R13:U13,R15:U15,R17:U17,R19:U19,R21:U21,R23:U23,R25:U25,R27:U27,R29:U29,R31:U31,R33:U33),4)</f>
        <v>1</v>
      </c>
      <c r="W36">
        <f>BordaCOunt((W3:Z3,W5:Z5,W7:Z7,W9:Z9,W11:Z11,W13:Z13,W15:Z15,W17:Z17,W19:Z19,W21:Z21,W23:Z23,W25:Z25,W27:Z27,W29:Z29,W31:Z31,W33:Z33),1)</f>
        <v>2</v>
      </c>
      <c r="X36">
        <f>BordaCOunt((W3:Z3,W5:Z5,W7:Z7,W9:Z9,W11:Z11,W13:Z13,W15:Z15,W17:Z17,W19:Z19,W21:Z21,W23:Z23,W25:Z25,W27:Z27,W29:Z29,W31:Z31,W33:Z33),2)</f>
        <v>3</v>
      </c>
      <c r="Y36">
        <f>BordaCOunt((W3:Z3,W5:Z5,W7:Z7,W9:Z9,W11:Z11,W13:Z13,W15:Z15,W17:Z17,W19:Z19,W21:Z21,W23:Z23,W25:Z25,W27:Z27,W29:Z29,W31:Z31,W33:Z33),3)</f>
        <v>1</v>
      </c>
      <c r="Z36">
        <f>BordaCOunt((W3:Z3,W5:Z5,W7:Z7,W9:Z9,W11:Z11,W13:Z13,W15:Z15,W17:Z17,W19:Z19,W21:Z21,W23:Z23,W25:Z25,W27:Z27,W29:Z29,W31:Z31,W33:Z33),4)</f>
        <v>4</v>
      </c>
      <c r="AB36">
        <f>BordaCOunt((AB3:AE3,AB5:AE5,AB7:AE7,AB9:AE9,AB11:AE11,AB13:AE13,AB15:AE15,AB17:AE17,AB19:AE19,AB21:AE21,AB23:AE23,AB25:AE25,AB27:AE27,AB29:AE29,AB31:AE31,AB33:AE33),1)</f>
        <v>1</v>
      </c>
      <c r="AC36">
        <f>BordaCOunt((AB3:AE3,AB5:AE5,AB7:AE7,AB9:AE9,AB11:AE11,AB13:AE13,AB15:AE15,AB17:AE17,AB19:AE19,AB21:AE21,AB23:AE23,AB25:AE25,AB27:AE27,AB29:AE29,AB31:AE31,AB33:AE33),2)</f>
        <v>2</v>
      </c>
      <c r="AD36">
        <f>BordaCOunt((AB3:AE3,AB5:AE5,AB7:AE7,AB9:AE9,AB11:AE11,AB13:AE13,AB15:AE15,AB17:AE17,AB19:AE19,AB21:AE21,AB23:AE23,AB25:AE25,AB27:AE27,AB29:AE29,AB31:AE31,AB33:AE33),3)</f>
        <v>3</v>
      </c>
      <c r="AE36">
        <f>BordaCOunt((AB3:AE3,AB5:AE5,AB7:AE7,AB9:AE9,AB11:AE11,AB13:AE13,AB15:AE15,AB17:AE17,AB19:AE19,AB21:AE21,AB23:AE23,AB25:AE25,AB27:AE27,AB29:AE29,AB31:AE31,AB33:AE33),4)</f>
        <v>4</v>
      </c>
      <c r="AG36">
        <f>BordaCOunt((AG3:AJ3,AG5:AJ5,AG7:AJ7,AG9:AJ9,AG11:AJ11,AG13:AJ13,AG15:AJ15,AG17:AJ17,AG19:AJ19,AG21:AJ21,AG23:AJ23,AG25:AJ25,AG27:AJ27,AG29:AJ29,AG31:AJ31,AG33:AJ33),1)</f>
        <v>2</v>
      </c>
      <c r="AH36">
        <f>BordaCOunt((AG3:AJ3,AG5:AJ5,AG7:AJ7,AG9:AJ9,AG11:AJ11,AG13:AJ13,AG15:AJ15,AG17:AJ17,AG19:AJ19,AG21:AJ21,AG23:AJ23,AG25:AJ25,AG27:AJ27,AG29:AJ29,AG31:AJ31,AG33:AJ33),2)</f>
        <v>3</v>
      </c>
      <c r="AI36">
        <f>BordaCOunt((AG3:AJ3,AG5:AJ5,AG7:AJ7,AG9:AJ9,AG11:AJ11,AG13:AJ13,AG15:AJ15,AG17:AJ17,AG19:AJ19,AG21:AJ21,AG23:AJ23,AG25:AJ25,AG27:AJ27,AG29:AJ29,AG31:AJ31,AG33:AJ33),3)</f>
        <v>4</v>
      </c>
      <c r="AJ36">
        <f>BordaCOunt((AG3:AJ3,AG5:AJ5,AG7:AJ7,AG9:AJ9,AG11:AJ11,AG13:AJ13,AG15:AJ15,AG17:AJ17,AG19:AJ19,AG21:AJ21,AG23:AJ23,AG25:AJ25,AG27:AJ27,AG29:AJ29,AG31:AJ31,AG33:AJ33),4)</f>
        <v>1</v>
      </c>
      <c r="AL36">
        <f>BordaCOunt((AL3:AO3,AL5:AO5,AL7:AO7,AL9:AO9,AL11:AO11,AL13:AO13,AL15:AO15,AL17:AO17,AL19:AO19,AL21:AO21,AL23:AO23,AL25:AO25,AL27:AO27,AL29:AO29,AL31:AO31,AL33:AO33),1)</f>
        <v>1</v>
      </c>
      <c r="AM36">
        <f>BordaCOunt((AL3:AO3,AL5:AO5,AL7:AO7,AL9:AO9,AL11:AO11,AL13:AO13,AL15:AO15,AL17:AO17,AL19:AO19,AL21:AO21,AL23:AO23,AL25:AO25,AL27:AO27,AL29:AO29,AL31:AO31,AL33:AO33),2)</f>
        <v>2</v>
      </c>
      <c r="AN36">
        <f>BordaCOunt((AL3:AO3,AL5:AO5,AL7:AO7,AL9:AO9,AL11:AO11,AL13:AO13,AL15:AO15,AL17:AO17,AL19:AO19,AL21:AO21,AL23:AO23,AL25:AO25,AL27:AO27,AL29:AO29,AL31:AO31,AL33:AO33),3)</f>
        <v>3</v>
      </c>
      <c r="AO36">
        <f>BordaCOunt((AL3:AO3,AL5:AO5,AL7:AO7,AL9:AO9,AL11:AO11,AL13:AO13,AL15:AO15,AL17:AO17,AL19:AO19,AL21:AO21,AL23:AO23,AL25:AO25,AL27:AO27,AL29:AO29,AL31:AO31,AL33:AO33),4)</f>
        <v>4</v>
      </c>
      <c r="AP36" s="1"/>
      <c r="AQ36" s="9">
        <f>((C37+H37+M37+R37+W37)-Scores!$E$15)/(Scores!$I$15-Scores!$E$15)</f>
        <v>0.76724137931034486</v>
      </c>
      <c r="AR36" s="9">
        <f>((D37+I37+N37+S37+X37)-Scores!$E$16)/(Scores!$I$16-Scores!$E$16)</f>
        <v>0.78620689655172415</v>
      </c>
      <c r="AS36" s="9">
        <f>((E37+J37+O37+T37+Y37)-Scores!$E$17)/(Scores!$I$17-Scores!$E$17)</f>
        <v>0.58620689655172409</v>
      </c>
      <c r="AU36" s="9">
        <f>((AB37+AG37+AL37)-Scores!$F$15)/(Scores!$J$15-Scores!$F$15)</f>
        <v>0.93103448275862066</v>
      </c>
      <c r="AV36" s="9">
        <f>((AC37+AH37+AM37)-Scores!$F$16)/(Scores!$J$16-Scores!$F$16)</f>
        <v>0.7931034482758621</v>
      </c>
      <c r="AW36" s="9">
        <f>((AD37+AI37+AN37)-Scores!$F$17)/(Scores!$J$17-Scores!$F$17)</f>
        <v>0.31034482758620691</v>
      </c>
    </row>
    <row r="37" spans="1:49" x14ac:dyDescent="0.25">
      <c r="C37" s="6">
        <f>Scores!$B$3*VLOOKUP(C36,Scores!$A$15:$B$18,2)+Scores!$C$3*VLOOKUP(D36,Scores!$A$15:$B$18,2)+Scores!$D$3*VLOOKUP(E36,Scores!$A$15:$B$18,2)+Scores!$E$3*VLOOKUP(F36,Scores!$A$15:$B$18,2)</f>
        <v>0</v>
      </c>
      <c r="D37" s="6">
        <f>Scores!$G$3*VLOOKUP(C36,Scores!$A$15:$B$18,2)+Scores!$H$3*VLOOKUP(D36,Scores!$A$15:$B$18,2)+Scores!$I$3*VLOOKUP(E36,Scores!$A$15:$B$18,2)+Scores!$J$3*VLOOKUP(F36,Scores!$A$15:$B$18,2)</f>
        <v>62</v>
      </c>
      <c r="E37" s="6">
        <f>Scores!$L$3*VLOOKUP(C36,Scores!$A$15:$B$18,2)+Scores!$M$3*VLOOKUP(D36,Scores!$A$15:$B$18,2)+Scores!$N$3*VLOOKUP(E36,Scores!$A$15:$B$18,2)+Scores!$O$3*VLOOKUP(F36,Scores!$A$15:$B$18,2)</f>
        <v>0</v>
      </c>
      <c r="F37" s="7"/>
      <c r="H37" s="6">
        <f>Scores!$B$4*VLOOKUP(H36,Scores!$A$15:$B$18,2)+Scores!$C$4*VLOOKUP(I36,Scores!$A$15:$B$18,2)+Scores!$D$4*VLOOKUP(J36,Scores!$A$15:$B$18,2)+Scores!$E$4*VLOOKUP(K36,Scores!$A$15:$B$18,2)</f>
        <v>42</v>
      </c>
      <c r="I37" s="6">
        <f>Scores!$G$4*VLOOKUP(H36,Scores!$A$15:$B$18,2)+Scores!$H$4*VLOOKUP(I36,Scores!$A$15:$B$18,2)+Scores!$I$4*VLOOKUP(J36,Scores!$A$15:$B$18,2)+Scores!$J$4*VLOOKUP(K36,Scores!$A$15:$B$18,2)</f>
        <v>53</v>
      </c>
      <c r="J37" s="6">
        <f>Scores!$L$4*VLOOKUP(H36,Scores!$A$15:$B$18,2)+Scores!$M$4*VLOOKUP(I36,Scores!$A$15:$B$18,2)+Scores!$N$4*VLOOKUP(J36,Scores!$A$15:$B$18,2)+Scores!$O$4*VLOOKUP(K36,Scores!$A$15:$B$18,2)</f>
        <v>0</v>
      </c>
      <c r="K37" s="7"/>
      <c r="L37" s="7"/>
      <c r="M37" s="6">
        <f>Scores!$B$5*VLOOKUP(M36,Scores!$A$15:$B$18,2)+Scores!$C$5*VLOOKUP(N36,Scores!$A$15:$B$18,2)+Scores!$D$5*VLOOKUP(O36,Scores!$A$15:$B$18,2)+Scores!$E$5*VLOOKUP(P36,Scores!$A$15:$B$18,2)</f>
        <v>57</v>
      </c>
      <c r="N37" s="6">
        <f>Scores!$G$5*VLOOKUP(M36,Scores!$A$15:$B$18,2)+Scores!$H$5*VLOOKUP(N36,Scores!$A$15:$B$18,2)+Scores!$I$5*VLOOKUP(O36,Scores!$A$15:$B$18,2)+Scores!$J$5*VLOOKUP(P36,Scores!$A$15:$B$18,2)</f>
        <v>49</v>
      </c>
      <c r="O37" s="6">
        <f>Scores!$L$5*VLOOKUP(M36,Scores!$A$15:$B$18,2)+Scores!$M$5*VLOOKUP(N36,Scores!$A$15:$B$18,2)+Scores!$N$5*VLOOKUP(O36,Scores!$A$15:$B$18,2)+Scores!$O$5*VLOOKUP(P36,Scores!$A$15:$B$18,2)</f>
        <v>0</v>
      </c>
      <c r="P37" s="7"/>
      <c r="Q37" s="7"/>
      <c r="R37" s="6">
        <f>Scores!$B$6*VLOOKUP(R36,Scores!$A$15:$B$18,2)+Scores!$C$6*VLOOKUP(S36,Scores!$A$15:$B$18,2)+Scores!$D$6*VLOOKUP(T36,Scores!$A$15:$B$18,2)+Scores!$E$6*VLOOKUP(U36,Scores!$A$15:$B$18,2)</f>
        <v>60</v>
      </c>
      <c r="S37" s="6">
        <f>Scores!$G$6*VLOOKUP(R36,Scores!$A$15:$B$18,2)+Scores!$H$6*VLOOKUP(S36,Scores!$A$15:$B$18,2)+Scores!$I$6*VLOOKUP(T36,Scores!$A$15:$B$18,2)+Scores!$J$6*VLOOKUP(U36,Scores!$A$15:$B$18,2)</f>
        <v>53</v>
      </c>
      <c r="T37" s="6">
        <f>Scores!$L$6*VLOOKUP(R36,Scores!$A$15:$B$18,2)+Scores!$M$6*VLOOKUP(S36,Scores!$A$15:$B$18,2)+Scores!$N$6*VLOOKUP(T36,Scores!$A$15:$B$18,2)+Scores!$O$6*VLOOKUP(U36,Scores!$A$15:$B$18,2)</f>
        <v>50</v>
      </c>
      <c r="U37" s="7"/>
      <c r="V37" s="7"/>
      <c r="W37" s="6">
        <f>Scores!$B$7*VLOOKUP(W36,Scores!$A$15:$B$18,2)+Scores!$C$7*VLOOKUP(X36,Scores!$A$15:$B$18,2)+Scores!$D$7*VLOOKUP(Y36,Scores!$A$15:$B$18,2)+Scores!$E$7*VLOOKUP(Z36,Scores!$A$15:$B$18,2)</f>
        <v>62</v>
      </c>
      <c r="X37" s="6">
        <f>Scores!$G$7*VLOOKUP(W36,Scores!$A$15:$B$18,2)+Scores!$H$7*VLOOKUP(X36,Scores!$A$15:$B$18,2)+Scores!$I$7*VLOOKUP(Y36,Scores!$A$15:$B$18,2)+Scores!$J$7*VLOOKUP(Z36,Scores!$A$15:$B$18,2)</f>
        <v>62</v>
      </c>
      <c r="Y37" s="6">
        <f>Scores!$L$7*VLOOKUP(W36,Scores!$A$15:$B$18,2)+Scores!$M$7*VLOOKUP(X36,Scores!$A$15:$B$18,2)+Scores!$N$7*VLOOKUP(Y36,Scores!$A$15:$B$18,2)+Scores!$O$7*VLOOKUP(Z36,Scores!$A$15:$B$18,2)</f>
        <v>50</v>
      </c>
      <c r="Z37" s="7"/>
      <c r="AA37" s="7"/>
      <c r="AB37" s="6">
        <f>Scores!$B$8*VLOOKUP(AB36,Scores!$A$15:$B$18,2)+Scores!$C$8*VLOOKUP(AC36,Scores!$A$15:$B$18,2)+Scores!$D$8*VLOOKUP(AD36,Scores!$A$15:$B$18,2)+Scores!$E$8*VLOOKUP(AE36,Scores!$A$15:$B$18,2)</f>
        <v>60</v>
      </c>
      <c r="AC37" s="6">
        <f>Scores!$G$8*VLOOKUP(AB36,Scores!$A$15:$B$18,2)+Scores!$H$8*VLOOKUP(AC36,Scores!$A$15:$B$18,2)+Scores!$I$8*VLOOKUP(AD36,Scores!$A$15:$B$18,2)+Scores!$J$8*VLOOKUP(AE36,Scores!$A$15:$B$18,2)</f>
        <v>56</v>
      </c>
      <c r="AD37" s="6">
        <f>Scores!$L$8*VLOOKUP(AB36,Scores!$A$15:$B$18,2)+Scores!$M$8*VLOOKUP(AC36,Scores!$A$15:$B$18,2)+Scores!$N$8*VLOOKUP(AD36,Scores!$A$15:$B$18,2)+Scores!$O$8*VLOOKUP(AE36,Scores!$A$15:$B$18,2)</f>
        <v>42</v>
      </c>
      <c r="AE37" s="7"/>
      <c r="AF37" s="7"/>
      <c r="AG37" s="6">
        <f>Scores!$B$9*VLOOKUP(AG36,Scores!$A$15:$B$18,2)+Scores!$C$9*VLOOKUP(AH36,Scores!$A$15:$B$18,2)+Scores!$D$9*VLOOKUP(AI36,Scores!$A$15:$B$18,2)+Scores!$E$9*VLOOKUP(AJ36,Scores!$A$15:$B$18,2)</f>
        <v>0</v>
      </c>
      <c r="AH37" s="6">
        <f>Scores!$G$9*VLOOKUP(AG36,Scores!$A$15:$B$18,2)+Scores!$H$9*VLOOKUP(AH36,Scores!$A$15:$B$18,2)+Scores!$I$9*VLOOKUP(AI36,Scores!$A$15:$B$18,2)+Scores!$J$9*VLOOKUP(AJ36,Scores!$A$15:$B$18,2)</f>
        <v>56</v>
      </c>
      <c r="AI37" s="6">
        <f>Scores!$L$9*VLOOKUP(AG36,Scores!$A$15:$B$18,2)+Scores!$M$9*VLOOKUP(AH36,Scores!$A$15:$B$18,2)+Scores!$N$9*VLOOKUP(AI36,Scores!$A$15:$B$18,2)+Scores!$O$9*VLOOKUP(AJ36,Scores!$A$15:$B$18,2)</f>
        <v>0</v>
      </c>
      <c r="AJ37" s="7"/>
      <c r="AK37" s="7"/>
      <c r="AL37" s="6">
        <f>Scores!$B$10*VLOOKUP(AL36,Scores!$A$15:$B$18,2)+Scores!$C$10*VLOOKUP(AM36,Scores!$A$15:$B$18,2)+Scores!$D$10*VLOOKUP(AN36,Scores!$A$15:$B$18,2)+Scores!$E$10*VLOOKUP(AO36,Scores!$A$15:$B$18,2)</f>
        <v>0</v>
      </c>
      <c r="AM37" s="6">
        <f>Scores!$G$10*VLOOKUP(AL36,Scores!$A$15:$B$18,2)+Scores!$H$10*VLOOKUP(AM36,Scores!$A$15:$B$18,2)+Scores!$I$10*VLOOKUP(AN36,Scores!$A$15:$B$18,2)+Scores!$J$10*VLOOKUP(AO36,Scores!$A$15:$B$18,2)</f>
        <v>0</v>
      </c>
      <c r="AN37" s="6">
        <f>Scores!$L$10*VLOOKUP(AL36,Scores!$A$15:$B$18,2)+Scores!$M$10*VLOOKUP(AM36,Scores!$A$15:$B$18,2)+Scores!$N$10*VLOOKUP(AN36,Scores!$A$15:$B$18,2)+Scores!$O$10*VLOOKUP(AO36,Scores!$A$15:$B$18,2)</f>
        <v>0</v>
      </c>
      <c r="AO37" s="7"/>
    </row>
    <row r="38" spans="1:49" x14ac:dyDescent="0.25">
      <c r="A38" s="8"/>
      <c r="AP38" s="8"/>
    </row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20"/>
  <sheetViews>
    <sheetView workbookViewId="0">
      <selection activeCell="AQ3" sqref="AQ3:AW11"/>
    </sheetView>
  </sheetViews>
  <sheetFormatPr defaultRowHeight="15" x14ac:dyDescent="0.25"/>
  <cols>
    <col min="1" max="1" width="21.28515625" customWidth="1"/>
    <col min="3" max="6" width="2.7109375" customWidth="1"/>
    <col min="7" max="7" width="1.7109375" customWidth="1"/>
    <col min="8" max="11" width="2.7109375" customWidth="1"/>
    <col min="12" max="12" width="1.7109375" customWidth="1"/>
    <col min="13" max="16" width="2.7109375" customWidth="1"/>
    <col min="17" max="17" width="1.7109375" customWidth="1"/>
    <col min="18" max="21" width="2.7109375" customWidth="1"/>
    <col min="22" max="22" width="1.7109375" customWidth="1"/>
    <col min="23" max="26" width="2.7109375" customWidth="1"/>
    <col min="27" max="27" width="1.7109375" customWidth="1"/>
    <col min="28" max="31" width="2.7109375" customWidth="1"/>
    <col min="32" max="32" width="1.7109375" customWidth="1"/>
    <col min="33" max="36" width="2.7109375" customWidth="1"/>
    <col min="37" max="37" width="1.7109375" customWidth="1"/>
    <col min="38" max="41" width="2.7109375" customWidth="1"/>
  </cols>
  <sheetData>
    <row r="1" spans="1:49" x14ac:dyDescent="0.25">
      <c r="A1" s="1"/>
      <c r="C1" s="1" t="s">
        <v>0</v>
      </c>
      <c r="D1" s="1"/>
      <c r="E1" s="1"/>
      <c r="F1" s="1"/>
      <c r="G1" s="1"/>
      <c r="AQ1" s="1" t="s">
        <v>69</v>
      </c>
      <c r="AU1" s="1" t="s">
        <v>73</v>
      </c>
    </row>
    <row r="2" spans="1:49" x14ac:dyDescent="0.25">
      <c r="A2" s="1" t="s">
        <v>2</v>
      </c>
      <c r="B2" s="1" t="s">
        <v>3</v>
      </c>
      <c r="C2" s="10">
        <v>1</v>
      </c>
      <c r="D2" s="10"/>
      <c r="E2" s="10"/>
      <c r="F2" s="10"/>
      <c r="G2" s="3"/>
      <c r="H2" s="10">
        <v>2</v>
      </c>
      <c r="I2" s="10"/>
      <c r="J2" s="10"/>
      <c r="K2" s="10"/>
      <c r="L2" s="3"/>
      <c r="M2" s="10">
        <v>3</v>
      </c>
      <c r="N2" s="10"/>
      <c r="O2" s="10"/>
      <c r="P2" s="10"/>
      <c r="Q2" s="3"/>
      <c r="R2" s="10">
        <v>4</v>
      </c>
      <c r="S2" s="10"/>
      <c r="T2" s="10"/>
      <c r="U2" s="10"/>
      <c r="V2" s="3"/>
      <c r="W2" s="10">
        <v>5</v>
      </c>
      <c r="X2" s="10"/>
      <c r="Y2" s="10"/>
      <c r="Z2" s="10"/>
      <c r="AA2" s="3"/>
      <c r="AB2" s="10">
        <v>6</v>
      </c>
      <c r="AC2" s="10"/>
      <c r="AD2" s="10"/>
      <c r="AE2" s="10"/>
      <c r="AF2" s="3"/>
      <c r="AG2" s="10">
        <v>7</v>
      </c>
      <c r="AH2" s="10"/>
      <c r="AI2" s="10"/>
      <c r="AJ2" s="10"/>
      <c r="AK2" s="3"/>
      <c r="AL2" s="10">
        <v>8</v>
      </c>
      <c r="AM2" s="10"/>
      <c r="AN2" s="10"/>
      <c r="AO2" s="10"/>
      <c r="AQ2" s="1" t="s">
        <v>10</v>
      </c>
      <c r="AR2" s="1" t="s">
        <v>11</v>
      </c>
      <c r="AS2" s="1" t="s">
        <v>21</v>
      </c>
      <c r="AT2" s="1"/>
      <c r="AU2" s="1" t="s">
        <v>10</v>
      </c>
      <c r="AV2" s="1" t="s">
        <v>11</v>
      </c>
      <c r="AW2" s="1" t="s">
        <v>21</v>
      </c>
    </row>
    <row r="3" spans="1:49" x14ac:dyDescent="0.25">
      <c r="A3" t="s">
        <v>20</v>
      </c>
      <c r="B3" t="s">
        <v>15</v>
      </c>
      <c r="C3">
        <v>1</v>
      </c>
      <c r="D3">
        <v>4</v>
      </c>
      <c r="E3">
        <v>3</v>
      </c>
      <c r="F3">
        <v>2</v>
      </c>
      <c r="H3">
        <v>4</v>
      </c>
      <c r="I3">
        <v>2</v>
      </c>
      <c r="J3">
        <v>3</v>
      </c>
      <c r="K3">
        <v>1</v>
      </c>
      <c r="M3">
        <v>3</v>
      </c>
      <c r="N3">
        <v>2</v>
      </c>
      <c r="O3">
        <v>4</v>
      </c>
      <c r="P3">
        <v>1</v>
      </c>
      <c r="R3">
        <v>4</v>
      </c>
      <c r="S3">
        <v>3</v>
      </c>
      <c r="T3">
        <v>2</v>
      </c>
      <c r="U3">
        <v>1</v>
      </c>
      <c r="W3">
        <v>2</v>
      </c>
      <c r="X3">
        <v>3</v>
      </c>
      <c r="Y3">
        <v>1</v>
      </c>
      <c r="Z3">
        <v>4</v>
      </c>
      <c r="AB3">
        <v>2</v>
      </c>
      <c r="AC3">
        <v>1</v>
      </c>
      <c r="AD3">
        <v>4</v>
      </c>
      <c r="AE3">
        <v>3</v>
      </c>
      <c r="AG3">
        <v>3</v>
      </c>
      <c r="AH3">
        <v>4</v>
      </c>
      <c r="AI3">
        <v>2</v>
      </c>
      <c r="AJ3">
        <v>1</v>
      </c>
      <c r="AL3">
        <v>2</v>
      </c>
      <c r="AM3">
        <v>1</v>
      </c>
      <c r="AN3">
        <v>3</v>
      </c>
      <c r="AO3">
        <v>4</v>
      </c>
      <c r="AQ3" s="9">
        <f>((C4+H4+M4+R4+W4)-Scores!$E$15)/(Scores!$I$15-Scores!$E$15)</f>
        <v>0.80172413793103448</v>
      </c>
      <c r="AR3" s="9">
        <f>((D4+I4+N4+S4+X4)-Scores!$E$16)/(Scores!$I$16-Scores!$E$16)</f>
        <v>0.68965517241379315</v>
      </c>
      <c r="AS3" s="9">
        <f>((E4+J4+O4+T4+Y4)-Scores!$E$17)/(Scores!$I$17-Scores!$E$17)</f>
        <v>0.51724137931034486</v>
      </c>
      <c r="AT3" s="9"/>
      <c r="AU3" s="9">
        <f>((AB4+AG4+AL4)-Scores!$F$15)/(Scores!$J$15-Scores!$F$15)</f>
        <v>0.82758620689655171</v>
      </c>
      <c r="AV3" s="9">
        <f>((AC4+AH4+AM4)-Scores!$F$16)/(Scores!$J$16-Scores!$F$16)</f>
        <v>0.7931034482758621</v>
      </c>
      <c r="AW3" s="9">
        <f>((AD4+AI4+AN4)-Scores!$F$17)/(Scores!$J$17-Scores!$F$17)</f>
        <v>0.68965517241379315</v>
      </c>
    </row>
    <row r="4" spans="1:49" s="5" customFormat="1" ht="11.25" x14ac:dyDescent="0.2">
      <c r="C4" s="6">
        <f>Scores!$B$3*VLOOKUP(C3,Scores!$A$15:$B$18,2)+Scores!$C$3*VLOOKUP(D3,Scores!$A$15:$B$18,2)+Scores!$D$3*VLOOKUP(E3,Scores!$A$15:$B$18,2)+Scores!$E$3*VLOOKUP(F3,Scores!$A$15:$B$18,2)</f>
        <v>0</v>
      </c>
      <c r="D4" s="6">
        <f>Scores!$G$3*VLOOKUP(C3,Scores!$A$15:$B$18,2)+Scores!$H$3*VLOOKUP(D3,Scores!$A$15:$B$18,2)+Scores!$I$3*VLOOKUP(E3,Scores!$A$15:$B$18,2)+Scores!$J$3*VLOOKUP(F3,Scores!$A$15:$B$18,2)</f>
        <v>62</v>
      </c>
      <c r="E4" s="6">
        <f>Scores!$L$3*VLOOKUP(C3,Scores!$A$15:$B$18,2)+Scores!$M$3*VLOOKUP(D3,Scores!$A$15:$B$18,2)+Scores!$N$3*VLOOKUP(E3,Scores!$A$15:$B$18,2)+Scores!$O$3*VLOOKUP(F3,Scores!$A$15:$B$18,2)</f>
        <v>0</v>
      </c>
      <c r="F4" s="7"/>
      <c r="G4" s="7"/>
      <c r="H4" s="6">
        <f>Scores!$B$4*VLOOKUP(H3,Scores!$A$15:$B$18,2)+Scores!$C$4*VLOOKUP(I3,Scores!$A$15:$B$18,2)+Scores!$D$4*VLOOKUP(J3,Scores!$A$15:$B$18,2)+Scores!$E$4*VLOOKUP(K3,Scores!$A$15:$B$18,2)</f>
        <v>50</v>
      </c>
      <c r="I4" s="6">
        <f>Scores!$G$4*VLOOKUP(H3,Scores!$A$15:$B$18,2)+Scores!$H$4*VLOOKUP(I3,Scores!$A$15:$B$18,2)+Scores!$I$4*VLOOKUP(J3,Scores!$A$15:$B$18,2)+Scores!$J$4*VLOOKUP(K3,Scores!$A$15:$B$18,2)</f>
        <v>45</v>
      </c>
      <c r="J4" s="6">
        <f>Scores!$L$4*VLOOKUP(H3,Scores!$A$15:$B$18,2)+Scores!$M$4*VLOOKUP(I3,Scores!$A$15:$B$18,2)+Scores!$N$4*VLOOKUP(J3,Scores!$A$15:$B$18,2)+Scores!$O$4*VLOOKUP(K3,Scores!$A$15:$B$18,2)</f>
        <v>0</v>
      </c>
      <c r="K4" s="7"/>
      <c r="L4" s="7"/>
      <c r="M4" s="6">
        <f>Scores!$B$5*VLOOKUP(M3,Scores!$A$15:$B$18,2)+Scores!$C$5*VLOOKUP(N3,Scores!$A$15:$B$18,2)+Scores!$D$5*VLOOKUP(O3,Scores!$A$15:$B$18,2)+Scores!$E$5*VLOOKUP(P3,Scores!$A$15:$B$18,2)</f>
        <v>57</v>
      </c>
      <c r="N4" s="6">
        <f>Scores!$G$5*VLOOKUP(M3,Scores!$A$15:$B$18,2)+Scores!$H$5*VLOOKUP(N3,Scores!$A$15:$B$18,2)+Scores!$I$5*VLOOKUP(O3,Scores!$A$15:$B$18,2)+Scores!$J$5*VLOOKUP(P3,Scores!$A$15:$B$18,2)</f>
        <v>49</v>
      </c>
      <c r="O4" s="6">
        <f>Scores!$L$5*VLOOKUP(M3,Scores!$A$15:$B$18,2)+Scores!$M$5*VLOOKUP(N3,Scores!$A$15:$B$18,2)+Scores!$N$5*VLOOKUP(O3,Scores!$A$15:$B$18,2)+Scores!$O$5*VLOOKUP(P3,Scores!$A$15:$B$18,2)</f>
        <v>0</v>
      </c>
      <c r="P4" s="7"/>
      <c r="Q4" s="7"/>
      <c r="R4" s="6">
        <f>Scores!$B$6*VLOOKUP(R3,Scores!$A$15:$B$18,2)+Scores!$C$6*VLOOKUP(S3,Scores!$A$15:$B$18,2)+Scores!$D$6*VLOOKUP(T3,Scores!$A$15:$B$18,2)+Scores!$E$6*VLOOKUP(U3,Scores!$A$15:$B$18,2)</f>
        <v>56</v>
      </c>
      <c r="S4" s="6">
        <f>Scores!$G$6*VLOOKUP(R3,Scores!$A$15:$B$18,2)+Scores!$H$6*VLOOKUP(S3,Scores!$A$15:$B$18,2)+Scores!$I$6*VLOOKUP(T3,Scores!$A$15:$B$18,2)+Scores!$J$6*VLOOKUP(U3,Scores!$A$15:$B$18,2)</f>
        <v>47</v>
      </c>
      <c r="T4" s="6">
        <f>Scores!$L$6*VLOOKUP(R3,Scores!$A$15:$B$18,2)+Scores!$M$6*VLOOKUP(S3,Scores!$A$15:$B$18,2)+Scores!$N$6*VLOOKUP(T3,Scores!$A$15:$B$18,2)+Scores!$O$6*VLOOKUP(U3,Scores!$A$15:$B$18,2)</f>
        <v>46</v>
      </c>
      <c r="U4" s="7"/>
      <c r="V4" s="7"/>
      <c r="W4" s="6">
        <f>Scores!$B$7*VLOOKUP(W3,Scores!$A$15:$B$18,2)+Scores!$C$7*VLOOKUP(X3,Scores!$A$15:$B$18,2)+Scores!$D$7*VLOOKUP(Y3,Scores!$A$15:$B$18,2)+Scores!$E$7*VLOOKUP(Z3,Scores!$A$15:$B$18,2)</f>
        <v>62</v>
      </c>
      <c r="X4" s="6">
        <f>Scores!$G$7*VLOOKUP(W3,Scores!$A$15:$B$18,2)+Scores!$H$7*VLOOKUP(X3,Scores!$A$15:$B$18,2)+Scores!$I$7*VLOOKUP(Y3,Scores!$A$15:$B$18,2)+Scores!$J$7*VLOOKUP(Z3,Scores!$A$15:$B$18,2)</f>
        <v>62</v>
      </c>
      <c r="Y4" s="6">
        <f>Scores!$L$7*VLOOKUP(W3,Scores!$A$15:$B$18,2)+Scores!$M$7*VLOOKUP(X3,Scores!$A$15:$B$18,2)+Scores!$N$7*VLOOKUP(Y3,Scores!$A$15:$B$18,2)+Scores!$O$7*VLOOKUP(Z3,Scores!$A$15:$B$18,2)</f>
        <v>50</v>
      </c>
      <c r="Z4" s="7"/>
      <c r="AA4" s="7"/>
      <c r="AB4" s="6">
        <f>Scores!$B$8*VLOOKUP(AB3,Scores!$A$15:$B$18,2)+Scores!$C$8*VLOOKUP(AC3,Scores!$A$15:$B$18,2)+Scores!$D$8*VLOOKUP(AD3,Scores!$A$15:$B$18,2)+Scores!$E$8*VLOOKUP(AE3,Scores!$A$15:$B$18,2)</f>
        <v>57</v>
      </c>
      <c r="AC4" s="6">
        <f>Scores!$G$8*VLOOKUP(AB3,Scores!$A$15:$B$18,2)+Scores!$H$8*VLOOKUP(AC3,Scores!$A$15:$B$18,2)+Scores!$I$8*VLOOKUP(AD3,Scores!$A$15:$B$18,2)+Scores!$J$8*VLOOKUP(AE3,Scores!$A$15:$B$18,2)</f>
        <v>50</v>
      </c>
      <c r="AD4" s="6">
        <f>Scores!$L$8*VLOOKUP(AB3,Scores!$A$15:$B$18,2)+Scores!$M$8*VLOOKUP(AC3,Scores!$A$15:$B$18,2)+Scores!$N$8*VLOOKUP(AD3,Scores!$A$15:$B$18,2)+Scores!$O$8*VLOOKUP(AE3,Scores!$A$15:$B$18,2)</f>
        <v>53</v>
      </c>
      <c r="AE4" s="7"/>
      <c r="AF4" s="7"/>
      <c r="AG4" s="6">
        <f>Scores!$B$9*VLOOKUP(AG3,Scores!$A$15:$B$18,2)+Scores!$C$9*VLOOKUP(AH3,Scores!$A$15:$B$18,2)+Scores!$D$9*VLOOKUP(AI3,Scores!$A$15:$B$18,2)+Scores!$E$9*VLOOKUP(AJ3,Scores!$A$15:$B$18,2)</f>
        <v>0</v>
      </c>
      <c r="AH4" s="6">
        <f>Scores!$G$9*VLOOKUP(AG3,Scores!$A$15:$B$18,2)+Scores!$H$9*VLOOKUP(AH3,Scores!$A$15:$B$18,2)+Scores!$I$9*VLOOKUP(AI3,Scores!$A$15:$B$18,2)+Scores!$J$9*VLOOKUP(AJ3,Scores!$A$15:$B$18,2)</f>
        <v>62</v>
      </c>
      <c r="AI4" s="6">
        <f>Scores!$L$9*VLOOKUP(AG3,Scores!$A$15:$B$18,2)+Scores!$M$9*VLOOKUP(AH3,Scores!$A$15:$B$18,2)+Scores!$N$9*VLOOKUP(AI3,Scores!$A$15:$B$18,2)+Scores!$O$9*VLOOKUP(AJ3,Scores!$A$15:$B$18,2)</f>
        <v>0</v>
      </c>
      <c r="AJ4" s="7"/>
      <c r="AK4" s="7"/>
      <c r="AL4" s="6">
        <f>Scores!$B$10*VLOOKUP(AL3,Scores!$A$15:$B$18,2)+Scores!$C$10*VLOOKUP(AM3,Scores!$A$15:$B$18,2)+Scores!$D$10*VLOOKUP(AN3,Scores!$A$15:$B$18,2)+Scores!$E$10*VLOOKUP(AO3,Scores!$A$15:$B$18,2)</f>
        <v>0</v>
      </c>
      <c r="AM4" s="6">
        <f>Scores!$G$10*VLOOKUP(AL3,Scores!$A$15:$B$18,2)+Scores!$H$10*VLOOKUP(AM3,Scores!$A$15:$B$18,2)+Scores!$I$10*VLOOKUP(AN3,Scores!$A$15:$B$18,2)+Scores!$J$10*VLOOKUP(AO3,Scores!$A$15:$B$18,2)</f>
        <v>0</v>
      </c>
      <c r="AN4" s="6">
        <f>Scores!$L$10*VLOOKUP(AL3,Scores!$A$15:$B$18,2)+Scores!$M$10*VLOOKUP(AM3,Scores!$A$15:$B$18,2)+Scores!$N$10*VLOOKUP(AN3,Scores!$A$15:$B$18,2)+Scores!$O$10*VLOOKUP(AO3,Scores!$A$15:$B$18,2)</f>
        <v>0</v>
      </c>
      <c r="AO4" s="7"/>
    </row>
    <row r="5" spans="1:49" x14ac:dyDescent="0.25">
      <c r="A5" t="s">
        <v>46</v>
      </c>
      <c r="B5" t="s">
        <v>43</v>
      </c>
      <c r="C5">
        <v>1</v>
      </c>
      <c r="D5">
        <v>4</v>
      </c>
      <c r="E5">
        <v>3</v>
      </c>
      <c r="F5">
        <v>2</v>
      </c>
      <c r="H5">
        <v>2</v>
      </c>
      <c r="I5">
        <v>3</v>
      </c>
      <c r="J5">
        <v>4</v>
      </c>
      <c r="K5">
        <v>1</v>
      </c>
      <c r="M5">
        <v>3</v>
      </c>
      <c r="N5">
        <v>1</v>
      </c>
      <c r="O5">
        <v>4</v>
      </c>
      <c r="P5">
        <v>2</v>
      </c>
      <c r="R5">
        <v>2</v>
      </c>
      <c r="S5">
        <v>4</v>
      </c>
      <c r="T5">
        <v>3</v>
      </c>
      <c r="U5">
        <v>1</v>
      </c>
      <c r="W5">
        <v>2</v>
      </c>
      <c r="X5">
        <v>3</v>
      </c>
      <c r="Y5">
        <v>1</v>
      </c>
      <c r="Z5">
        <v>4</v>
      </c>
      <c r="AB5">
        <v>1</v>
      </c>
      <c r="AC5">
        <v>3</v>
      </c>
      <c r="AD5">
        <v>4</v>
      </c>
      <c r="AE5">
        <v>2</v>
      </c>
      <c r="AG5">
        <v>2</v>
      </c>
      <c r="AH5">
        <v>3</v>
      </c>
      <c r="AI5">
        <v>4</v>
      </c>
      <c r="AJ5">
        <v>1</v>
      </c>
      <c r="AL5">
        <v>2</v>
      </c>
      <c r="AM5">
        <v>1</v>
      </c>
      <c r="AN5">
        <v>4</v>
      </c>
      <c r="AO5">
        <v>3</v>
      </c>
      <c r="AQ5" s="9">
        <f>((C6+H6+M6+R6+W6)-Scores!$E$15)/(Scores!$I$15-Scores!$E$15)</f>
        <v>0.81034482758620685</v>
      </c>
      <c r="AR5" s="9">
        <f>((D6+I6+N6+S6+X6)-Scores!$E$16)/(Scores!$I$16-Scores!$E$16)</f>
        <v>0.75862068965517238</v>
      </c>
      <c r="AS5" s="9">
        <f>((E6+J6+O6+T6+Y6)-Scores!$E$17)/(Scores!$I$17-Scores!$E$17)</f>
        <v>0.55172413793103448</v>
      </c>
      <c r="AT5" s="9"/>
      <c r="AU5" s="9">
        <f>((AB6+AG6+AL6)-Scores!$F$15)/(Scores!$J$15-Scores!$F$15)</f>
        <v>0.93103448275862066</v>
      </c>
      <c r="AV5" s="9">
        <f>((AC6+AH6+AM6)-Scores!$F$16)/(Scores!$J$16-Scores!$F$16)</f>
        <v>0.89655172413793105</v>
      </c>
      <c r="AW5" s="9">
        <f>((AD6+AI6+AN6)-Scores!$F$17)/(Scores!$J$17-Scores!$F$17)</f>
        <v>0.58620689655172409</v>
      </c>
    </row>
    <row r="6" spans="1:49" s="5" customFormat="1" ht="11.25" x14ac:dyDescent="0.2">
      <c r="C6" s="6">
        <f>Scores!$B$3*VLOOKUP(C5,Scores!$A$15:$B$18,2)+Scores!$C$3*VLOOKUP(D5,Scores!$A$15:$B$18,2)+Scores!$D$3*VLOOKUP(E5,Scores!$A$15:$B$18,2)+Scores!$E$3*VLOOKUP(F5,Scores!$A$15:$B$18,2)</f>
        <v>0</v>
      </c>
      <c r="D6" s="6">
        <f>Scores!$G$3*VLOOKUP(C5,Scores!$A$15:$B$18,2)+Scores!$H$3*VLOOKUP(D5,Scores!$A$15:$B$18,2)+Scores!$I$3*VLOOKUP(E5,Scores!$A$15:$B$18,2)+Scores!$J$3*VLOOKUP(F5,Scores!$A$15:$B$18,2)</f>
        <v>62</v>
      </c>
      <c r="E6" s="6">
        <f>Scores!$L$3*VLOOKUP(C5,Scores!$A$15:$B$18,2)+Scores!$M$3*VLOOKUP(D5,Scores!$A$15:$B$18,2)+Scores!$N$3*VLOOKUP(E5,Scores!$A$15:$B$18,2)+Scores!$O$3*VLOOKUP(F5,Scores!$A$15:$B$18,2)</f>
        <v>0</v>
      </c>
      <c r="F6" s="7"/>
      <c r="G6" s="7"/>
      <c r="H6" s="6">
        <f>Scores!$B$4*VLOOKUP(H5,Scores!$A$15:$B$18,2)+Scores!$C$4*VLOOKUP(I5,Scores!$A$15:$B$18,2)+Scores!$D$4*VLOOKUP(J5,Scores!$A$15:$B$18,2)+Scores!$E$4*VLOOKUP(K5,Scores!$A$15:$B$18,2)</f>
        <v>40</v>
      </c>
      <c r="I6" s="6">
        <f>Scores!$G$4*VLOOKUP(H5,Scores!$A$15:$B$18,2)+Scores!$H$4*VLOOKUP(I5,Scores!$A$15:$B$18,2)+Scores!$I$4*VLOOKUP(J5,Scores!$A$15:$B$18,2)+Scores!$J$4*VLOOKUP(K5,Scores!$A$15:$B$18,2)</f>
        <v>55</v>
      </c>
      <c r="J6" s="6">
        <f>Scores!$L$4*VLOOKUP(H5,Scores!$A$15:$B$18,2)+Scores!$M$4*VLOOKUP(I5,Scores!$A$15:$B$18,2)+Scores!$N$4*VLOOKUP(J5,Scores!$A$15:$B$18,2)+Scores!$O$4*VLOOKUP(K5,Scores!$A$15:$B$18,2)</f>
        <v>0</v>
      </c>
      <c r="K6" s="7"/>
      <c r="L6" s="7"/>
      <c r="M6" s="6">
        <f>Scores!$B$5*VLOOKUP(M5,Scores!$A$15:$B$18,2)+Scores!$C$5*VLOOKUP(N5,Scores!$A$15:$B$18,2)+Scores!$D$5*VLOOKUP(O5,Scores!$A$15:$B$18,2)+Scores!$E$5*VLOOKUP(P5,Scores!$A$15:$B$18,2)</f>
        <v>62</v>
      </c>
      <c r="N6" s="6">
        <f>Scores!$G$5*VLOOKUP(M5,Scores!$A$15:$B$18,2)+Scores!$H$5*VLOOKUP(N5,Scores!$A$15:$B$18,2)+Scores!$I$5*VLOOKUP(O5,Scores!$A$15:$B$18,2)+Scores!$J$5*VLOOKUP(P5,Scores!$A$15:$B$18,2)</f>
        <v>39</v>
      </c>
      <c r="O6" s="6">
        <f>Scores!$L$5*VLOOKUP(M5,Scores!$A$15:$B$18,2)+Scores!$M$5*VLOOKUP(N5,Scores!$A$15:$B$18,2)+Scores!$N$5*VLOOKUP(O5,Scores!$A$15:$B$18,2)+Scores!$O$5*VLOOKUP(P5,Scores!$A$15:$B$18,2)</f>
        <v>0</v>
      </c>
      <c r="P6" s="7"/>
      <c r="Q6" s="7"/>
      <c r="R6" s="6">
        <f>Scores!$B$6*VLOOKUP(R5,Scores!$A$15:$B$18,2)+Scores!$C$6*VLOOKUP(S5,Scores!$A$15:$B$18,2)+Scores!$D$6*VLOOKUP(T5,Scores!$A$15:$B$18,2)+Scores!$E$6*VLOOKUP(U5,Scores!$A$15:$B$18,2)</f>
        <v>62</v>
      </c>
      <c r="S6" s="6">
        <f>Scores!$G$6*VLOOKUP(R5,Scores!$A$15:$B$18,2)+Scores!$H$6*VLOOKUP(S5,Scores!$A$15:$B$18,2)+Scores!$I$6*VLOOKUP(T5,Scores!$A$15:$B$18,2)+Scores!$J$6*VLOOKUP(U5,Scores!$A$15:$B$18,2)</f>
        <v>57</v>
      </c>
      <c r="T6" s="6">
        <f>Scores!$L$6*VLOOKUP(R5,Scores!$A$15:$B$18,2)+Scores!$M$6*VLOOKUP(S5,Scores!$A$15:$B$18,2)+Scores!$N$6*VLOOKUP(T5,Scores!$A$15:$B$18,2)+Scores!$O$6*VLOOKUP(U5,Scores!$A$15:$B$18,2)</f>
        <v>48</v>
      </c>
      <c r="U6" s="7"/>
      <c r="V6" s="7"/>
      <c r="W6" s="6">
        <f>Scores!$B$7*VLOOKUP(W5,Scores!$A$15:$B$18,2)+Scores!$C$7*VLOOKUP(X5,Scores!$A$15:$B$18,2)+Scores!$D$7*VLOOKUP(Y5,Scores!$A$15:$B$18,2)+Scores!$E$7*VLOOKUP(Z5,Scores!$A$15:$B$18,2)</f>
        <v>62</v>
      </c>
      <c r="X6" s="6">
        <f>Scores!$G$7*VLOOKUP(W5,Scores!$A$15:$B$18,2)+Scores!$H$7*VLOOKUP(X5,Scores!$A$15:$B$18,2)+Scores!$I$7*VLOOKUP(Y5,Scores!$A$15:$B$18,2)+Scores!$J$7*VLOOKUP(Z5,Scores!$A$15:$B$18,2)</f>
        <v>62</v>
      </c>
      <c r="Y6" s="6">
        <f>Scores!$L$7*VLOOKUP(W5,Scores!$A$15:$B$18,2)+Scores!$M$7*VLOOKUP(X5,Scores!$A$15:$B$18,2)+Scores!$N$7*VLOOKUP(Y5,Scores!$A$15:$B$18,2)+Scores!$O$7*VLOOKUP(Z5,Scores!$A$15:$B$18,2)</f>
        <v>50</v>
      </c>
      <c r="Z6" s="7"/>
      <c r="AA6" s="7"/>
      <c r="AB6" s="6">
        <f>Scores!$B$8*VLOOKUP(AB5,Scores!$A$15:$B$18,2)+Scores!$C$8*VLOOKUP(AC5,Scores!$A$15:$B$18,2)+Scores!$D$8*VLOOKUP(AD5,Scores!$A$15:$B$18,2)+Scores!$E$8*VLOOKUP(AE5,Scores!$A$15:$B$18,2)</f>
        <v>60</v>
      </c>
      <c r="AC6" s="6">
        <f>Scores!$G$8*VLOOKUP(AB5,Scores!$A$15:$B$18,2)+Scores!$H$8*VLOOKUP(AC5,Scores!$A$15:$B$18,2)+Scores!$I$8*VLOOKUP(AD5,Scores!$A$15:$B$18,2)+Scores!$J$8*VLOOKUP(AE5,Scores!$A$15:$B$18,2)</f>
        <v>62</v>
      </c>
      <c r="AD6" s="6">
        <f>Scores!$L$8*VLOOKUP(AB5,Scores!$A$15:$B$18,2)+Scores!$M$8*VLOOKUP(AC5,Scores!$A$15:$B$18,2)+Scores!$N$8*VLOOKUP(AD5,Scores!$A$15:$B$18,2)+Scores!$O$8*VLOOKUP(AE5,Scores!$A$15:$B$18,2)</f>
        <v>50</v>
      </c>
      <c r="AE6" s="7"/>
      <c r="AF6" s="7"/>
      <c r="AG6" s="6">
        <f>Scores!$B$9*VLOOKUP(AG5,Scores!$A$15:$B$18,2)+Scores!$C$9*VLOOKUP(AH5,Scores!$A$15:$B$18,2)+Scores!$D$9*VLOOKUP(AI5,Scores!$A$15:$B$18,2)+Scores!$E$9*VLOOKUP(AJ5,Scores!$A$15:$B$18,2)</f>
        <v>0</v>
      </c>
      <c r="AH6" s="6">
        <f>Scores!$G$9*VLOOKUP(AG5,Scores!$A$15:$B$18,2)+Scores!$H$9*VLOOKUP(AH5,Scores!$A$15:$B$18,2)+Scores!$I$9*VLOOKUP(AI5,Scores!$A$15:$B$18,2)+Scores!$J$9*VLOOKUP(AJ5,Scores!$A$15:$B$18,2)</f>
        <v>56</v>
      </c>
      <c r="AI6" s="6">
        <f>Scores!$L$9*VLOOKUP(AG5,Scores!$A$15:$B$18,2)+Scores!$M$9*VLOOKUP(AH5,Scores!$A$15:$B$18,2)+Scores!$N$9*VLOOKUP(AI5,Scores!$A$15:$B$18,2)+Scores!$O$9*VLOOKUP(AJ5,Scores!$A$15:$B$18,2)</f>
        <v>0</v>
      </c>
      <c r="AJ6" s="7"/>
      <c r="AK6" s="7"/>
      <c r="AL6" s="6">
        <f>Scores!$B$10*VLOOKUP(AL5,Scores!$A$15:$B$18,2)+Scores!$C$10*VLOOKUP(AM5,Scores!$A$15:$B$18,2)+Scores!$D$10*VLOOKUP(AN5,Scores!$A$15:$B$18,2)+Scores!$E$10*VLOOKUP(AO5,Scores!$A$15:$B$18,2)</f>
        <v>0</v>
      </c>
      <c r="AM6" s="6">
        <f>Scores!$G$10*VLOOKUP(AL5,Scores!$A$15:$B$18,2)+Scores!$H$10*VLOOKUP(AM5,Scores!$A$15:$B$18,2)+Scores!$I$10*VLOOKUP(AN5,Scores!$A$15:$B$18,2)+Scores!$J$10*VLOOKUP(AO5,Scores!$A$15:$B$18,2)</f>
        <v>0</v>
      </c>
      <c r="AN6" s="6">
        <f>Scores!$L$10*VLOOKUP(AL5,Scores!$A$15:$B$18,2)+Scores!$M$10*VLOOKUP(AM5,Scores!$A$15:$B$18,2)+Scores!$N$10*VLOOKUP(AN5,Scores!$A$15:$B$18,2)+Scores!$O$10*VLOOKUP(AO5,Scores!$A$15:$B$18,2)</f>
        <v>0</v>
      </c>
      <c r="AO6" s="7"/>
    </row>
    <row r="7" spans="1:49" x14ac:dyDescent="0.25">
      <c r="A7" t="s">
        <v>47</v>
      </c>
      <c r="B7" t="s">
        <v>43</v>
      </c>
      <c r="C7">
        <v>1</v>
      </c>
      <c r="D7">
        <v>4</v>
      </c>
      <c r="E7">
        <v>3</v>
      </c>
      <c r="F7">
        <v>2</v>
      </c>
      <c r="H7">
        <v>3</v>
      </c>
      <c r="I7">
        <v>1</v>
      </c>
      <c r="J7">
        <v>4</v>
      </c>
      <c r="K7">
        <v>2</v>
      </c>
      <c r="M7">
        <v>3</v>
      </c>
      <c r="N7">
        <v>1</v>
      </c>
      <c r="O7">
        <v>4</v>
      </c>
      <c r="P7">
        <v>2</v>
      </c>
      <c r="R7">
        <v>4</v>
      </c>
      <c r="S7">
        <v>1</v>
      </c>
      <c r="T7">
        <v>3</v>
      </c>
      <c r="U7">
        <v>2</v>
      </c>
      <c r="W7">
        <v>1</v>
      </c>
      <c r="X7">
        <v>3</v>
      </c>
      <c r="Y7">
        <v>2</v>
      </c>
      <c r="Z7">
        <v>4</v>
      </c>
      <c r="AB7">
        <v>1</v>
      </c>
      <c r="AC7">
        <v>2</v>
      </c>
      <c r="AD7">
        <v>4</v>
      </c>
      <c r="AE7">
        <v>3</v>
      </c>
      <c r="AG7">
        <v>2</v>
      </c>
      <c r="AH7">
        <v>3</v>
      </c>
      <c r="AI7">
        <v>4</v>
      </c>
      <c r="AJ7">
        <v>1</v>
      </c>
      <c r="AL7">
        <v>1</v>
      </c>
      <c r="AM7">
        <v>2</v>
      </c>
      <c r="AN7">
        <v>4</v>
      </c>
      <c r="AO7">
        <v>3</v>
      </c>
      <c r="AQ7" s="9">
        <f>((C8+H8+M8+R8+W8)-Scores!$E$15)/(Scores!$I$15-Scores!$E$15)</f>
        <v>0.7068965517241379</v>
      </c>
      <c r="AR7" s="9">
        <f>((D8+I8+N8+S8+X8)-Scores!$E$16)/(Scores!$I$16-Scores!$E$16)</f>
        <v>0.46206896551724136</v>
      </c>
      <c r="AS7" s="9">
        <f>((E8+J8+O8+T8+Y8)-Scores!$E$17)/(Scores!$I$17-Scores!$E$17)</f>
        <v>0.5</v>
      </c>
      <c r="AT7" s="9"/>
      <c r="AU7" s="9">
        <f>((AB8+AG8+AL8)-Scores!$F$15)/(Scores!$J$15-Scores!$F$15)</f>
        <v>1</v>
      </c>
      <c r="AV7" s="9">
        <f>((AC8+AH8+AM8)-Scores!$F$16)/(Scores!$J$16-Scores!$F$16)</f>
        <v>0.86206896551724133</v>
      </c>
      <c r="AW7" s="9">
        <f>((AD8+AI8+AN8)-Scores!$F$17)/(Scores!$J$17-Scores!$F$17)</f>
        <v>0.51724137931034486</v>
      </c>
    </row>
    <row r="8" spans="1:49" s="5" customFormat="1" ht="11.25" x14ac:dyDescent="0.2">
      <c r="C8" s="6">
        <f>Scores!$B$3*VLOOKUP(C7,Scores!$A$15:$B$18,2)+Scores!$C$3*VLOOKUP(D7,Scores!$A$15:$B$18,2)+Scores!$D$3*VLOOKUP(E7,Scores!$A$15:$B$18,2)+Scores!$E$3*VLOOKUP(F7,Scores!$A$15:$B$18,2)</f>
        <v>0</v>
      </c>
      <c r="D8" s="6">
        <f>Scores!$G$3*VLOOKUP(C7,Scores!$A$15:$B$18,2)+Scores!$H$3*VLOOKUP(D7,Scores!$A$15:$B$18,2)+Scores!$I$3*VLOOKUP(E7,Scores!$A$15:$B$18,2)+Scores!$J$3*VLOOKUP(F7,Scores!$A$15:$B$18,2)</f>
        <v>62</v>
      </c>
      <c r="E8" s="6">
        <f>Scores!$L$3*VLOOKUP(C7,Scores!$A$15:$B$18,2)+Scores!$M$3*VLOOKUP(D7,Scores!$A$15:$B$18,2)+Scores!$N$3*VLOOKUP(E7,Scores!$A$15:$B$18,2)+Scores!$O$3*VLOOKUP(F7,Scores!$A$15:$B$18,2)</f>
        <v>0</v>
      </c>
      <c r="F8" s="7"/>
      <c r="G8" s="7"/>
      <c r="H8" s="6">
        <f>Scores!$B$4*VLOOKUP(H7,Scores!$A$15:$B$18,2)+Scores!$C$4*VLOOKUP(I7,Scores!$A$15:$B$18,2)+Scores!$D$4*VLOOKUP(J7,Scores!$A$15:$B$18,2)+Scores!$E$4*VLOOKUP(K7,Scores!$A$15:$B$18,2)</f>
        <v>56</v>
      </c>
      <c r="I8" s="6">
        <f>Scores!$G$4*VLOOKUP(H7,Scores!$A$15:$B$18,2)+Scores!$H$4*VLOOKUP(I7,Scores!$A$15:$B$18,2)+Scores!$I$4*VLOOKUP(J7,Scores!$A$15:$B$18,2)+Scores!$J$4*VLOOKUP(K7,Scores!$A$15:$B$18,2)</f>
        <v>39</v>
      </c>
      <c r="J8" s="6">
        <f>Scores!$L$4*VLOOKUP(H7,Scores!$A$15:$B$18,2)+Scores!$M$4*VLOOKUP(I7,Scores!$A$15:$B$18,2)+Scores!$N$4*VLOOKUP(J7,Scores!$A$15:$B$18,2)+Scores!$O$4*VLOOKUP(K7,Scores!$A$15:$B$18,2)</f>
        <v>0</v>
      </c>
      <c r="K8" s="7"/>
      <c r="L8" s="7"/>
      <c r="M8" s="6">
        <f>Scores!$B$5*VLOOKUP(M7,Scores!$A$15:$B$18,2)+Scores!$C$5*VLOOKUP(N7,Scores!$A$15:$B$18,2)+Scores!$D$5*VLOOKUP(O7,Scores!$A$15:$B$18,2)+Scores!$E$5*VLOOKUP(P7,Scores!$A$15:$B$18,2)</f>
        <v>62</v>
      </c>
      <c r="N8" s="6">
        <f>Scores!$G$5*VLOOKUP(M7,Scores!$A$15:$B$18,2)+Scores!$H$5*VLOOKUP(N7,Scores!$A$15:$B$18,2)+Scores!$I$5*VLOOKUP(O7,Scores!$A$15:$B$18,2)+Scores!$J$5*VLOOKUP(P7,Scores!$A$15:$B$18,2)</f>
        <v>39</v>
      </c>
      <c r="O8" s="6">
        <f>Scores!$L$5*VLOOKUP(M7,Scores!$A$15:$B$18,2)+Scores!$M$5*VLOOKUP(N7,Scores!$A$15:$B$18,2)+Scores!$N$5*VLOOKUP(O7,Scores!$A$15:$B$18,2)+Scores!$O$5*VLOOKUP(P7,Scores!$A$15:$B$18,2)</f>
        <v>0</v>
      </c>
      <c r="P8" s="7"/>
      <c r="Q8" s="7"/>
      <c r="R8" s="6">
        <f>Scores!$B$6*VLOOKUP(R7,Scores!$A$15:$B$18,2)+Scores!$C$6*VLOOKUP(S7,Scores!$A$15:$B$18,2)+Scores!$D$6*VLOOKUP(T7,Scores!$A$15:$B$18,2)+Scores!$E$6*VLOOKUP(U7,Scores!$A$15:$B$18,2)</f>
        <v>39</v>
      </c>
      <c r="S8" s="6">
        <f>Scores!$G$6*VLOOKUP(R7,Scores!$A$15:$B$18,2)+Scores!$H$6*VLOOKUP(S7,Scores!$A$15:$B$18,2)+Scores!$I$6*VLOOKUP(T7,Scores!$A$15:$B$18,2)+Scores!$J$6*VLOOKUP(U7,Scores!$A$15:$B$18,2)</f>
        <v>35</v>
      </c>
      <c r="T8" s="6">
        <f>Scores!$L$6*VLOOKUP(R7,Scores!$A$15:$B$18,2)+Scores!$M$6*VLOOKUP(S7,Scores!$A$15:$B$18,2)+Scores!$N$6*VLOOKUP(T7,Scores!$A$15:$B$18,2)+Scores!$O$6*VLOOKUP(U7,Scores!$A$15:$B$18,2)</f>
        <v>35</v>
      </c>
      <c r="U8" s="7"/>
      <c r="V8" s="7"/>
      <c r="W8" s="6">
        <f>Scores!$B$7*VLOOKUP(W7,Scores!$A$15:$B$18,2)+Scores!$C$7*VLOOKUP(X7,Scores!$A$15:$B$18,2)+Scores!$D$7*VLOOKUP(Y7,Scores!$A$15:$B$18,2)+Scores!$E$7*VLOOKUP(Z7,Scores!$A$15:$B$18,2)</f>
        <v>57</v>
      </c>
      <c r="X8" s="6">
        <f>Scores!$G$7*VLOOKUP(W7,Scores!$A$15:$B$18,2)+Scores!$H$7*VLOOKUP(X7,Scores!$A$15:$B$18,2)+Scores!$I$7*VLOOKUP(Y7,Scores!$A$15:$B$18,2)+Scores!$J$7*VLOOKUP(Z7,Scores!$A$15:$B$18,2)</f>
        <v>57</v>
      </c>
      <c r="Y8" s="6">
        <f>Scores!$L$7*VLOOKUP(W7,Scores!$A$15:$B$18,2)+Scores!$M$7*VLOOKUP(X7,Scores!$A$15:$B$18,2)+Scores!$N$7*VLOOKUP(Y7,Scores!$A$15:$B$18,2)+Scores!$O$7*VLOOKUP(Z7,Scores!$A$15:$B$18,2)</f>
        <v>60</v>
      </c>
      <c r="Z8" s="7"/>
      <c r="AA8" s="7"/>
      <c r="AB8" s="6">
        <f>Scores!$B$8*VLOOKUP(AB7,Scores!$A$15:$B$18,2)+Scores!$C$8*VLOOKUP(AC7,Scores!$A$15:$B$18,2)+Scores!$D$8*VLOOKUP(AD7,Scores!$A$15:$B$18,2)+Scores!$E$8*VLOOKUP(AE7,Scores!$A$15:$B$18,2)</f>
        <v>62</v>
      </c>
      <c r="AC8" s="6">
        <f>Scores!$G$8*VLOOKUP(AB7,Scores!$A$15:$B$18,2)+Scores!$H$8*VLOOKUP(AC7,Scores!$A$15:$B$18,2)+Scores!$I$8*VLOOKUP(AD7,Scores!$A$15:$B$18,2)+Scores!$J$8*VLOOKUP(AE7,Scores!$A$15:$B$18,2)</f>
        <v>60</v>
      </c>
      <c r="AD8" s="6">
        <f>Scores!$L$8*VLOOKUP(AB7,Scores!$A$15:$B$18,2)+Scores!$M$8*VLOOKUP(AC7,Scores!$A$15:$B$18,2)+Scores!$N$8*VLOOKUP(AD7,Scores!$A$15:$B$18,2)+Scores!$O$8*VLOOKUP(AE7,Scores!$A$15:$B$18,2)</f>
        <v>48</v>
      </c>
      <c r="AE8" s="7"/>
      <c r="AF8" s="7"/>
      <c r="AG8" s="6">
        <f>Scores!$B$9*VLOOKUP(AG7,Scores!$A$15:$B$18,2)+Scores!$C$9*VLOOKUP(AH7,Scores!$A$15:$B$18,2)+Scores!$D$9*VLOOKUP(AI7,Scores!$A$15:$B$18,2)+Scores!$E$9*VLOOKUP(AJ7,Scores!$A$15:$B$18,2)</f>
        <v>0</v>
      </c>
      <c r="AH8" s="6">
        <f>Scores!$G$9*VLOOKUP(AG7,Scores!$A$15:$B$18,2)+Scores!$H$9*VLOOKUP(AH7,Scores!$A$15:$B$18,2)+Scores!$I$9*VLOOKUP(AI7,Scores!$A$15:$B$18,2)+Scores!$J$9*VLOOKUP(AJ7,Scores!$A$15:$B$18,2)</f>
        <v>56</v>
      </c>
      <c r="AI8" s="6">
        <f>Scores!$L$9*VLOOKUP(AG7,Scores!$A$15:$B$18,2)+Scores!$M$9*VLOOKUP(AH7,Scores!$A$15:$B$18,2)+Scores!$N$9*VLOOKUP(AI7,Scores!$A$15:$B$18,2)+Scores!$O$9*VLOOKUP(AJ7,Scores!$A$15:$B$18,2)</f>
        <v>0</v>
      </c>
      <c r="AJ8" s="7"/>
      <c r="AK8" s="7"/>
      <c r="AL8" s="6">
        <f>Scores!$B$10*VLOOKUP(AL7,Scores!$A$15:$B$18,2)+Scores!$C$10*VLOOKUP(AM7,Scores!$A$15:$B$18,2)+Scores!$D$10*VLOOKUP(AN7,Scores!$A$15:$B$18,2)+Scores!$E$10*VLOOKUP(AO7,Scores!$A$15:$B$18,2)</f>
        <v>0</v>
      </c>
      <c r="AM8" s="6">
        <f>Scores!$G$10*VLOOKUP(AL7,Scores!$A$15:$B$18,2)+Scores!$H$10*VLOOKUP(AM7,Scores!$A$15:$B$18,2)+Scores!$I$10*VLOOKUP(AN7,Scores!$A$15:$B$18,2)+Scores!$J$10*VLOOKUP(AO7,Scores!$A$15:$B$18,2)</f>
        <v>0</v>
      </c>
      <c r="AN8" s="6">
        <f>Scores!$L$10*VLOOKUP(AL7,Scores!$A$15:$B$18,2)+Scores!$M$10*VLOOKUP(AM7,Scores!$A$15:$B$18,2)+Scores!$N$10*VLOOKUP(AN7,Scores!$A$15:$B$18,2)+Scores!$O$10*VLOOKUP(AO7,Scores!$A$15:$B$18,2)</f>
        <v>0</v>
      </c>
      <c r="AO8" s="7"/>
    </row>
    <row r="9" spans="1:49" x14ac:dyDescent="0.25">
      <c r="A9" t="s">
        <v>48</v>
      </c>
      <c r="B9" t="s">
        <v>37</v>
      </c>
      <c r="C9">
        <v>1</v>
      </c>
      <c r="D9">
        <v>4</v>
      </c>
      <c r="E9">
        <v>3</v>
      </c>
      <c r="F9">
        <v>2</v>
      </c>
      <c r="H9">
        <v>4</v>
      </c>
      <c r="I9">
        <v>1</v>
      </c>
      <c r="J9">
        <v>3</v>
      </c>
      <c r="K9">
        <v>2</v>
      </c>
      <c r="M9">
        <v>3</v>
      </c>
      <c r="N9">
        <v>1</v>
      </c>
      <c r="O9">
        <v>4</v>
      </c>
      <c r="P9">
        <v>2</v>
      </c>
      <c r="R9">
        <v>4</v>
      </c>
      <c r="S9">
        <v>2</v>
      </c>
      <c r="T9">
        <v>3</v>
      </c>
      <c r="U9">
        <v>1</v>
      </c>
      <c r="W9">
        <v>3</v>
      </c>
      <c r="X9">
        <v>2</v>
      </c>
      <c r="Y9">
        <v>1</v>
      </c>
      <c r="Z9">
        <v>4</v>
      </c>
      <c r="AB9">
        <v>1</v>
      </c>
      <c r="AC9">
        <v>2</v>
      </c>
      <c r="AD9">
        <v>4</v>
      </c>
      <c r="AE9">
        <v>3</v>
      </c>
      <c r="AG9">
        <v>3</v>
      </c>
      <c r="AH9">
        <v>2</v>
      </c>
      <c r="AI9">
        <v>4</v>
      </c>
      <c r="AJ9">
        <v>1</v>
      </c>
      <c r="AL9">
        <v>4</v>
      </c>
      <c r="AM9">
        <v>3</v>
      </c>
      <c r="AN9">
        <v>1</v>
      </c>
      <c r="AO9">
        <v>2</v>
      </c>
      <c r="AQ9" s="9">
        <f>((C10+H10+M10+R10+W10)-Scores!$E$15)/(Scores!$I$15-Scores!$E$15)</f>
        <v>0.89655172413793105</v>
      </c>
      <c r="AR9" s="9">
        <f>((D10+I10+N10+S10+X10)-Scores!$E$16)/(Scores!$I$16-Scores!$E$16)</f>
        <v>0.52413793103448281</v>
      </c>
      <c r="AS9" s="9">
        <f>((E10+J10+O10+T10+Y10)-Scores!$E$17)/(Scores!$I$17-Scores!$E$17)</f>
        <v>0.37931034482758619</v>
      </c>
      <c r="AT9" s="9"/>
      <c r="AU9" s="9">
        <f>((AB10+AG10+AL10)-Scores!$F$15)/(Scores!$J$15-Scores!$F$15)</f>
        <v>1</v>
      </c>
      <c r="AV9" s="9">
        <f>((AC10+AH10+AM10)-Scores!$F$16)/(Scores!$J$16-Scores!$F$16)</f>
        <v>0.82758620689655171</v>
      </c>
      <c r="AW9" s="9">
        <f>((AD10+AI10+AN10)-Scores!$F$17)/(Scores!$J$17-Scores!$F$17)</f>
        <v>0.51724137931034486</v>
      </c>
    </row>
    <row r="10" spans="1:49" s="5" customFormat="1" ht="11.25" x14ac:dyDescent="0.2">
      <c r="C10" s="6">
        <f>Scores!$B$3*VLOOKUP(C9,Scores!$A$15:$B$18,2)+Scores!$C$3*VLOOKUP(D9,Scores!$A$15:$B$18,2)+Scores!$D$3*VLOOKUP(E9,Scores!$A$15:$B$18,2)+Scores!$E$3*VLOOKUP(F9,Scores!$A$15:$B$18,2)</f>
        <v>0</v>
      </c>
      <c r="D10" s="6">
        <f>Scores!$G$3*VLOOKUP(C9,Scores!$A$15:$B$18,2)+Scores!$H$3*VLOOKUP(D9,Scores!$A$15:$B$18,2)+Scores!$I$3*VLOOKUP(E9,Scores!$A$15:$B$18,2)+Scores!$J$3*VLOOKUP(F9,Scores!$A$15:$B$18,2)</f>
        <v>62</v>
      </c>
      <c r="E10" s="6">
        <f>Scores!$L$3*VLOOKUP(C9,Scores!$A$15:$B$18,2)+Scores!$M$3*VLOOKUP(D9,Scores!$A$15:$B$18,2)+Scores!$N$3*VLOOKUP(E9,Scores!$A$15:$B$18,2)+Scores!$O$3*VLOOKUP(F9,Scores!$A$15:$B$18,2)</f>
        <v>0</v>
      </c>
      <c r="F10" s="7"/>
      <c r="G10" s="7"/>
      <c r="H10" s="6">
        <f>Scores!$B$4*VLOOKUP(H9,Scores!$A$15:$B$18,2)+Scores!$C$4*VLOOKUP(I9,Scores!$A$15:$B$18,2)+Scores!$D$4*VLOOKUP(J9,Scores!$A$15:$B$18,2)+Scores!$E$4*VLOOKUP(K9,Scores!$A$15:$B$18,2)</f>
        <v>60</v>
      </c>
      <c r="I10" s="6">
        <f>Scores!$G$4*VLOOKUP(H9,Scores!$A$15:$B$18,2)+Scores!$H$4*VLOOKUP(I9,Scores!$A$15:$B$18,2)+Scores!$I$4*VLOOKUP(J9,Scores!$A$15:$B$18,2)+Scores!$J$4*VLOOKUP(K9,Scores!$A$15:$B$18,2)</f>
        <v>35</v>
      </c>
      <c r="J10" s="6">
        <f>Scores!$L$4*VLOOKUP(H9,Scores!$A$15:$B$18,2)+Scores!$M$4*VLOOKUP(I9,Scores!$A$15:$B$18,2)+Scores!$N$4*VLOOKUP(J9,Scores!$A$15:$B$18,2)+Scores!$O$4*VLOOKUP(K9,Scores!$A$15:$B$18,2)</f>
        <v>0</v>
      </c>
      <c r="K10" s="7"/>
      <c r="L10" s="7"/>
      <c r="M10" s="6">
        <f>Scores!$B$5*VLOOKUP(M9,Scores!$A$15:$B$18,2)+Scores!$C$5*VLOOKUP(N9,Scores!$A$15:$B$18,2)+Scores!$D$5*VLOOKUP(O9,Scores!$A$15:$B$18,2)+Scores!$E$5*VLOOKUP(P9,Scores!$A$15:$B$18,2)</f>
        <v>62</v>
      </c>
      <c r="N10" s="6">
        <f>Scores!$G$5*VLOOKUP(M9,Scores!$A$15:$B$18,2)+Scores!$H$5*VLOOKUP(N9,Scores!$A$15:$B$18,2)+Scores!$I$5*VLOOKUP(O9,Scores!$A$15:$B$18,2)+Scores!$J$5*VLOOKUP(P9,Scores!$A$15:$B$18,2)</f>
        <v>39</v>
      </c>
      <c r="O10" s="6">
        <f>Scores!$L$5*VLOOKUP(M9,Scores!$A$15:$B$18,2)+Scores!$M$5*VLOOKUP(N9,Scores!$A$15:$B$18,2)+Scores!$N$5*VLOOKUP(O9,Scores!$A$15:$B$18,2)+Scores!$O$5*VLOOKUP(P9,Scores!$A$15:$B$18,2)</f>
        <v>0</v>
      </c>
      <c r="P10" s="7"/>
      <c r="Q10" s="7"/>
      <c r="R10" s="6">
        <f>Scores!$B$6*VLOOKUP(R9,Scores!$A$15:$B$18,2)+Scores!$C$6*VLOOKUP(S9,Scores!$A$15:$B$18,2)+Scores!$D$6*VLOOKUP(T9,Scores!$A$15:$B$18,2)+Scores!$E$6*VLOOKUP(U9,Scores!$A$15:$B$18,2)</f>
        <v>54</v>
      </c>
      <c r="S10" s="6">
        <f>Scores!$G$6*VLOOKUP(R9,Scores!$A$15:$B$18,2)+Scores!$H$6*VLOOKUP(S9,Scores!$A$15:$B$18,2)+Scores!$I$6*VLOOKUP(T9,Scores!$A$15:$B$18,2)+Scores!$J$6*VLOOKUP(U9,Scores!$A$15:$B$18,2)</f>
        <v>45</v>
      </c>
      <c r="T10" s="6">
        <f>Scores!$L$6*VLOOKUP(R9,Scores!$A$15:$B$18,2)+Scores!$M$6*VLOOKUP(S9,Scores!$A$15:$B$18,2)+Scores!$N$6*VLOOKUP(T9,Scores!$A$15:$B$18,2)+Scores!$O$6*VLOOKUP(U9,Scores!$A$15:$B$18,2)</f>
        <v>40</v>
      </c>
      <c r="U10" s="7"/>
      <c r="V10" s="7"/>
      <c r="W10" s="6">
        <f>Scores!$B$7*VLOOKUP(W9,Scores!$A$15:$B$18,2)+Scores!$C$7*VLOOKUP(X9,Scores!$A$15:$B$18,2)+Scores!$D$7*VLOOKUP(Y9,Scores!$A$15:$B$18,2)+Scores!$E$7*VLOOKUP(Z9,Scores!$A$15:$B$18,2)</f>
        <v>60</v>
      </c>
      <c r="X10" s="6">
        <f>Scores!$G$7*VLOOKUP(W9,Scores!$A$15:$B$18,2)+Scores!$H$7*VLOOKUP(X9,Scores!$A$15:$B$18,2)+Scores!$I$7*VLOOKUP(Y9,Scores!$A$15:$B$18,2)+Scores!$J$7*VLOOKUP(Z9,Scores!$A$15:$B$18,2)</f>
        <v>60</v>
      </c>
      <c r="Y10" s="6">
        <f>Scores!$L$7*VLOOKUP(W9,Scores!$A$15:$B$18,2)+Scores!$M$7*VLOOKUP(X9,Scores!$A$15:$B$18,2)+Scores!$N$7*VLOOKUP(Y9,Scores!$A$15:$B$18,2)+Scores!$O$7*VLOOKUP(Z9,Scores!$A$15:$B$18,2)</f>
        <v>48</v>
      </c>
      <c r="Z10" s="7"/>
      <c r="AA10" s="7"/>
      <c r="AB10" s="6">
        <f>Scores!$B$8*VLOOKUP(AB9,Scores!$A$15:$B$18,2)+Scores!$C$8*VLOOKUP(AC9,Scores!$A$15:$B$18,2)+Scores!$D$8*VLOOKUP(AD9,Scores!$A$15:$B$18,2)+Scores!$E$8*VLOOKUP(AE9,Scores!$A$15:$B$18,2)</f>
        <v>62</v>
      </c>
      <c r="AC10" s="6">
        <f>Scores!$G$8*VLOOKUP(AB9,Scores!$A$15:$B$18,2)+Scores!$H$8*VLOOKUP(AC9,Scores!$A$15:$B$18,2)+Scores!$I$8*VLOOKUP(AD9,Scores!$A$15:$B$18,2)+Scores!$J$8*VLOOKUP(AE9,Scores!$A$15:$B$18,2)</f>
        <v>60</v>
      </c>
      <c r="AD10" s="6">
        <f>Scores!$L$8*VLOOKUP(AB9,Scores!$A$15:$B$18,2)+Scores!$M$8*VLOOKUP(AC9,Scores!$A$15:$B$18,2)+Scores!$N$8*VLOOKUP(AD9,Scores!$A$15:$B$18,2)+Scores!$O$8*VLOOKUP(AE9,Scores!$A$15:$B$18,2)</f>
        <v>48</v>
      </c>
      <c r="AE10" s="7"/>
      <c r="AF10" s="7"/>
      <c r="AG10" s="6">
        <f>Scores!$B$9*VLOOKUP(AG9,Scores!$A$15:$B$18,2)+Scores!$C$9*VLOOKUP(AH9,Scores!$A$15:$B$18,2)+Scores!$D$9*VLOOKUP(AI9,Scores!$A$15:$B$18,2)+Scores!$E$9*VLOOKUP(AJ9,Scores!$A$15:$B$18,2)</f>
        <v>0</v>
      </c>
      <c r="AH10" s="6">
        <f>Scores!$G$9*VLOOKUP(AG9,Scores!$A$15:$B$18,2)+Scores!$H$9*VLOOKUP(AH9,Scores!$A$15:$B$18,2)+Scores!$I$9*VLOOKUP(AI9,Scores!$A$15:$B$18,2)+Scores!$J$9*VLOOKUP(AJ9,Scores!$A$15:$B$18,2)</f>
        <v>54</v>
      </c>
      <c r="AI10" s="6">
        <f>Scores!$L$9*VLOOKUP(AG9,Scores!$A$15:$B$18,2)+Scores!$M$9*VLOOKUP(AH9,Scores!$A$15:$B$18,2)+Scores!$N$9*VLOOKUP(AI9,Scores!$A$15:$B$18,2)+Scores!$O$9*VLOOKUP(AJ9,Scores!$A$15:$B$18,2)</f>
        <v>0</v>
      </c>
      <c r="AJ10" s="7"/>
      <c r="AK10" s="7"/>
      <c r="AL10" s="6">
        <f>Scores!$B$10*VLOOKUP(AL9,Scores!$A$15:$B$18,2)+Scores!$C$10*VLOOKUP(AM9,Scores!$A$15:$B$18,2)+Scores!$D$10*VLOOKUP(AN9,Scores!$A$15:$B$18,2)+Scores!$E$10*VLOOKUP(AO9,Scores!$A$15:$B$18,2)</f>
        <v>0</v>
      </c>
      <c r="AM10" s="6">
        <f>Scores!$G$10*VLOOKUP(AL9,Scores!$A$15:$B$18,2)+Scores!$H$10*VLOOKUP(AM9,Scores!$A$15:$B$18,2)+Scores!$I$10*VLOOKUP(AN9,Scores!$A$15:$B$18,2)+Scores!$J$10*VLOOKUP(AO9,Scores!$A$15:$B$18,2)</f>
        <v>0</v>
      </c>
      <c r="AN10" s="6">
        <f>Scores!$L$10*VLOOKUP(AL9,Scores!$A$15:$B$18,2)+Scores!$M$10*VLOOKUP(AM9,Scores!$A$15:$B$18,2)+Scores!$N$10*VLOOKUP(AN9,Scores!$A$15:$B$18,2)+Scores!$O$10*VLOOKUP(AO9,Scores!$A$15:$B$18,2)</f>
        <v>0</v>
      </c>
      <c r="AO10" s="7"/>
    </row>
    <row r="11" spans="1:49" x14ac:dyDescent="0.25">
      <c r="A11" t="s">
        <v>28</v>
      </c>
      <c r="B11" t="s">
        <v>37</v>
      </c>
      <c r="C11">
        <v>1</v>
      </c>
      <c r="D11">
        <v>4</v>
      </c>
      <c r="E11">
        <v>3</v>
      </c>
      <c r="F11">
        <v>2</v>
      </c>
      <c r="H11">
        <v>4</v>
      </c>
      <c r="I11">
        <v>1</v>
      </c>
      <c r="J11">
        <v>3</v>
      </c>
      <c r="K11">
        <v>2</v>
      </c>
      <c r="M11">
        <v>3</v>
      </c>
      <c r="N11">
        <v>1</v>
      </c>
      <c r="O11">
        <v>4</v>
      </c>
      <c r="P11">
        <v>2</v>
      </c>
      <c r="R11">
        <v>3</v>
      </c>
      <c r="S11">
        <v>2</v>
      </c>
      <c r="T11">
        <v>4</v>
      </c>
      <c r="U11">
        <v>1</v>
      </c>
      <c r="W11">
        <v>2</v>
      </c>
      <c r="X11">
        <v>3</v>
      </c>
      <c r="Y11">
        <v>1</v>
      </c>
      <c r="Z11">
        <v>4</v>
      </c>
      <c r="AB11">
        <v>1</v>
      </c>
      <c r="AC11">
        <v>3</v>
      </c>
      <c r="AD11">
        <v>4</v>
      </c>
      <c r="AE11">
        <v>2</v>
      </c>
      <c r="AG11">
        <v>1</v>
      </c>
      <c r="AH11">
        <v>4</v>
      </c>
      <c r="AI11">
        <v>3</v>
      </c>
      <c r="AJ11">
        <v>2</v>
      </c>
      <c r="AL11">
        <v>5</v>
      </c>
      <c r="AM11">
        <v>5</v>
      </c>
      <c r="AN11">
        <v>5</v>
      </c>
      <c r="AO11">
        <v>5</v>
      </c>
      <c r="AQ11" s="9">
        <f>((C12+H12+M12+R12+W12)-Scores!$E$15)/(Scores!$I$15-Scores!$E$15)</f>
        <v>0.93103448275862066</v>
      </c>
      <c r="AR11" s="9">
        <f>((D12+I12+N12+S12+X12)-Scores!$E$16)/(Scores!$I$16-Scores!$E$16)</f>
        <v>0.56551724137931036</v>
      </c>
      <c r="AS11" s="9">
        <f>((E12+J12+O12+T12+Y12)-Scores!$E$17)/(Scores!$I$17-Scores!$E$17)</f>
        <v>0.37931034482758619</v>
      </c>
      <c r="AT11" s="9"/>
      <c r="AU11" s="9">
        <f>((AB12+AG12+AL12)-Scores!$F$15)/(Scores!$J$15-Scores!$F$15)</f>
        <v>0.93103448275862066</v>
      </c>
      <c r="AV11" s="9">
        <f>((AC12+AH12+AM12)-Scores!$F$16)/(Scores!$J$16-Scores!$F$16)</f>
        <v>0.7931034482758621</v>
      </c>
      <c r="AW11" s="9">
        <f>((AD12+AI12+AN12)-Scores!$F$17)/(Scores!$J$17-Scores!$F$17)</f>
        <v>0.58620689655172409</v>
      </c>
    </row>
    <row r="12" spans="1:49" s="5" customFormat="1" ht="11.25" x14ac:dyDescent="0.2">
      <c r="C12" s="6">
        <f>Scores!$B$3*VLOOKUP(C11,Scores!$A$15:$B$18,2)+Scores!$C$3*VLOOKUP(D11,Scores!$A$15:$B$18,2)+Scores!$D$3*VLOOKUP(E11,Scores!$A$15:$B$18,2)+Scores!$E$3*VLOOKUP(F11,Scores!$A$15:$B$18,2)</f>
        <v>0</v>
      </c>
      <c r="D12" s="6">
        <f>Scores!$G$3*VLOOKUP(C11,Scores!$A$15:$B$18,2)+Scores!$H$3*VLOOKUP(D11,Scores!$A$15:$B$18,2)+Scores!$I$3*VLOOKUP(E11,Scores!$A$15:$B$18,2)+Scores!$J$3*VLOOKUP(F11,Scores!$A$15:$B$18,2)</f>
        <v>62</v>
      </c>
      <c r="E12" s="6">
        <f>Scores!$L$3*VLOOKUP(C11,Scores!$A$15:$B$18,2)+Scores!$M$3*VLOOKUP(D11,Scores!$A$15:$B$18,2)+Scores!$N$3*VLOOKUP(E11,Scores!$A$15:$B$18,2)+Scores!$O$3*VLOOKUP(F11,Scores!$A$15:$B$18,2)</f>
        <v>0</v>
      </c>
      <c r="F12" s="7"/>
      <c r="G12" s="7"/>
      <c r="H12" s="6">
        <f>Scores!$B$4*VLOOKUP(H11,Scores!$A$15:$B$18,2)+Scores!$C$4*VLOOKUP(I11,Scores!$A$15:$B$18,2)+Scores!$D$4*VLOOKUP(J11,Scores!$A$15:$B$18,2)+Scores!$E$4*VLOOKUP(K11,Scores!$A$15:$B$18,2)</f>
        <v>60</v>
      </c>
      <c r="I12" s="6">
        <f>Scores!$G$4*VLOOKUP(H11,Scores!$A$15:$B$18,2)+Scores!$H$4*VLOOKUP(I11,Scores!$A$15:$B$18,2)+Scores!$I$4*VLOOKUP(J11,Scores!$A$15:$B$18,2)+Scores!$J$4*VLOOKUP(K11,Scores!$A$15:$B$18,2)</f>
        <v>35</v>
      </c>
      <c r="J12" s="6">
        <f>Scores!$L$4*VLOOKUP(H11,Scores!$A$15:$B$18,2)+Scores!$M$4*VLOOKUP(I11,Scores!$A$15:$B$18,2)+Scores!$N$4*VLOOKUP(J11,Scores!$A$15:$B$18,2)+Scores!$O$4*VLOOKUP(K11,Scores!$A$15:$B$18,2)</f>
        <v>0</v>
      </c>
      <c r="K12" s="7"/>
      <c r="L12" s="7"/>
      <c r="M12" s="6">
        <f>Scores!$B$5*VLOOKUP(M11,Scores!$A$15:$B$18,2)+Scores!$C$5*VLOOKUP(N11,Scores!$A$15:$B$18,2)+Scores!$D$5*VLOOKUP(O11,Scores!$A$15:$B$18,2)+Scores!$E$5*VLOOKUP(P11,Scores!$A$15:$B$18,2)</f>
        <v>62</v>
      </c>
      <c r="N12" s="6">
        <f>Scores!$G$5*VLOOKUP(M11,Scores!$A$15:$B$18,2)+Scores!$H$5*VLOOKUP(N11,Scores!$A$15:$B$18,2)+Scores!$I$5*VLOOKUP(O11,Scores!$A$15:$B$18,2)+Scores!$J$5*VLOOKUP(P11,Scores!$A$15:$B$18,2)</f>
        <v>39</v>
      </c>
      <c r="O12" s="6">
        <f>Scores!$L$5*VLOOKUP(M11,Scores!$A$15:$B$18,2)+Scores!$M$5*VLOOKUP(N11,Scores!$A$15:$B$18,2)+Scores!$N$5*VLOOKUP(O11,Scores!$A$15:$B$18,2)+Scores!$O$5*VLOOKUP(P11,Scores!$A$15:$B$18,2)</f>
        <v>0</v>
      </c>
      <c r="P12" s="7"/>
      <c r="Q12" s="7"/>
      <c r="R12" s="6">
        <f>Scores!$B$6*VLOOKUP(R11,Scores!$A$15:$B$18,2)+Scores!$C$6*VLOOKUP(S11,Scores!$A$15:$B$18,2)+Scores!$D$6*VLOOKUP(T11,Scores!$A$15:$B$18,2)+Scores!$E$6*VLOOKUP(U11,Scores!$A$15:$B$18,2)</f>
        <v>56</v>
      </c>
      <c r="S12" s="6">
        <f>Scores!$G$6*VLOOKUP(R11,Scores!$A$15:$B$18,2)+Scores!$H$6*VLOOKUP(S11,Scores!$A$15:$B$18,2)+Scores!$I$6*VLOOKUP(T11,Scores!$A$15:$B$18,2)+Scores!$J$6*VLOOKUP(U11,Scores!$A$15:$B$18,2)</f>
        <v>49</v>
      </c>
      <c r="T12" s="6">
        <f>Scores!$L$6*VLOOKUP(R11,Scores!$A$15:$B$18,2)+Scores!$M$6*VLOOKUP(S11,Scores!$A$15:$B$18,2)+Scores!$N$6*VLOOKUP(T11,Scores!$A$15:$B$18,2)+Scores!$O$6*VLOOKUP(U11,Scores!$A$15:$B$18,2)</f>
        <v>38</v>
      </c>
      <c r="U12" s="7"/>
      <c r="V12" s="7"/>
      <c r="W12" s="6">
        <f>Scores!$B$7*VLOOKUP(W11,Scores!$A$15:$B$18,2)+Scores!$C$7*VLOOKUP(X11,Scores!$A$15:$B$18,2)+Scores!$D$7*VLOOKUP(Y11,Scores!$A$15:$B$18,2)+Scores!$E$7*VLOOKUP(Z11,Scores!$A$15:$B$18,2)</f>
        <v>62</v>
      </c>
      <c r="X12" s="6">
        <f>Scores!$G$7*VLOOKUP(W11,Scores!$A$15:$B$18,2)+Scores!$H$7*VLOOKUP(X11,Scores!$A$15:$B$18,2)+Scores!$I$7*VLOOKUP(Y11,Scores!$A$15:$B$18,2)+Scores!$J$7*VLOOKUP(Z11,Scores!$A$15:$B$18,2)</f>
        <v>62</v>
      </c>
      <c r="Y12" s="6">
        <f>Scores!$L$7*VLOOKUP(W11,Scores!$A$15:$B$18,2)+Scores!$M$7*VLOOKUP(X11,Scores!$A$15:$B$18,2)+Scores!$N$7*VLOOKUP(Y11,Scores!$A$15:$B$18,2)+Scores!$O$7*VLOOKUP(Z11,Scores!$A$15:$B$18,2)</f>
        <v>50</v>
      </c>
      <c r="Z12" s="7"/>
      <c r="AA12" s="7"/>
      <c r="AB12" s="6">
        <f>Scores!$B$8*VLOOKUP(AB11,Scores!$A$15:$B$18,2)+Scores!$C$8*VLOOKUP(AC11,Scores!$A$15:$B$18,2)+Scores!$D$8*VLOOKUP(AD11,Scores!$A$15:$B$18,2)+Scores!$E$8*VLOOKUP(AE11,Scores!$A$15:$B$18,2)</f>
        <v>60</v>
      </c>
      <c r="AC12" s="6">
        <f>Scores!$G$8*VLOOKUP(AB11,Scores!$A$15:$B$18,2)+Scores!$H$8*VLOOKUP(AC11,Scores!$A$15:$B$18,2)+Scores!$I$8*VLOOKUP(AD11,Scores!$A$15:$B$18,2)+Scores!$J$8*VLOOKUP(AE11,Scores!$A$15:$B$18,2)</f>
        <v>62</v>
      </c>
      <c r="AD12" s="6">
        <f>Scores!$L$8*VLOOKUP(AB11,Scores!$A$15:$B$18,2)+Scores!$M$8*VLOOKUP(AC11,Scores!$A$15:$B$18,2)+Scores!$N$8*VLOOKUP(AD11,Scores!$A$15:$B$18,2)+Scores!$O$8*VLOOKUP(AE11,Scores!$A$15:$B$18,2)</f>
        <v>50</v>
      </c>
      <c r="AE12" s="7"/>
      <c r="AF12" s="7"/>
      <c r="AG12" s="6">
        <f>Scores!$B$9*VLOOKUP(AG11,Scores!$A$15:$B$18,2)+Scores!$C$9*VLOOKUP(AH11,Scores!$A$15:$B$18,2)+Scores!$D$9*VLOOKUP(AI11,Scores!$A$15:$B$18,2)+Scores!$E$9*VLOOKUP(AJ11,Scores!$A$15:$B$18,2)</f>
        <v>0</v>
      </c>
      <c r="AH12" s="6">
        <f>Scores!$G$9*VLOOKUP(AG11,Scores!$A$15:$B$18,2)+Scores!$H$9*VLOOKUP(AH11,Scores!$A$15:$B$18,2)+Scores!$I$9*VLOOKUP(AI11,Scores!$A$15:$B$18,2)+Scores!$J$9*VLOOKUP(AJ11,Scores!$A$15:$B$18,2)</f>
        <v>50</v>
      </c>
      <c r="AI12" s="6">
        <f>Scores!$L$9*VLOOKUP(AG11,Scores!$A$15:$B$18,2)+Scores!$M$9*VLOOKUP(AH11,Scores!$A$15:$B$18,2)+Scores!$N$9*VLOOKUP(AI11,Scores!$A$15:$B$18,2)+Scores!$O$9*VLOOKUP(AJ11,Scores!$A$15:$B$18,2)</f>
        <v>0</v>
      </c>
      <c r="AJ12" s="7"/>
      <c r="AK12" s="7"/>
      <c r="AL12" s="6">
        <f>Scores!$B$10*VLOOKUP(AL11,Scores!$A$15:$B$18,2)+Scores!$C$10*VLOOKUP(AM11,Scores!$A$15:$B$18,2)+Scores!$D$10*VLOOKUP(AN11,Scores!$A$15:$B$18,2)+Scores!$E$10*VLOOKUP(AO11,Scores!$A$15:$B$18,2)</f>
        <v>0</v>
      </c>
      <c r="AM12" s="6">
        <f>Scores!$G$10*VLOOKUP(AL11,Scores!$A$15:$B$18,2)+Scores!$H$10*VLOOKUP(AM11,Scores!$A$15:$B$18,2)+Scores!$I$10*VLOOKUP(AN11,Scores!$A$15:$B$18,2)+Scores!$J$10*VLOOKUP(AO11,Scores!$A$15:$B$18,2)</f>
        <v>0</v>
      </c>
      <c r="AN12" s="6">
        <f>Scores!$L$10*VLOOKUP(AL11,Scores!$A$15:$B$18,2)+Scores!$M$10*VLOOKUP(AM11,Scores!$A$15:$B$18,2)+Scores!$N$10*VLOOKUP(AN11,Scores!$A$15:$B$18,2)+Scores!$O$10*VLOOKUP(AO11,Scores!$A$15:$B$18,2)</f>
        <v>0</v>
      </c>
      <c r="AO12" s="7"/>
    </row>
    <row r="14" spans="1:49" x14ac:dyDescent="0.25">
      <c r="A14" s="8" t="s">
        <v>97</v>
      </c>
      <c r="C14">
        <f>BordaCOunt((C3:F3,C5:F5,C7:F7,C9:F9,C11:F11),1)</f>
        <v>1</v>
      </c>
      <c r="D14">
        <f>BordaCOunt((C3:F3,C5:F5,C7:F7,C9:F9,C11:F11),2)</f>
        <v>4</v>
      </c>
      <c r="E14">
        <f>BordaCOunt((C3:F3,C5:F5,C7:F7,C9:F9,C11:F11),3)</f>
        <v>3</v>
      </c>
      <c r="F14">
        <f>BordaCOunt((C3:F3,C5:F5,C7:F7,C9:F9,C11:F11),4)</f>
        <v>2</v>
      </c>
      <c r="H14">
        <f>BordaCOunt((H3:K3,H5:K5,H7:K7,H9:K9,H11:K11),1)</f>
        <v>4</v>
      </c>
      <c r="I14">
        <f>BordaCOunt((H3:K3,H5:K5,H7:K7,H9:K9,H11:K11),2)</f>
        <v>3</v>
      </c>
      <c r="J14">
        <f>BordaCOunt((H3:K3,H5:K5,H7:K7,H9:K9,H11:K11),3)</f>
        <v>1</v>
      </c>
      <c r="K14">
        <f>BordaCOunt((H3:K3,H5:K5,H7:K7,H9:K9,H11:K11),4)</f>
        <v>2</v>
      </c>
      <c r="M14">
        <f>BordaCOunt((M3:P3,M5:P5,M7:P7,M9:P9,M11:P11),1)</f>
        <v>3</v>
      </c>
      <c r="N14">
        <f>BordaCOunt((M3:P3,M5:P5,M7:P7,M9:P9,M11:P11),2)</f>
        <v>1</v>
      </c>
      <c r="O14">
        <f>BordaCOunt((M3:P3,M5:P5,M7:P7,M9:P9,M11:P11),3)</f>
        <v>4</v>
      </c>
      <c r="P14">
        <f>BordaCOunt((M3:P3,M5:P5,M7:P7,M9:P9,M11:P11),4)</f>
        <v>2</v>
      </c>
      <c r="R14">
        <f>BordaCOunt((R3:U3,R5:U5,R7:U7,R9:U9,R11:U11),1)</f>
        <v>4</v>
      </c>
      <c r="S14">
        <f>BordaCOunt((R3:U3,R5:U5,R7:U7,R9:U9,R11:U11),2)</f>
        <v>2</v>
      </c>
      <c r="T14">
        <f>BordaCOunt((R3:U3,R5:U5,R7:U7,R9:U9,R11:U11),3)</f>
        <v>3</v>
      </c>
      <c r="U14">
        <f>BordaCOunt((R3:U3,R5:U5,R7:U7,R9:U9,R11:U11),4)</f>
        <v>1</v>
      </c>
      <c r="W14">
        <f>BordaCOunt((W3:Z3,W5:Z5,W7:Z7,W9:Z9,W11:Z11),1)</f>
        <v>2</v>
      </c>
      <c r="X14">
        <f>BordaCOunt((W3:Z3,W5:Z5,W7:Z7,W9:Z9,W11:Z11),2)</f>
        <v>3</v>
      </c>
      <c r="Y14">
        <f>BordaCOunt((W3:Z3,W5:Z5,W7:Z7,W9:Z9,W11:Z11),3)</f>
        <v>1</v>
      </c>
      <c r="Z14">
        <f>BordaCOunt((W3:Z3,W5:Z5,W7:Z7,W9:Z9,W11:Z11),4)</f>
        <v>4</v>
      </c>
      <c r="AB14">
        <f>BordaCOunt((AB3:AE3,AB5:AE5,AB7:AE7,AB9:AE9,AB11:AE11),1)</f>
        <v>1</v>
      </c>
      <c r="AC14">
        <f>BordaCOunt((AB3:AE3,AB5:AE5,AB7:AE7,AB9:AE9,AB11:AE11),2)</f>
        <v>2</v>
      </c>
      <c r="AD14">
        <f>BordaCOunt((AB3:AE3,AB5:AE5,AB7:AE7,AB9:AE9,AB11:AE11),3)</f>
        <v>4</v>
      </c>
      <c r="AE14">
        <f>BordaCOunt((AB3:AE3,AB5:AE5,AB7:AE7,AB9:AE9,AB11:AE11),4)</f>
        <v>3</v>
      </c>
      <c r="AG14">
        <f>BordaCOunt((AG3:AJ3,AG5:AJ5,AG7:AJ7,AG9:AJ9,AG11:AJ11),1)</f>
        <v>3</v>
      </c>
      <c r="AH14">
        <f>BordaCOunt((AG3:AJ3,AG5:AJ5,AG7:AJ7,AG9:AJ9,AG11:AJ11),2)</f>
        <v>2</v>
      </c>
      <c r="AI14">
        <f>BordaCOunt((AG3:AJ3,AG5:AJ5,AG7:AJ7,AG9:AJ9,AG11:AJ11),3)</f>
        <v>4</v>
      </c>
      <c r="AJ14">
        <f>BordaCOunt((AG3:AJ3,AG5:AJ5,AG7:AJ7,AG9:AJ9,AG11:AJ11),4)</f>
        <v>1</v>
      </c>
      <c r="AL14">
        <f>BordaCOunt((AL3:AO3,AL5:AO5,AL7:AO7,AL9:AO9,AL11:AO11),1)</f>
        <v>1</v>
      </c>
      <c r="AM14">
        <f>BordaCOunt((AL3:AO3,AL5:AO5,AL7:AO7,AL9:AO9,AL11:AO11),2)</f>
        <v>2</v>
      </c>
      <c r="AN14">
        <f>BordaCOunt((AL3:AO3,AL5:AO5,AL7:AO7,AL9:AO9,AL11:AO11),3)</f>
        <v>4</v>
      </c>
      <c r="AO14">
        <f>BordaCOunt((AL3:AO3,AL5:AO5,AL7:AO7,AL9:AO9,AL11:AO11),4)</f>
        <v>3</v>
      </c>
      <c r="AP14" s="1"/>
      <c r="AQ14" s="9">
        <f>((C15+H15+M15+R15+W15)-Scores!$E$15)/(Scores!$I$15-Scores!$E$15)</f>
        <v>0.85344827586206895</v>
      </c>
      <c r="AR14" s="9">
        <f>((D15+I15+N15+S15+X15)-Scores!$E$16)/(Scores!$I$16-Scores!$E$16)</f>
        <v>0.58620689655172409</v>
      </c>
      <c r="AS14" s="9">
        <f>((E15+J15+O15+T15+Y15)-Scores!$E$17)/(Scores!$I$17-Scores!$E$17)</f>
        <v>0.41379310344827586</v>
      </c>
      <c r="AU14" s="9">
        <f>((AB15+AG15+AL15)-Scores!$F$15)/(Scores!$J$15-Scores!$F$15)</f>
        <v>1</v>
      </c>
      <c r="AV14" s="9">
        <f>((AC15+AH15+AM15)-Scores!$F$16)/(Scores!$J$16-Scores!$F$16)</f>
        <v>0.82758620689655171</v>
      </c>
      <c r="AW14" s="9">
        <f>((AD15+AI15+AN15)-Scores!$F$17)/(Scores!$J$17-Scores!$F$17)</f>
        <v>0.51724137931034486</v>
      </c>
    </row>
    <row r="15" spans="1:49" x14ac:dyDescent="0.25">
      <c r="C15" s="6">
        <f>Scores!$B$3*VLOOKUP(C14,Scores!$A$15:$B$18,2)+Scores!$C$3*VLOOKUP(D14,Scores!$A$15:$B$18,2)+Scores!$D$3*VLOOKUP(E14,Scores!$A$15:$B$18,2)+Scores!$E$3*VLOOKUP(F14,Scores!$A$15:$B$18,2)</f>
        <v>0</v>
      </c>
      <c r="D15" s="6">
        <f>Scores!$G$3*VLOOKUP(C14,Scores!$A$15:$B$18,2)+Scores!$H$3*VLOOKUP(D14,Scores!$A$15:$B$18,2)+Scores!$I$3*VLOOKUP(E14,Scores!$A$15:$B$18,2)+Scores!$J$3*VLOOKUP(F14,Scores!$A$15:$B$18,2)</f>
        <v>62</v>
      </c>
      <c r="E15" s="6">
        <f>Scores!$L$3*VLOOKUP(C14,Scores!$A$15:$B$18,2)+Scores!$M$3*VLOOKUP(D14,Scores!$A$15:$B$18,2)+Scores!$N$3*VLOOKUP(E14,Scores!$A$15:$B$18,2)+Scores!$O$3*VLOOKUP(F14,Scores!$A$15:$B$18,2)</f>
        <v>0</v>
      </c>
      <c r="F15" s="7"/>
      <c r="H15" s="6">
        <f>Scores!$B$4*VLOOKUP(H14,Scores!$A$15:$B$18,2)+Scores!$C$4*VLOOKUP(I14,Scores!$A$15:$B$18,2)+Scores!$D$4*VLOOKUP(J14,Scores!$A$15:$B$18,2)+Scores!$E$4*VLOOKUP(K14,Scores!$A$15:$B$18,2)</f>
        <v>53</v>
      </c>
      <c r="I15" s="6">
        <f>Scores!$G$4*VLOOKUP(H14,Scores!$A$15:$B$18,2)+Scores!$H$4*VLOOKUP(I14,Scores!$A$15:$B$18,2)+Scores!$I$4*VLOOKUP(J14,Scores!$A$15:$B$18,2)+Scores!$J$4*VLOOKUP(K14,Scores!$A$15:$B$18,2)</f>
        <v>42</v>
      </c>
      <c r="J15" s="6">
        <f>Scores!$L$4*VLOOKUP(H14,Scores!$A$15:$B$18,2)+Scores!$M$4*VLOOKUP(I14,Scores!$A$15:$B$18,2)+Scores!$N$4*VLOOKUP(J14,Scores!$A$15:$B$18,2)+Scores!$O$4*VLOOKUP(K14,Scores!$A$15:$B$18,2)</f>
        <v>0</v>
      </c>
      <c r="K15" s="7"/>
      <c r="L15" s="7"/>
      <c r="M15" s="6">
        <f>Scores!$B$5*VLOOKUP(M14,Scores!$A$15:$B$18,2)+Scores!$C$5*VLOOKUP(N14,Scores!$A$15:$B$18,2)+Scores!$D$5*VLOOKUP(O14,Scores!$A$15:$B$18,2)+Scores!$E$5*VLOOKUP(P14,Scores!$A$15:$B$18,2)</f>
        <v>62</v>
      </c>
      <c r="N15" s="6">
        <f>Scores!$G$5*VLOOKUP(M14,Scores!$A$15:$B$18,2)+Scores!$H$5*VLOOKUP(N14,Scores!$A$15:$B$18,2)+Scores!$I$5*VLOOKUP(O14,Scores!$A$15:$B$18,2)+Scores!$J$5*VLOOKUP(P14,Scores!$A$15:$B$18,2)</f>
        <v>39</v>
      </c>
      <c r="O15" s="6">
        <f>Scores!$L$5*VLOOKUP(M14,Scores!$A$15:$B$18,2)+Scores!$M$5*VLOOKUP(N14,Scores!$A$15:$B$18,2)+Scores!$N$5*VLOOKUP(O14,Scores!$A$15:$B$18,2)+Scores!$O$5*VLOOKUP(P14,Scores!$A$15:$B$18,2)</f>
        <v>0</v>
      </c>
      <c r="P15" s="7"/>
      <c r="Q15" s="7"/>
      <c r="R15" s="6">
        <f>Scores!$B$6*VLOOKUP(R14,Scores!$A$15:$B$18,2)+Scores!$C$6*VLOOKUP(S14,Scores!$A$15:$B$18,2)+Scores!$D$6*VLOOKUP(T14,Scores!$A$15:$B$18,2)+Scores!$E$6*VLOOKUP(U14,Scores!$A$15:$B$18,2)</f>
        <v>54</v>
      </c>
      <c r="S15" s="6">
        <f>Scores!$G$6*VLOOKUP(R14,Scores!$A$15:$B$18,2)+Scores!$H$6*VLOOKUP(S14,Scores!$A$15:$B$18,2)+Scores!$I$6*VLOOKUP(T14,Scores!$A$15:$B$18,2)+Scores!$J$6*VLOOKUP(U14,Scores!$A$15:$B$18,2)</f>
        <v>45</v>
      </c>
      <c r="T15" s="6">
        <f>Scores!$L$6*VLOOKUP(R14,Scores!$A$15:$B$18,2)+Scores!$M$6*VLOOKUP(S14,Scores!$A$15:$B$18,2)+Scores!$N$6*VLOOKUP(T14,Scores!$A$15:$B$18,2)+Scores!$O$6*VLOOKUP(U14,Scores!$A$15:$B$18,2)</f>
        <v>40</v>
      </c>
      <c r="U15" s="7"/>
      <c r="V15" s="7"/>
      <c r="W15" s="6">
        <f>Scores!$B$7*VLOOKUP(W14,Scores!$A$15:$B$18,2)+Scores!$C$7*VLOOKUP(X14,Scores!$A$15:$B$18,2)+Scores!$D$7*VLOOKUP(Y14,Scores!$A$15:$B$18,2)+Scores!$E$7*VLOOKUP(Z14,Scores!$A$15:$B$18,2)</f>
        <v>62</v>
      </c>
      <c r="X15" s="6">
        <f>Scores!$G$7*VLOOKUP(W14,Scores!$A$15:$B$18,2)+Scores!$H$7*VLOOKUP(X14,Scores!$A$15:$B$18,2)+Scores!$I$7*VLOOKUP(Y14,Scores!$A$15:$B$18,2)+Scores!$J$7*VLOOKUP(Z14,Scores!$A$15:$B$18,2)</f>
        <v>62</v>
      </c>
      <c r="Y15" s="6">
        <f>Scores!$L$7*VLOOKUP(W14,Scores!$A$15:$B$18,2)+Scores!$M$7*VLOOKUP(X14,Scores!$A$15:$B$18,2)+Scores!$N$7*VLOOKUP(Y14,Scores!$A$15:$B$18,2)+Scores!$O$7*VLOOKUP(Z14,Scores!$A$15:$B$18,2)</f>
        <v>50</v>
      </c>
      <c r="Z15" s="7"/>
      <c r="AA15" s="7"/>
      <c r="AB15" s="6">
        <f>Scores!$B$8*VLOOKUP(AB14,Scores!$A$15:$B$18,2)+Scores!$C$8*VLOOKUP(AC14,Scores!$A$15:$B$18,2)+Scores!$D$8*VLOOKUP(AD14,Scores!$A$15:$B$18,2)+Scores!$E$8*VLOOKUP(AE14,Scores!$A$15:$B$18,2)</f>
        <v>62</v>
      </c>
      <c r="AC15" s="6">
        <f>Scores!$G$8*VLOOKUP(AB14,Scores!$A$15:$B$18,2)+Scores!$H$8*VLOOKUP(AC14,Scores!$A$15:$B$18,2)+Scores!$I$8*VLOOKUP(AD14,Scores!$A$15:$B$18,2)+Scores!$J$8*VLOOKUP(AE14,Scores!$A$15:$B$18,2)</f>
        <v>60</v>
      </c>
      <c r="AD15" s="6">
        <f>Scores!$L$8*VLOOKUP(AB14,Scores!$A$15:$B$18,2)+Scores!$M$8*VLOOKUP(AC14,Scores!$A$15:$B$18,2)+Scores!$N$8*VLOOKUP(AD14,Scores!$A$15:$B$18,2)+Scores!$O$8*VLOOKUP(AE14,Scores!$A$15:$B$18,2)</f>
        <v>48</v>
      </c>
      <c r="AE15" s="7"/>
      <c r="AF15" s="7"/>
      <c r="AG15" s="6">
        <f>Scores!$B$9*VLOOKUP(AG14,Scores!$A$15:$B$18,2)+Scores!$C$9*VLOOKUP(AH14,Scores!$A$15:$B$18,2)+Scores!$D$9*VLOOKUP(AI14,Scores!$A$15:$B$18,2)+Scores!$E$9*VLOOKUP(AJ14,Scores!$A$15:$B$18,2)</f>
        <v>0</v>
      </c>
      <c r="AH15" s="6">
        <f>Scores!$G$9*VLOOKUP(AG14,Scores!$A$15:$B$18,2)+Scores!$H$9*VLOOKUP(AH14,Scores!$A$15:$B$18,2)+Scores!$I$9*VLOOKUP(AI14,Scores!$A$15:$B$18,2)+Scores!$J$9*VLOOKUP(AJ14,Scores!$A$15:$B$18,2)</f>
        <v>54</v>
      </c>
      <c r="AI15" s="6">
        <f>Scores!$L$9*VLOOKUP(AG14,Scores!$A$15:$B$18,2)+Scores!$M$9*VLOOKUP(AH14,Scores!$A$15:$B$18,2)+Scores!$N$9*VLOOKUP(AI14,Scores!$A$15:$B$18,2)+Scores!$O$9*VLOOKUP(AJ14,Scores!$A$15:$B$18,2)</f>
        <v>0</v>
      </c>
      <c r="AJ15" s="7"/>
      <c r="AK15" s="7"/>
      <c r="AL15" s="6">
        <f>Scores!$B$10*VLOOKUP(AL14,Scores!$A$15:$B$18,2)+Scores!$C$10*VLOOKUP(AM14,Scores!$A$15:$B$18,2)+Scores!$D$10*VLOOKUP(AN14,Scores!$A$15:$B$18,2)+Scores!$E$10*VLOOKUP(AO14,Scores!$A$15:$B$18,2)</f>
        <v>0</v>
      </c>
      <c r="AM15" s="6">
        <f>Scores!$G$10*VLOOKUP(AL14,Scores!$A$15:$B$18,2)+Scores!$H$10*VLOOKUP(AM14,Scores!$A$15:$B$18,2)+Scores!$I$10*VLOOKUP(AN14,Scores!$A$15:$B$18,2)+Scores!$J$10*VLOOKUP(AO14,Scores!$A$15:$B$18,2)</f>
        <v>0</v>
      </c>
      <c r="AN15" s="6">
        <f>Scores!$L$10*VLOOKUP(AL14,Scores!$A$15:$B$18,2)+Scores!$M$10*VLOOKUP(AM14,Scores!$A$15:$B$18,2)+Scores!$N$10*VLOOKUP(AN14,Scores!$A$15:$B$18,2)+Scores!$O$10*VLOOKUP(AO14,Scores!$A$15:$B$18,2)</f>
        <v>0</v>
      </c>
      <c r="AO15" s="7"/>
    </row>
    <row r="16" spans="1:49" x14ac:dyDescent="0.25">
      <c r="A16" s="5"/>
      <c r="B16" s="5"/>
      <c r="C16" s="6"/>
      <c r="D16" s="6"/>
      <c r="E16" s="7"/>
      <c r="F16" s="7"/>
      <c r="G16" s="7"/>
      <c r="H16" s="6"/>
      <c r="I16" s="6"/>
      <c r="J16" s="7"/>
      <c r="K16" s="7"/>
      <c r="L16" s="7"/>
      <c r="M16" s="6"/>
      <c r="N16" s="6"/>
      <c r="O16" s="7"/>
      <c r="P16" s="7"/>
      <c r="Q16" s="7"/>
      <c r="R16" s="6"/>
      <c r="S16" s="6"/>
      <c r="T16" s="7"/>
      <c r="U16" s="7"/>
      <c r="V16" s="7"/>
      <c r="W16" s="6"/>
      <c r="X16" s="6"/>
      <c r="Y16" s="7"/>
      <c r="Z16" s="7"/>
      <c r="AA16" s="7"/>
      <c r="AB16" s="6"/>
      <c r="AC16" s="6"/>
      <c r="AD16" s="7"/>
      <c r="AE16" s="7"/>
      <c r="AF16" s="7"/>
      <c r="AG16" s="6"/>
      <c r="AH16" s="6"/>
      <c r="AI16" s="7"/>
      <c r="AJ16" s="7"/>
      <c r="AK16" s="7"/>
      <c r="AL16" s="6"/>
      <c r="AM16" s="6"/>
      <c r="AN16" s="7"/>
      <c r="AO16" s="7"/>
      <c r="AP16" s="5"/>
      <c r="AQ16" s="5"/>
      <c r="AR16" s="5"/>
      <c r="AS16" s="5"/>
    </row>
    <row r="18" spans="1:45" x14ac:dyDescent="0.25">
      <c r="A18" s="5"/>
      <c r="B18" s="5"/>
      <c r="C18" s="6"/>
      <c r="D18" s="6"/>
      <c r="E18" s="7"/>
      <c r="F18" s="7"/>
      <c r="G18" s="7"/>
      <c r="H18" s="6"/>
      <c r="I18" s="6"/>
      <c r="J18" s="7"/>
      <c r="K18" s="7"/>
      <c r="L18" s="7"/>
      <c r="M18" s="6"/>
      <c r="N18" s="6"/>
      <c r="O18" s="7"/>
      <c r="P18" s="7"/>
      <c r="Q18" s="7"/>
      <c r="R18" s="6"/>
      <c r="S18" s="6"/>
      <c r="T18" s="7"/>
      <c r="U18" s="7"/>
      <c r="V18" s="7"/>
      <c r="W18" s="6"/>
      <c r="X18" s="6"/>
      <c r="Y18" s="7"/>
      <c r="Z18" s="7"/>
      <c r="AA18" s="7"/>
      <c r="AB18" s="6"/>
      <c r="AC18" s="6"/>
      <c r="AD18" s="7"/>
      <c r="AE18" s="7"/>
      <c r="AF18" s="7"/>
      <c r="AG18" s="6"/>
      <c r="AH18" s="6"/>
      <c r="AI18" s="7"/>
      <c r="AJ18" s="7"/>
      <c r="AK18" s="7"/>
      <c r="AL18" s="6"/>
      <c r="AM18" s="6"/>
      <c r="AN18" s="7"/>
      <c r="AO18" s="7"/>
      <c r="AP18" s="5"/>
      <c r="AQ18" s="5"/>
      <c r="AR18" s="5"/>
      <c r="AS18" s="5"/>
    </row>
    <row r="20" spans="1:45" x14ac:dyDescent="0.25">
      <c r="A20" s="5"/>
      <c r="B20" s="5"/>
      <c r="C20" s="6"/>
      <c r="D20" s="6"/>
      <c r="E20" s="7"/>
      <c r="F20" s="7"/>
      <c r="G20" s="7"/>
      <c r="H20" s="6"/>
      <c r="I20" s="6"/>
      <c r="J20" s="7"/>
      <c r="K20" s="7"/>
      <c r="L20" s="7"/>
      <c r="M20" s="6"/>
      <c r="N20" s="6"/>
      <c r="O20" s="7"/>
      <c r="P20" s="7"/>
      <c r="Q20" s="7"/>
      <c r="R20" s="6"/>
      <c r="S20" s="6"/>
      <c r="T20" s="7"/>
      <c r="U20" s="7"/>
      <c r="V20" s="7"/>
      <c r="W20" s="6"/>
      <c r="X20" s="6"/>
      <c r="Y20" s="7"/>
      <c r="Z20" s="7"/>
      <c r="AA20" s="7"/>
      <c r="AB20" s="6"/>
      <c r="AC20" s="6"/>
      <c r="AD20" s="7"/>
      <c r="AE20" s="7"/>
      <c r="AF20" s="7"/>
      <c r="AG20" s="6"/>
      <c r="AH20" s="6"/>
      <c r="AI20" s="7"/>
      <c r="AJ20" s="7"/>
      <c r="AK20" s="7"/>
      <c r="AL20" s="6"/>
      <c r="AM20" s="6"/>
      <c r="AN20" s="7"/>
      <c r="AO20" s="7"/>
      <c r="AP20" s="5"/>
      <c r="AQ20" s="5"/>
      <c r="AR20" s="5"/>
      <c r="AS20" s="5"/>
    </row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W23"/>
  <sheetViews>
    <sheetView workbookViewId="0">
      <selection activeCell="AT10" sqref="AT10"/>
    </sheetView>
  </sheetViews>
  <sheetFormatPr defaultRowHeight="15" x14ac:dyDescent="0.25"/>
  <cols>
    <col min="1" max="1" width="21.28515625" customWidth="1"/>
    <col min="3" max="6" width="2.7109375" customWidth="1"/>
    <col min="7" max="7" width="1.7109375" customWidth="1"/>
    <col min="8" max="11" width="2.7109375" customWidth="1"/>
    <col min="12" max="12" width="1.7109375" customWidth="1"/>
    <col min="13" max="16" width="2.7109375" customWidth="1"/>
    <col min="17" max="17" width="1.7109375" customWidth="1"/>
    <col min="18" max="21" width="2.7109375" customWidth="1"/>
    <col min="22" max="22" width="1.7109375" customWidth="1"/>
    <col min="23" max="26" width="2.7109375" customWidth="1"/>
    <col min="27" max="27" width="1.7109375" customWidth="1"/>
    <col min="28" max="31" width="2.7109375" customWidth="1"/>
    <col min="32" max="32" width="1.7109375" customWidth="1"/>
    <col min="33" max="36" width="2.7109375" customWidth="1"/>
    <col min="37" max="37" width="1.7109375" customWidth="1"/>
    <col min="38" max="41" width="2.7109375" customWidth="1"/>
  </cols>
  <sheetData>
    <row r="1" spans="1:49" x14ac:dyDescent="0.25">
      <c r="A1" s="1"/>
      <c r="C1" s="1" t="s">
        <v>0</v>
      </c>
      <c r="D1" s="1"/>
      <c r="E1" s="1"/>
      <c r="F1" s="1"/>
      <c r="G1" s="1"/>
      <c r="AQ1" s="1" t="s">
        <v>69</v>
      </c>
      <c r="AU1" s="1" t="s">
        <v>73</v>
      </c>
    </row>
    <row r="2" spans="1:49" x14ac:dyDescent="0.25">
      <c r="A2" s="1" t="s">
        <v>2</v>
      </c>
      <c r="B2" s="1" t="s">
        <v>3</v>
      </c>
      <c r="C2" s="10">
        <v>1</v>
      </c>
      <c r="D2" s="10"/>
      <c r="E2" s="10"/>
      <c r="F2" s="10"/>
      <c r="G2" s="3"/>
      <c r="H2" s="10">
        <v>2</v>
      </c>
      <c r="I2" s="10"/>
      <c r="J2" s="10"/>
      <c r="K2" s="10"/>
      <c r="L2" s="3"/>
      <c r="M2" s="10">
        <v>3</v>
      </c>
      <c r="N2" s="10"/>
      <c r="O2" s="10"/>
      <c r="P2" s="10"/>
      <c r="Q2" s="3"/>
      <c r="R2" s="10">
        <v>4</v>
      </c>
      <c r="S2" s="10"/>
      <c r="T2" s="10"/>
      <c r="U2" s="10"/>
      <c r="V2" s="3"/>
      <c r="W2" s="10">
        <v>5</v>
      </c>
      <c r="X2" s="10"/>
      <c r="Y2" s="10"/>
      <c r="Z2" s="10"/>
      <c r="AA2" s="3"/>
      <c r="AB2" s="10">
        <v>6</v>
      </c>
      <c r="AC2" s="10"/>
      <c r="AD2" s="10"/>
      <c r="AE2" s="10"/>
      <c r="AF2" s="3"/>
      <c r="AG2" s="10">
        <v>7</v>
      </c>
      <c r="AH2" s="10"/>
      <c r="AI2" s="10"/>
      <c r="AJ2" s="10"/>
      <c r="AK2" s="3"/>
      <c r="AL2" s="10">
        <v>8</v>
      </c>
      <c r="AM2" s="10"/>
      <c r="AN2" s="10"/>
      <c r="AO2" s="10"/>
      <c r="AQ2" s="1" t="s">
        <v>10</v>
      </c>
      <c r="AR2" s="1" t="s">
        <v>11</v>
      </c>
      <c r="AS2" s="1" t="s">
        <v>21</v>
      </c>
      <c r="AT2" s="1"/>
      <c r="AU2" s="1" t="s">
        <v>10</v>
      </c>
      <c r="AV2" s="1" t="s">
        <v>11</v>
      </c>
      <c r="AW2" s="1" t="s">
        <v>21</v>
      </c>
    </row>
    <row r="3" spans="1:49" x14ac:dyDescent="0.25">
      <c r="A3" t="s">
        <v>18</v>
      </c>
      <c r="B3" t="s">
        <v>15</v>
      </c>
      <c r="C3">
        <v>1</v>
      </c>
      <c r="D3">
        <v>4</v>
      </c>
      <c r="E3">
        <v>3</v>
      </c>
      <c r="F3">
        <v>2</v>
      </c>
      <c r="H3">
        <v>1</v>
      </c>
      <c r="I3">
        <v>4</v>
      </c>
      <c r="J3">
        <v>3</v>
      </c>
      <c r="K3">
        <v>2</v>
      </c>
      <c r="M3">
        <v>2</v>
      </c>
      <c r="N3">
        <v>4</v>
      </c>
      <c r="O3">
        <v>3</v>
      </c>
      <c r="P3">
        <v>1</v>
      </c>
      <c r="R3">
        <v>3</v>
      </c>
      <c r="S3">
        <v>4</v>
      </c>
      <c r="T3">
        <v>2</v>
      </c>
      <c r="U3">
        <v>1</v>
      </c>
      <c r="W3">
        <v>3</v>
      </c>
      <c r="X3">
        <v>2</v>
      </c>
      <c r="Y3">
        <v>1</v>
      </c>
      <c r="Z3">
        <v>4</v>
      </c>
      <c r="AB3">
        <v>3</v>
      </c>
      <c r="AC3">
        <v>2</v>
      </c>
      <c r="AD3">
        <v>1</v>
      </c>
      <c r="AE3">
        <v>4</v>
      </c>
      <c r="AG3">
        <v>2</v>
      </c>
      <c r="AH3">
        <v>3</v>
      </c>
      <c r="AI3">
        <v>4</v>
      </c>
      <c r="AJ3">
        <v>1</v>
      </c>
      <c r="AL3">
        <v>1</v>
      </c>
      <c r="AM3">
        <v>2</v>
      </c>
      <c r="AN3">
        <v>3</v>
      </c>
      <c r="AO3">
        <v>4</v>
      </c>
      <c r="AQ3" s="9">
        <f>((C4+H4+M4+R4+W4)-Scores!$E$15)/(Scores!$I$15-Scores!$E$15)</f>
        <v>0.58620689655172409</v>
      </c>
      <c r="AR3" s="9">
        <f>((D4+I4+N4+S4+X4)-Scores!$E$16)/(Scores!$I$16-Scores!$E$16)</f>
        <v>0.8896551724137931</v>
      </c>
      <c r="AS3" s="9">
        <f>((E4+J4+O4+T4+Y4)-Scores!$E$17)/(Scores!$I$17-Scores!$E$17)</f>
        <v>0.55172413793103448</v>
      </c>
      <c r="AT3" s="9"/>
      <c r="AU3" s="9">
        <f>((AB4+AG4+AL4)-Scores!$F$15)/(Scores!$J$15-Scores!$F$15)</f>
        <v>0.20689655172413793</v>
      </c>
      <c r="AV3" s="9">
        <f>((AC4+AH4+AM4)-Scores!$F$16)/(Scores!$J$16-Scores!$F$16)</f>
        <v>0.43103448275862066</v>
      </c>
      <c r="AW3" s="9">
        <f>((AD4+AI4+AN4)-Scores!$F$17)/(Scores!$J$17-Scores!$F$17)</f>
        <v>6.8965517241379309E-2</v>
      </c>
    </row>
    <row r="4" spans="1:49" s="5" customFormat="1" ht="11.25" x14ac:dyDescent="0.2">
      <c r="C4" s="6">
        <f>Scores!$B$3*VLOOKUP(C3,Scores!$A$15:$B$18,2)+Scores!$C$3*VLOOKUP(D3,Scores!$A$15:$B$18,2)+Scores!$D$3*VLOOKUP(E3,Scores!$A$15:$B$18,2)+Scores!$E$3*VLOOKUP(F3,Scores!$A$15:$B$18,2)</f>
        <v>0</v>
      </c>
      <c r="D4" s="6">
        <f>Scores!$G$3*VLOOKUP(C3,Scores!$A$15:$B$18,2)+Scores!$H$3*VLOOKUP(D3,Scores!$A$15:$B$18,2)+Scores!$I$3*VLOOKUP(E3,Scores!$A$15:$B$18,2)+Scores!$J$3*VLOOKUP(F3,Scores!$A$15:$B$18,2)</f>
        <v>62</v>
      </c>
      <c r="E4" s="6">
        <f>Scores!$L$3*VLOOKUP(C3,Scores!$A$15:$B$18,2)+Scores!$M$3*VLOOKUP(D3,Scores!$A$15:$B$18,2)+Scores!$N$3*VLOOKUP(E3,Scores!$A$15:$B$18,2)+Scores!$O$3*VLOOKUP(F3,Scores!$A$15:$B$18,2)</f>
        <v>0</v>
      </c>
      <c r="F4" s="7"/>
      <c r="G4" s="7"/>
      <c r="H4" s="6">
        <f>Scores!$B$4*VLOOKUP(H3,Scores!$A$15:$B$18,2)+Scores!$C$4*VLOOKUP(I3,Scores!$A$15:$B$18,2)+Scores!$D$4*VLOOKUP(J3,Scores!$A$15:$B$18,2)+Scores!$E$4*VLOOKUP(K3,Scores!$A$15:$B$18,2)</f>
        <v>33</v>
      </c>
      <c r="I4" s="6">
        <f>Scores!$G$4*VLOOKUP(H3,Scores!$A$15:$B$18,2)+Scores!$H$4*VLOOKUP(I3,Scores!$A$15:$B$18,2)+Scores!$I$4*VLOOKUP(J3,Scores!$A$15:$B$18,2)+Scores!$J$4*VLOOKUP(K3,Scores!$A$15:$B$18,2)</f>
        <v>62</v>
      </c>
      <c r="J4" s="6">
        <f>Scores!$L$4*VLOOKUP(H3,Scores!$A$15:$B$18,2)+Scores!$M$4*VLOOKUP(I3,Scores!$A$15:$B$18,2)+Scores!$N$4*VLOOKUP(J3,Scores!$A$15:$B$18,2)+Scores!$O$4*VLOOKUP(K3,Scores!$A$15:$B$18,2)</f>
        <v>0</v>
      </c>
      <c r="K4" s="7"/>
      <c r="L4" s="7"/>
      <c r="M4" s="6">
        <f>Scores!$B$5*VLOOKUP(M3,Scores!$A$15:$B$18,2)+Scores!$C$5*VLOOKUP(N3,Scores!$A$15:$B$18,2)+Scores!$D$5*VLOOKUP(O3,Scores!$A$15:$B$18,2)+Scores!$E$5*VLOOKUP(P3,Scores!$A$15:$B$18,2)</f>
        <v>47</v>
      </c>
      <c r="N4" s="6">
        <f>Scores!$G$5*VLOOKUP(M3,Scores!$A$15:$B$18,2)+Scores!$H$5*VLOOKUP(N3,Scores!$A$15:$B$18,2)+Scores!$I$5*VLOOKUP(O3,Scores!$A$15:$B$18,2)+Scores!$J$5*VLOOKUP(P3,Scores!$A$15:$B$18,2)</f>
        <v>57</v>
      </c>
      <c r="O4" s="6">
        <f>Scores!$L$5*VLOOKUP(M3,Scores!$A$15:$B$18,2)+Scores!$M$5*VLOOKUP(N3,Scores!$A$15:$B$18,2)+Scores!$N$5*VLOOKUP(O3,Scores!$A$15:$B$18,2)+Scores!$O$5*VLOOKUP(P3,Scores!$A$15:$B$18,2)</f>
        <v>0</v>
      </c>
      <c r="P4" s="7"/>
      <c r="Q4" s="7"/>
      <c r="R4" s="6">
        <f>Scores!$B$6*VLOOKUP(R3,Scores!$A$15:$B$18,2)+Scores!$C$6*VLOOKUP(S3,Scores!$A$15:$B$18,2)+Scores!$D$6*VLOOKUP(T3,Scores!$A$15:$B$18,2)+Scores!$E$6*VLOOKUP(U3,Scores!$A$15:$B$18,2)</f>
        <v>60</v>
      </c>
      <c r="S4" s="6">
        <f>Scores!$G$6*VLOOKUP(R3,Scores!$A$15:$B$18,2)+Scores!$H$6*VLOOKUP(S3,Scores!$A$15:$B$18,2)+Scores!$I$6*VLOOKUP(T3,Scores!$A$15:$B$18,2)+Scores!$J$6*VLOOKUP(U3,Scores!$A$15:$B$18,2)</f>
        <v>53</v>
      </c>
      <c r="T4" s="6">
        <f>Scores!$L$6*VLOOKUP(R3,Scores!$A$15:$B$18,2)+Scores!$M$6*VLOOKUP(S3,Scores!$A$15:$B$18,2)+Scores!$N$6*VLOOKUP(T3,Scores!$A$15:$B$18,2)+Scores!$O$6*VLOOKUP(U3,Scores!$A$15:$B$18,2)</f>
        <v>50</v>
      </c>
      <c r="U4" s="7"/>
      <c r="V4" s="7"/>
      <c r="W4" s="6">
        <f>Scores!$B$7*VLOOKUP(W3,Scores!$A$15:$B$18,2)+Scores!$C$7*VLOOKUP(X3,Scores!$A$15:$B$18,2)+Scores!$D$7*VLOOKUP(Y3,Scores!$A$15:$B$18,2)+Scores!$E$7*VLOOKUP(Z3,Scores!$A$15:$B$18,2)</f>
        <v>60</v>
      </c>
      <c r="X4" s="6">
        <f>Scores!$G$7*VLOOKUP(W3,Scores!$A$15:$B$18,2)+Scores!$H$7*VLOOKUP(X3,Scores!$A$15:$B$18,2)+Scores!$I$7*VLOOKUP(Y3,Scores!$A$15:$B$18,2)+Scores!$J$7*VLOOKUP(Z3,Scores!$A$15:$B$18,2)</f>
        <v>60</v>
      </c>
      <c r="Y4" s="6">
        <f>Scores!$L$7*VLOOKUP(W3,Scores!$A$15:$B$18,2)+Scores!$M$7*VLOOKUP(X3,Scores!$A$15:$B$18,2)+Scores!$N$7*VLOOKUP(Y3,Scores!$A$15:$B$18,2)+Scores!$O$7*VLOOKUP(Z3,Scores!$A$15:$B$18,2)</f>
        <v>48</v>
      </c>
      <c r="Z4" s="7"/>
      <c r="AA4" s="7"/>
      <c r="AB4" s="6">
        <f>Scores!$B$8*VLOOKUP(AB3,Scores!$A$15:$B$18,2)+Scores!$C$8*VLOOKUP(AC3,Scores!$A$15:$B$18,2)+Scores!$D$8*VLOOKUP(AD3,Scores!$A$15:$B$18,2)+Scores!$E$8*VLOOKUP(AE3,Scores!$A$15:$B$18,2)</f>
        <v>39</v>
      </c>
      <c r="AC4" s="6">
        <f>Scores!$G$8*VLOOKUP(AB3,Scores!$A$15:$B$18,2)+Scores!$H$8*VLOOKUP(AC3,Scores!$A$15:$B$18,2)+Scores!$I$8*VLOOKUP(AD3,Scores!$A$15:$B$18,2)+Scores!$J$8*VLOOKUP(AE3,Scores!$A$15:$B$18,2)</f>
        <v>35</v>
      </c>
      <c r="AD4" s="6">
        <f>Scores!$L$8*VLOOKUP(AB3,Scores!$A$15:$B$18,2)+Scores!$M$8*VLOOKUP(AC3,Scores!$A$15:$B$18,2)+Scores!$N$8*VLOOKUP(AD3,Scores!$A$15:$B$18,2)+Scores!$O$8*VLOOKUP(AE3,Scores!$A$15:$B$18,2)</f>
        <v>35</v>
      </c>
      <c r="AE4" s="7"/>
      <c r="AF4" s="7"/>
      <c r="AG4" s="6">
        <f>Scores!$B$9*VLOOKUP(AG3,Scores!$A$15:$B$18,2)+Scores!$C$9*VLOOKUP(AH3,Scores!$A$15:$B$18,2)+Scores!$D$9*VLOOKUP(AI3,Scores!$A$15:$B$18,2)+Scores!$E$9*VLOOKUP(AJ3,Scores!$A$15:$B$18,2)</f>
        <v>0</v>
      </c>
      <c r="AH4" s="6">
        <f>Scores!$G$9*VLOOKUP(AG3,Scores!$A$15:$B$18,2)+Scores!$H$9*VLOOKUP(AH3,Scores!$A$15:$B$18,2)+Scores!$I$9*VLOOKUP(AI3,Scores!$A$15:$B$18,2)+Scores!$J$9*VLOOKUP(AJ3,Scores!$A$15:$B$18,2)</f>
        <v>56</v>
      </c>
      <c r="AI4" s="6">
        <f>Scores!$L$9*VLOOKUP(AG3,Scores!$A$15:$B$18,2)+Scores!$M$9*VLOOKUP(AH3,Scores!$A$15:$B$18,2)+Scores!$N$9*VLOOKUP(AI3,Scores!$A$15:$B$18,2)+Scores!$O$9*VLOOKUP(AJ3,Scores!$A$15:$B$18,2)</f>
        <v>0</v>
      </c>
      <c r="AJ4" s="7"/>
      <c r="AK4" s="7"/>
      <c r="AL4" s="6">
        <f>Scores!$B$10*VLOOKUP(AL3,Scores!$A$15:$B$18,2)+Scores!$C$10*VLOOKUP(AM3,Scores!$A$15:$B$18,2)+Scores!$D$10*VLOOKUP(AN3,Scores!$A$15:$B$18,2)+Scores!$E$10*VLOOKUP(AO3,Scores!$A$15:$B$18,2)</f>
        <v>0</v>
      </c>
      <c r="AM4" s="6">
        <f>Scores!$G$10*VLOOKUP(AL3,Scores!$A$15:$B$18,2)+Scores!$H$10*VLOOKUP(AM3,Scores!$A$15:$B$18,2)+Scores!$I$10*VLOOKUP(AN3,Scores!$A$15:$B$18,2)+Scores!$J$10*VLOOKUP(AO3,Scores!$A$15:$B$18,2)</f>
        <v>0</v>
      </c>
      <c r="AN4" s="6">
        <f>Scores!$L$10*VLOOKUP(AL3,Scores!$A$15:$B$18,2)+Scores!$M$10*VLOOKUP(AM3,Scores!$A$15:$B$18,2)+Scores!$N$10*VLOOKUP(AN3,Scores!$A$15:$B$18,2)+Scores!$O$10*VLOOKUP(AO3,Scores!$A$15:$B$18,2)</f>
        <v>0</v>
      </c>
      <c r="AO4" s="7"/>
    </row>
    <row r="5" spans="1:49" x14ac:dyDescent="0.25">
      <c r="A5" t="s">
        <v>17</v>
      </c>
      <c r="B5" t="s">
        <v>16</v>
      </c>
      <c r="C5">
        <v>1</v>
      </c>
      <c r="D5">
        <v>4</v>
      </c>
      <c r="E5">
        <v>3</v>
      </c>
      <c r="F5">
        <v>2</v>
      </c>
      <c r="H5">
        <v>4</v>
      </c>
      <c r="I5">
        <v>1</v>
      </c>
      <c r="J5">
        <v>3</v>
      </c>
      <c r="K5">
        <v>2</v>
      </c>
      <c r="M5">
        <v>3</v>
      </c>
      <c r="N5">
        <v>1</v>
      </c>
      <c r="O5">
        <v>4</v>
      </c>
      <c r="P5">
        <v>2</v>
      </c>
      <c r="R5">
        <v>4</v>
      </c>
      <c r="S5">
        <v>2</v>
      </c>
      <c r="T5">
        <v>3</v>
      </c>
      <c r="U5">
        <v>1</v>
      </c>
      <c r="W5">
        <v>1</v>
      </c>
      <c r="X5">
        <v>2</v>
      </c>
      <c r="Y5">
        <v>3</v>
      </c>
      <c r="Z5">
        <v>4</v>
      </c>
      <c r="AB5">
        <v>1</v>
      </c>
      <c r="AC5">
        <v>3</v>
      </c>
      <c r="AD5">
        <v>4</v>
      </c>
      <c r="AE5">
        <v>2</v>
      </c>
      <c r="AG5">
        <v>4</v>
      </c>
      <c r="AH5">
        <v>1</v>
      </c>
      <c r="AI5">
        <v>2</v>
      </c>
      <c r="AJ5">
        <v>3</v>
      </c>
      <c r="AL5">
        <v>4</v>
      </c>
      <c r="AM5">
        <v>1</v>
      </c>
      <c r="AN5">
        <v>2</v>
      </c>
      <c r="AO5">
        <v>3</v>
      </c>
      <c r="AQ5" s="9">
        <f>((C6+H6+M6+R6+W6)-Scores!$E$15)/(Scores!$I$15-Scores!$E$15)</f>
        <v>0.83620689655172409</v>
      </c>
      <c r="AR5" s="9">
        <f>((D6+I6+N6+S6+X6)-Scores!$E$16)/(Scores!$I$16-Scores!$E$16)</f>
        <v>0.47586206896551725</v>
      </c>
      <c r="AS5" s="9">
        <f>((E6+J6+O6+T6+Y6)-Scores!$E$17)/(Scores!$I$17-Scores!$E$17)</f>
        <v>0.62068965517241381</v>
      </c>
      <c r="AT5" s="9"/>
      <c r="AU5" s="9">
        <f>((AB6+AG6+AL6)-Scores!$F$15)/(Scores!$J$15-Scores!$F$15)</f>
        <v>0.93103448275862066</v>
      </c>
      <c r="AV5" s="9">
        <f>((AC6+AH6+AM6)-Scores!$F$16)/(Scores!$J$16-Scores!$F$16)</f>
        <v>0.60344827586206895</v>
      </c>
      <c r="AW5" s="9">
        <f>((AD6+AI6+AN6)-Scores!$F$17)/(Scores!$J$17-Scores!$F$17)</f>
        <v>0.58620689655172409</v>
      </c>
    </row>
    <row r="6" spans="1:49" s="5" customFormat="1" ht="11.25" x14ac:dyDescent="0.2">
      <c r="C6" s="6">
        <f>Scores!$B$3*VLOOKUP(C5,Scores!$A$15:$B$18,2)+Scores!$C$3*VLOOKUP(D5,Scores!$A$15:$B$18,2)+Scores!$D$3*VLOOKUP(E5,Scores!$A$15:$B$18,2)+Scores!$E$3*VLOOKUP(F5,Scores!$A$15:$B$18,2)</f>
        <v>0</v>
      </c>
      <c r="D6" s="6">
        <f>Scores!$G$3*VLOOKUP(C5,Scores!$A$15:$B$18,2)+Scores!$H$3*VLOOKUP(D5,Scores!$A$15:$B$18,2)+Scores!$I$3*VLOOKUP(E5,Scores!$A$15:$B$18,2)+Scores!$J$3*VLOOKUP(F5,Scores!$A$15:$B$18,2)</f>
        <v>62</v>
      </c>
      <c r="E6" s="6">
        <f>Scores!$L$3*VLOOKUP(C5,Scores!$A$15:$B$18,2)+Scores!$M$3*VLOOKUP(D5,Scores!$A$15:$B$18,2)+Scores!$N$3*VLOOKUP(E5,Scores!$A$15:$B$18,2)+Scores!$O$3*VLOOKUP(F5,Scores!$A$15:$B$18,2)</f>
        <v>0</v>
      </c>
      <c r="F6" s="7"/>
      <c r="G6" s="7"/>
      <c r="H6" s="6">
        <f>Scores!$B$4*VLOOKUP(H5,Scores!$A$15:$B$18,2)+Scores!$C$4*VLOOKUP(I5,Scores!$A$15:$B$18,2)+Scores!$D$4*VLOOKUP(J5,Scores!$A$15:$B$18,2)+Scores!$E$4*VLOOKUP(K5,Scores!$A$15:$B$18,2)</f>
        <v>60</v>
      </c>
      <c r="I6" s="6">
        <f>Scores!$G$4*VLOOKUP(H5,Scores!$A$15:$B$18,2)+Scores!$H$4*VLOOKUP(I5,Scores!$A$15:$B$18,2)+Scores!$I$4*VLOOKUP(J5,Scores!$A$15:$B$18,2)+Scores!$J$4*VLOOKUP(K5,Scores!$A$15:$B$18,2)</f>
        <v>35</v>
      </c>
      <c r="J6" s="6">
        <f>Scores!$L$4*VLOOKUP(H5,Scores!$A$15:$B$18,2)+Scores!$M$4*VLOOKUP(I5,Scores!$A$15:$B$18,2)+Scores!$N$4*VLOOKUP(J5,Scores!$A$15:$B$18,2)+Scores!$O$4*VLOOKUP(K5,Scores!$A$15:$B$18,2)</f>
        <v>0</v>
      </c>
      <c r="K6" s="7"/>
      <c r="L6" s="7"/>
      <c r="M6" s="6">
        <f>Scores!$B$5*VLOOKUP(M5,Scores!$A$15:$B$18,2)+Scores!$C$5*VLOOKUP(N5,Scores!$A$15:$B$18,2)+Scores!$D$5*VLOOKUP(O5,Scores!$A$15:$B$18,2)+Scores!$E$5*VLOOKUP(P5,Scores!$A$15:$B$18,2)</f>
        <v>62</v>
      </c>
      <c r="N6" s="6">
        <f>Scores!$G$5*VLOOKUP(M5,Scores!$A$15:$B$18,2)+Scores!$H$5*VLOOKUP(N5,Scores!$A$15:$B$18,2)+Scores!$I$5*VLOOKUP(O5,Scores!$A$15:$B$18,2)+Scores!$J$5*VLOOKUP(P5,Scores!$A$15:$B$18,2)</f>
        <v>39</v>
      </c>
      <c r="O6" s="6">
        <f>Scores!$L$5*VLOOKUP(M5,Scores!$A$15:$B$18,2)+Scores!$M$5*VLOOKUP(N5,Scores!$A$15:$B$18,2)+Scores!$N$5*VLOOKUP(O5,Scores!$A$15:$B$18,2)+Scores!$O$5*VLOOKUP(P5,Scores!$A$15:$B$18,2)</f>
        <v>0</v>
      </c>
      <c r="P6" s="7"/>
      <c r="Q6" s="7"/>
      <c r="R6" s="6">
        <f>Scores!$B$6*VLOOKUP(R5,Scores!$A$15:$B$18,2)+Scores!$C$6*VLOOKUP(S5,Scores!$A$15:$B$18,2)+Scores!$D$6*VLOOKUP(T5,Scores!$A$15:$B$18,2)+Scores!$E$6*VLOOKUP(U5,Scores!$A$15:$B$18,2)</f>
        <v>54</v>
      </c>
      <c r="S6" s="6">
        <f>Scores!$G$6*VLOOKUP(R5,Scores!$A$15:$B$18,2)+Scores!$H$6*VLOOKUP(S5,Scores!$A$15:$B$18,2)+Scores!$I$6*VLOOKUP(T5,Scores!$A$15:$B$18,2)+Scores!$J$6*VLOOKUP(U5,Scores!$A$15:$B$18,2)</f>
        <v>45</v>
      </c>
      <c r="T6" s="6">
        <f>Scores!$L$6*VLOOKUP(R5,Scores!$A$15:$B$18,2)+Scores!$M$6*VLOOKUP(S5,Scores!$A$15:$B$18,2)+Scores!$N$6*VLOOKUP(T5,Scores!$A$15:$B$18,2)+Scores!$O$6*VLOOKUP(U5,Scores!$A$15:$B$18,2)</f>
        <v>40</v>
      </c>
      <c r="U6" s="7"/>
      <c r="V6" s="7"/>
      <c r="W6" s="6">
        <f>Scores!$B$7*VLOOKUP(W5,Scores!$A$15:$B$18,2)+Scores!$C$7*VLOOKUP(X5,Scores!$A$15:$B$18,2)+Scores!$D$7*VLOOKUP(Y5,Scores!$A$15:$B$18,2)+Scores!$E$7*VLOOKUP(Z5,Scores!$A$15:$B$18,2)</f>
        <v>53</v>
      </c>
      <c r="X6" s="6">
        <f>Scores!$G$7*VLOOKUP(W5,Scores!$A$15:$B$18,2)+Scores!$H$7*VLOOKUP(X5,Scores!$A$15:$B$18,2)+Scores!$I$7*VLOOKUP(Y5,Scores!$A$15:$B$18,2)+Scores!$J$7*VLOOKUP(Z5,Scores!$A$15:$B$18,2)</f>
        <v>53</v>
      </c>
      <c r="Y6" s="6">
        <f>Scores!$L$7*VLOOKUP(W5,Scores!$A$15:$B$18,2)+Scores!$M$7*VLOOKUP(X5,Scores!$A$15:$B$18,2)+Scores!$N$7*VLOOKUP(Y5,Scores!$A$15:$B$18,2)+Scores!$O$7*VLOOKUP(Z5,Scores!$A$15:$B$18,2)</f>
        <v>62</v>
      </c>
      <c r="Z6" s="7"/>
      <c r="AA6" s="7"/>
      <c r="AB6" s="6">
        <f>Scores!$B$8*VLOOKUP(AB5,Scores!$A$15:$B$18,2)+Scores!$C$8*VLOOKUP(AC5,Scores!$A$15:$B$18,2)+Scores!$D$8*VLOOKUP(AD5,Scores!$A$15:$B$18,2)+Scores!$E$8*VLOOKUP(AE5,Scores!$A$15:$B$18,2)</f>
        <v>60</v>
      </c>
      <c r="AC6" s="6">
        <f>Scores!$G$8*VLOOKUP(AB5,Scores!$A$15:$B$18,2)+Scores!$H$8*VLOOKUP(AC5,Scores!$A$15:$B$18,2)+Scores!$I$8*VLOOKUP(AD5,Scores!$A$15:$B$18,2)+Scores!$J$8*VLOOKUP(AE5,Scores!$A$15:$B$18,2)</f>
        <v>62</v>
      </c>
      <c r="AD6" s="6">
        <f>Scores!$L$8*VLOOKUP(AB5,Scores!$A$15:$B$18,2)+Scores!$M$8*VLOOKUP(AC5,Scores!$A$15:$B$18,2)+Scores!$N$8*VLOOKUP(AD5,Scores!$A$15:$B$18,2)+Scores!$O$8*VLOOKUP(AE5,Scores!$A$15:$B$18,2)</f>
        <v>50</v>
      </c>
      <c r="AE6" s="7"/>
      <c r="AF6" s="7"/>
      <c r="AG6" s="6">
        <f>Scores!$B$9*VLOOKUP(AG5,Scores!$A$15:$B$18,2)+Scores!$C$9*VLOOKUP(AH5,Scores!$A$15:$B$18,2)+Scores!$D$9*VLOOKUP(AI5,Scores!$A$15:$B$18,2)+Scores!$E$9*VLOOKUP(AJ5,Scores!$A$15:$B$18,2)</f>
        <v>0</v>
      </c>
      <c r="AH6" s="6">
        <f>Scores!$G$9*VLOOKUP(AG5,Scores!$A$15:$B$18,2)+Scores!$H$9*VLOOKUP(AH5,Scores!$A$15:$B$18,2)+Scores!$I$9*VLOOKUP(AI5,Scores!$A$15:$B$18,2)+Scores!$J$9*VLOOKUP(AJ5,Scores!$A$15:$B$18,2)</f>
        <v>39</v>
      </c>
      <c r="AI6" s="6">
        <f>Scores!$L$9*VLOOKUP(AG5,Scores!$A$15:$B$18,2)+Scores!$M$9*VLOOKUP(AH5,Scores!$A$15:$B$18,2)+Scores!$N$9*VLOOKUP(AI5,Scores!$A$15:$B$18,2)+Scores!$O$9*VLOOKUP(AJ5,Scores!$A$15:$B$18,2)</f>
        <v>0</v>
      </c>
      <c r="AJ6" s="7"/>
      <c r="AK6" s="7"/>
      <c r="AL6" s="6">
        <f>Scores!$B$10*VLOOKUP(AL5,Scores!$A$15:$B$18,2)+Scores!$C$10*VLOOKUP(AM5,Scores!$A$15:$B$18,2)+Scores!$D$10*VLOOKUP(AN5,Scores!$A$15:$B$18,2)+Scores!$E$10*VLOOKUP(AO5,Scores!$A$15:$B$18,2)</f>
        <v>0</v>
      </c>
      <c r="AM6" s="6">
        <f>Scores!$G$10*VLOOKUP(AL5,Scores!$A$15:$B$18,2)+Scores!$H$10*VLOOKUP(AM5,Scores!$A$15:$B$18,2)+Scores!$I$10*VLOOKUP(AN5,Scores!$A$15:$B$18,2)+Scores!$J$10*VLOOKUP(AO5,Scores!$A$15:$B$18,2)</f>
        <v>0</v>
      </c>
      <c r="AN6" s="6">
        <f>Scores!$L$10*VLOOKUP(AL5,Scores!$A$15:$B$18,2)+Scores!$M$10*VLOOKUP(AM5,Scores!$A$15:$B$18,2)+Scores!$N$10*VLOOKUP(AN5,Scores!$A$15:$B$18,2)+Scores!$O$10*VLOOKUP(AO5,Scores!$A$15:$B$18,2)</f>
        <v>0</v>
      </c>
      <c r="AO6" s="7"/>
    </row>
    <row r="7" spans="1:49" x14ac:dyDescent="0.25">
      <c r="A7" t="s">
        <v>23</v>
      </c>
      <c r="B7" t="s">
        <v>78</v>
      </c>
      <c r="C7">
        <v>1</v>
      </c>
      <c r="D7">
        <v>4</v>
      </c>
      <c r="E7">
        <v>3</v>
      </c>
      <c r="F7">
        <v>2</v>
      </c>
      <c r="H7">
        <v>4</v>
      </c>
      <c r="I7">
        <v>1</v>
      </c>
      <c r="J7">
        <v>3</v>
      </c>
      <c r="K7">
        <v>2</v>
      </c>
      <c r="M7">
        <v>3</v>
      </c>
      <c r="N7">
        <v>1</v>
      </c>
      <c r="O7">
        <v>4</v>
      </c>
      <c r="P7">
        <v>2</v>
      </c>
      <c r="R7">
        <v>3</v>
      </c>
      <c r="S7">
        <v>1</v>
      </c>
      <c r="T7">
        <v>4</v>
      </c>
      <c r="U7">
        <v>2</v>
      </c>
      <c r="W7">
        <v>2</v>
      </c>
      <c r="X7">
        <v>3</v>
      </c>
      <c r="Y7">
        <v>1</v>
      </c>
      <c r="Z7">
        <v>4</v>
      </c>
      <c r="AB7">
        <v>1</v>
      </c>
      <c r="AC7">
        <v>2</v>
      </c>
      <c r="AD7">
        <v>3</v>
      </c>
      <c r="AE7">
        <v>4</v>
      </c>
      <c r="AG7">
        <v>4</v>
      </c>
      <c r="AH7">
        <v>3</v>
      </c>
      <c r="AI7">
        <v>1</v>
      </c>
      <c r="AJ7">
        <v>2</v>
      </c>
      <c r="AL7">
        <v>4</v>
      </c>
      <c r="AM7">
        <v>1</v>
      </c>
      <c r="AN7">
        <v>2</v>
      </c>
      <c r="AO7">
        <v>3</v>
      </c>
      <c r="AQ7" s="9">
        <f>((C8+H8+M8+R8+W8)-Scores!$E$15)/(Scores!$I$15-Scores!$E$15)</f>
        <v>0.80172413793103448</v>
      </c>
      <c r="AR7" s="9">
        <f>((D8+I8+N8+S8+X8)-Scores!$E$16)/(Scores!$I$16-Scores!$E$16)</f>
        <v>0.49655172413793103</v>
      </c>
      <c r="AS7" s="9">
        <f>((E8+J8+O8+T8+Y8)-Scores!$E$17)/(Scores!$I$17-Scores!$E$17)</f>
        <v>0.29310344827586204</v>
      </c>
      <c r="AT7" s="9"/>
      <c r="AU7" s="9">
        <f>((AB8+AG8+AL8)-Scores!$F$15)/(Scores!$J$15-Scores!$F$15)</f>
        <v>0.93103448275862066</v>
      </c>
      <c r="AV7" s="9">
        <f>((AC8+AH8+AM8)-Scores!$F$16)/(Scores!$J$16-Scores!$F$16)</f>
        <v>0.77586206896551724</v>
      </c>
      <c r="AW7" s="9">
        <f>((AD8+AI8+AN8)-Scores!$F$17)/(Scores!$J$17-Scores!$F$17)</f>
        <v>0.31034482758620691</v>
      </c>
    </row>
    <row r="8" spans="1:49" s="5" customFormat="1" ht="11.25" x14ac:dyDescent="0.2">
      <c r="C8" s="6">
        <f>Scores!$B$3*VLOOKUP(C7,Scores!$A$15:$B$18,2)+Scores!$C$3*VLOOKUP(D7,Scores!$A$15:$B$18,2)+Scores!$D$3*VLOOKUP(E7,Scores!$A$15:$B$18,2)+Scores!$E$3*VLOOKUP(F7,Scores!$A$15:$B$18,2)</f>
        <v>0</v>
      </c>
      <c r="D8" s="6">
        <f>Scores!$G$3*VLOOKUP(C7,Scores!$A$15:$B$18,2)+Scores!$H$3*VLOOKUP(D7,Scores!$A$15:$B$18,2)+Scores!$I$3*VLOOKUP(E7,Scores!$A$15:$B$18,2)+Scores!$J$3*VLOOKUP(F7,Scores!$A$15:$B$18,2)</f>
        <v>62</v>
      </c>
      <c r="E8" s="6">
        <f>Scores!$L$3*VLOOKUP(C7,Scores!$A$15:$B$18,2)+Scores!$M$3*VLOOKUP(D7,Scores!$A$15:$B$18,2)+Scores!$N$3*VLOOKUP(E7,Scores!$A$15:$B$18,2)+Scores!$O$3*VLOOKUP(F7,Scores!$A$15:$B$18,2)</f>
        <v>0</v>
      </c>
      <c r="F8" s="7"/>
      <c r="G8" s="7"/>
      <c r="H8" s="6">
        <f>Scores!$B$4*VLOOKUP(H7,Scores!$A$15:$B$18,2)+Scores!$C$4*VLOOKUP(I7,Scores!$A$15:$B$18,2)+Scores!$D$4*VLOOKUP(J7,Scores!$A$15:$B$18,2)+Scores!$E$4*VLOOKUP(K7,Scores!$A$15:$B$18,2)</f>
        <v>60</v>
      </c>
      <c r="I8" s="6">
        <f>Scores!$G$4*VLOOKUP(H7,Scores!$A$15:$B$18,2)+Scores!$H$4*VLOOKUP(I7,Scores!$A$15:$B$18,2)+Scores!$I$4*VLOOKUP(J7,Scores!$A$15:$B$18,2)+Scores!$J$4*VLOOKUP(K7,Scores!$A$15:$B$18,2)</f>
        <v>35</v>
      </c>
      <c r="J8" s="6">
        <f>Scores!$L$4*VLOOKUP(H7,Scores!$A$15:$B$18,2)+Scores!$M$4*VLOOKUP(I7,Scores!$A$15:$B$18,2)+Scores!$N$4*VLOOKUP(J7,Scores!$A$15:$B$18,2)+Scores!$O$4*VLOOKUP(K7,Scores!$A$15:$B$18,2)</f>
        <v>0</v>
      </c>
      <c r="K8" s="7"/>
      <c r="L8" s="7"/>
      <c r="M8" s="6">
        <f>Scores!$B$5*VLOOKUP(M7,Scores!$A$15:$B$18,2)+Scores!$C$5*VLOOKUP(N7,Scores!$A$15:$B$18,2)+Scores!$D$5*VLOOKUP(O7,Scores!$A$15:$B$18,2)+Scores!$E$5*VLOOKUP(P7,Scores!$A$15:$B$18,2)</f>
        <v>62</v>
      </c>
      <c r="N8" s="6">
        <f>Scores!$G$5*VLOOKUP(M7,Scores!$A$15:$B$18,2)+Scores!$H$5*VLOOKUP(N7,Scores!$A$15:$B$18,2)+Scores!$I$5*VLOOKUP(O7,Scores!$A$15:$B$18,2)+Scores!$J$5*VLOOKUP(P7,Scores!$A$15:$B$18,2)</f>
        <v>39</v>
      </c>
      <c r="O8" s="6">
        <f>Scores!$L$5*VLOOKUP(M7,Scores!$A$15:$B$18,2)+Scores!$M$5*VLOOKUP(N7,Scores!$A$15:$B$18,2)+Scores!$N$5*VLOOKUP(O7,Scores!$A$15:$B$18,2)+Scores!$O$5*VLOOKUP(P7,Scores!$A$15:$B$18,2)</f>
        <v>0</v>
      </c>
      <c r="P8" s="7"/>
      <c r="Q8" s="7"/>
      <c r="R8" s="6">
        <f>Scores!$B$6*VLOOKUP(R7,Scores!$A$15:$B$18,2)+Scores!$C$6*VLOOKUP(S7,Scores!$A$15:$B$18,2)+Scores!$D$6*VLOOKUP(T7,Scores!$A$15:$B$18,2)+Scores!$E$6*VLOOKUP(U7,Scores!$A$15:$B$18,2)</f>
        <v>41</v>
      </c>
      <c r="S8" s="6">
        <f>Scores!$G$6*VLOOKUP(R7,Scores!$A$15:$B$18,2)+Scores!$H$6*VLOOKUP(S7,Scores!$A$15:$B$18,2)+Scores!$I$6*VLOOKUP(T7,Scores!$A$15:$B$18,2)+Scores!$J$6*VLOOKUP(U7,Scores!$A$15:$B$18,2)</f>
        <v>39</v>
      </c>
      <c r="T8" s="6">
        <f>Scores!$L$6*VLOOKUP(R7,Scores!$A$15:$B$18,2)+Scores!$M$6*VLOOKUP(S7,Scores!$A$15:$B$18,2)+Scores!$N$6*VLOOKUP(T7,Scores!$A$15:$B$18,2)+Scores!$O$6*VLOOKUP(U7,Scores!$A$15:$B$18,2)</f>
        <v>33</v>
      </c>
      <c r="U8" s="7"/>
      <c r="V8" s="7"/>
      <c r="W8" s="6">
        <f>Scores!$B$7*VLOOKUP(W7,Scores!$A$15:$B$18,2)+Scores!$C$7*VLOOKUP(X7,Scores!$A$15:$B$18,2)+Scores!$D$7*VLOOKUP(Y7,Scores!$A$15:$B$18,2)+Scores!$E$7*VLOOKUP(Z7,Scores!$A$15:$B$18,2)</f>
        <v>62</v>
      </c>
      <c r="X8" s="6">
        <f>Scores!$G$7*VLOOKUP(W7,Scores!$A$15:$B$18,2)+Scores!$H$7*VLOOKUP(X7,Scores!$A$15:$B$18,2)+Scores!$I$7*VLOOKUP(Y7,Scores!$A$15:$B$18,2)+Scores!$J$7*VLOOKUP(Z7,Scores!$A$15:$B$18,2)</f>
        <v>62</v>
      </c>
      <c r="Y8" s="6">
        <f>Scores!$L$7*VLOOKUP(W7,Scores!$A$15:$B$18,2)+Scores!$M$7*VLOOKUP(X7,Scores!$A$15:$B$18,2)+Scores!$N$7*VLOOKUP(Y7,Scores!$A$15:$B$18,2)+Scores!$O$7*VLOOKUP(Z7,Scores!$A$15:$B$18,2)</f>
        <v>50</v>
      </c>
      <c r="Z8" s="7"/>
      <c r="AA8" s="7"/>
      <c r="AB8" s="6">
        <f>Scores!$B$8*VLOOKUP(AB7,Scores!$A$15:$B$18,2)+Scores!$C$8*VLOOKUP(AC7,Scores!$A$15:$B$18,2)+Scores!$D$8*VLOOKUP(AD7,Scores!$A$15:$B$18,2)+Scores!$E$8*VLOOKUP(AE7,Scores!$A$15:$B$18,2)</f>
        <v>60</v>
      </c>
      <c r="AC8" s="6">
        <f>Scores!$G$8*VLOOKUP(AB7,Scores!$A$15:$B$18,2)+Scores!$H$8*VLOOKUP(AC7,Scores!$A$15:$B$18,2)+Scores!$I$8*VLOOKUP(AD7,Scores!$A$15:$B$18,2)+Scores!$J$8*VLOOKUP(AE7,Scores!$A$15:$B$18,2)</f>
        <v>56</v>
      </c>
      <c r="AD8" s="6">
        <f>Scores!$L$8*VLOOKUP(AB7,Scores!$A$15:$B$18,2)+Scores!$M$8*VLOOKUP(AC7,Scores!$A$15:$B$18,2)+Scores!$N$8*VLOOKUP(AD7,Scores!$A$15:$B$18,2)+Scores!$O$8*VLOOKUP(AE7,Scores!$A$15:$B$18,2)</f>
        <v>42</v>
      </c>
      <c r="AE8" s="7"/>
      <c r="AF8" s="7"/>
      <c r="AG8" s="6">
        <f>Scores!$B$9*VLOOKUP(AG7,Scores!$A$15:$B$18,2)+Scores!$C$9*VLOOKUP(AH7,Scores!$A$15:$B$18,2)+Scores!$D$9*VLOOKUP(AI7,Scores!$A$15:$B$18,2)+Scores!$E$9*VLOOKUP(AJ7,Scores!$A$15:$B$18,2)</f>
        <v>0</v>
      </c>
      <c r="AH8" s="6">
        <f>Scores!$G$9*VLOOKUP(AG7,Scores!$A$15:$B$18,2)+Scores!$H$9*VLOOKUP(AH7,Scores!$A$15:$B$18,2)+Scores!$I$9*VLOOKUP(AI7,Scores!$A$15:$B$18,2)+Scores!$J$9*VLOOKUP(AJ7,Scores!$A$15:$B$18,2)</f>
        <v>55</v>
      </c>
      <c r="AI8" s="6">
        <f>Scores!$L$9*VLOOKUP(AG7,Scores!$A$15:$B$18,2)+Scores!$M$9*VLOOKUP(AH7,Scores!$A$15:$B$18,2)+Scores!$N$9*VLOOKUP(AI7,Scores!$A$15:$B$18,2)+Scores!$O$9*VLOOKUP(AJ7,Scores!$A$15:$B$18,2)</f>
        <v>0</v>
      </c>
      <c r="AJ8" s="7"/>
      <c r="AK8" s="7"/>
      <c r="AL8" s="6">
        <f>Scores!$B$10*VLOOKUP(AL7,Scores!$A$15:$B$18,2)+Scores!$C$10*VLOOKUP(AM7,Scores!$A$15:$B$18,2)+Scores!$D$10*VLOOKUP(AN7,Scores!$A$15:$B$18,2)+Scores!$E$10*VLOOKUP(AO7,Scores!$A$15:$B$18,2)</f>
        <v>0</v>
      </c>
      <c r="AM8" s="6">
        <f>Scores!$G$10*VLOOKUP(AL7,Scores!$A$15:$B$18,2)+Scores!$H$10*VLOOKUP(AM7,Scores!$A$15:$B$18,2)+Scores!$I$10*VLOOKUP(AN7,Scores!$A$15:$B$18,2)+Scores!$J$10*VLOOKUP(AO7,Scores!$A$15:$B$18,2)</f>
        <v>0</v>
      </c>
      <c r="AN8" s="6">
        <f>Scores!$L$10*VLOOKUP(AL7,Scores!$A$15:$B$18,2)+Scores!$M$10*VLOOKUP(AM7,Scores!$A$15:$B$18,2)+Scores!$N$10*VLOOKUP(AN7,Scores!$A$15:$B$18,2)+Scores!$O$10*VLOOKUP(AO7,Scores!$A$15:$B$18,2)</f>
        <v>0</v>
      </c>
      <c r="AO8" s="7"/>
    </row>
    <row r="9" spans="1:49" x14ac:dyDescent="0.25">
      <c r="A9" t="s">
        <v>74</v>
      </c>
      <c r="B9" t="s">
        <v>15</v>
      </c>
      <c r="C9">
        <v>1</v>
      </c>
      <c r="D9">
        <v>4</v>
      </c>
      <c r="E9">
        <v>3</v>
      </c>
      <c r="F9">
        <v>2</v>
      </c>
      <c r="H9">
        <v>4</v>
      </c>
      <c r="I9">
        <v>1</v>
      </c>
      <c r="J9">
        <v>3</v>
      </c>
      <c r="K9">
        <v>2</v>
      </c>
      <c r="M9">
        <v>3</v>
      </c>
      <c r="N9">
        <v>1</v>
      </c>
      <c r="O9">
        <v>4</v>
      </c>
      <c r="P9">
        <v>2</v>
      </c>
      <c r="R9">
        <v>3</v>
      </c>
      <c r="S9">
        <v>1</v>
      </c>
      <c r="T9">
        <v>4</v>
      </c>
      <c r="U9">
        <v>2</v>
      </c>
      <c r="W9">
        <v>2</v>
      </c>
      <c r="X9">
        <v>3</v>
      </c>
      <c r="Y9">
        <v>1</v>
      </c>
      <c r="Z9">
        <v>4</v>
      </c>
      <c r="AB9">
        <v>1</v>
      </c>
      <c r="AC9">
        <v>2</v>
      </c>
      <c r="AD9">
        <v>4</v>
      </c>
      <c r="AE9">
        <v>3</v>
      </c>
      <c r="AG9">
        <v>3</v>
      </c>
      <c r="AH9">
        <v>4</v>
      </c>
      <c r="AI9">
        <v>2</v>
      </c>
      <c r="AJ9">
        <v>1</v>
      </c>
      <c r="AL9">
        <v>4</v>
      </c>
      <c r="AM9">
        <v>1</v>
      </c>
      <c r="AN9">
        <v>2</v>
      </c>
      <c r="AO9">
        <v>3</v>
      </c>
      <c r="AQ9" s="9">
        <f>((C10+H10+M10+R10+W10)-Scores!$E$15)/(Scores!$I$15-Scores!$E$15)</f>
        <v>0.80172413793103448</v>
      </c>
      <c r="AR9" s="9">
        <f>((D10+I10+N10+S10+X10)-Scores!$E$16)/(Scores!$I$16-Scores!$E$16)</f>
        <v>0.49655172413793103</v>
      </c>
      <c r="AS9" s="9">
        <f>((E10+J10+O10+T10+Y10)-Scores!$E$17)/(Scores!$I$17-Scores!$E$17)</f>
        <v>0.29310344827586204</v>
      </c>
      <c r="AT9" s="9"/>
      <c r="AU9" s="9">
        <f>((AB10+AG10+AL10)-Scores!$F$15)/(Scores!$J$15-Scores!$F$15)</f>
        <v>1</v>
      </c>
      <c r="AV9" s="9">
        <f>((AC10+AH10+AM10)-Scores!$F$16)/(Scores!$J$16-Scores!$F$16)</f>
        <v>0.96551724137931039</v>
      </c>
      <c r="AW9" s="9">
        <f>((AD10+AI10+AN10)-Scores!$F$17)/(Scores!$J$17-Scores!$F$17)</f>
        <v>0.51724137931034486</v>
      </c>
    </row>
    <row r="10" spans="1:49" s="5" customFormat="1" ht="11.25" x14ac:dyDescent="0.2">
      <c r="C10" s="6">
        <f>Scores!$B$3*VLOOKUP(C9,Scores!$A$15:$B$18,2)+Scores!$C$3*VLOOKUP(D9,Scores!$A$15:$B$18,2)+Scores!$D$3*VLOOKUP(E9,Scores!$A$15:$B$18,2)+Scores!$E$3*VLOOKUP(F9,Scores!$A$15:$B$18,2)</f>
        <v>0</v>
      </c>
      <c r="D10" s="6">
        <f>Scores!$G$3*VLOOKUP(C9,Scores!$A$15:$B$18,2)+Scores!$H$3*VLOOKUP(D9,Scores!$A$15:$B$18,2)+Scores!$I$3*VLOOKUP(E9,Scores!$A$15:$B$18,2)+Scores!$J$3*VLOOKUP(F9,Scores!$A$15:$B$18,2)</f>
        <v>62</v>
      </c>
      <c r="E10" s="6">
        <f>Scores!$L$3*VLOOKUP(C9,Scores!$A$15:$B$18,2)+Scores!$M$3*VLOOKUP(D9,Scores!$A$15:$B$18,2)+Scores!$N$3*VLOOKUP(E9,Scores!$A$15:$B$18,2)+Scores!$O$3*VLOOKUP(F9,Scores!$A$15:$B$18,2)</f>
        <v>0</v>
      </c>
      <c r="F10" s="7"/>
      <c r="G10" s="7"/>
      <c r="H10" s="6">
        <f>Scores!$B$4*VLOOKUP(H9,Scores!$A$15:$B$18,2)+Scores!$C$4*VLOOKUP(I9,Scores!$A$15:$B$18,2)+Scores!$D$4*VLOOKUP(J9,Scores!$A$15:$B$18,2)+Scores!$E$4*VLOOKUP(K9,Scores!$A$15:$B$18,2)</f>
        <v>60</v>
      </c>
      <c r="I10" s="6">
        <f>Scores!$G$4*VLOOKUP(H9,Scores!$A$15:$B$18,2)+Scores!$H$4*VLOOKUP(I9,Scores!$A$15:$B$18,2)+Scores!$I$4*VLOOKUP(J9,Scores!$A$15:$B$18,2)+Scores!$J$4*VLOOKUP(K9,Scores!$A$15:$B$18,2)</f>
        <v>35</v>
      </c>
      <c r="J10" s="6">
        <f>Scores!$L$4*VLOOKUP(H9,Scores!$A$15:$B$18,2)+Scores!$M$4*VLOOKUP(I9,Scores!$A$15:$B$18,2)+Scores!$N$4*VLOOKUP(J9,Scores!$A$15:$B$18,2)+Scores!$O$4*VLOOKUP(K9,Scores!$A$15:$B$18,2)</f>
        <v>0</v>
      </c>
      <c r="K10" s="7"/>
      <c r="L10" s="7"/>
      <c r="M10" s="6">
        <f>Scores!$B$5*VLOOKUP(M9,Scores!$A$15:$B$18,2)+Scores!$C$5*VLOOKUP(N9,Scores!$A$15:$B$18,2)+Scores!$D$5*VLOOKUP(O9,Scores!$A$15:$B$18,2)+Scores!$E$5*VLOOKUP(P9,Scores!$A$15:$B$18,2)</f>
        <v>62</v>
      </c>
      <c r="N10" s="6">
        <f>Scores!$G$5*VLOOKUP(M9,Scores!$A$15:$B$18,2)+Scores!$H$5*VLOOKUP(N9,Scores!$A$15:$B$18,2)+Scores!$I$5*VLOOKUP(O9,Scores!$A$15:$B$18,2)+Scores!$J$5*VLOOKUP(P9,Scores!$A$15:$B$18,2)</f>
        <v>39</v>
      </c>
      <c r="O10" s="6">
        <f>Scores!$L$5*VLOOKUP(M9,Scores!$A$15:$B$18,2)+Scores!$M$5*VLOOKUP(N9,Scores!$A$15:$B$18,2)+Scores!$N$5*VLOOKUP(O9,Scores!$A$15:$B$18,2)+Scores!$O$5*VLOOKUP(P9,Scores!$A$15:$B$18,2)</f>
        <v>0</v>
      </c>
      <c r="P10" s="7"/>
      <c r="Q10" s="7"/>
      <c r="R10" s="6">
        <f>Scores!$B$6*VLOOKUP(R9,Scores!$A$15:$B$18,2)+Scores!$C$6*VLOOKUP(S9,Scores!$A$15:$B$18,2)+Scores!$D$6*VLOOKUP(T9,Scores!$A$15:$B$18,2)+Scores!$E$6*VLOOKUP(U9,Scores!$A$15:$B$18,2)</f>
        <v>41</v>
      </c>
      <c r="S10" s="6">
        <f>Scores!$G$6*VLOOKUP(R9,Scores!$A$15:$B$18,2)+Scores!$H$6*VLOOKUP(S9,Scores!$A$15:$B$18,2)+Scores!$I$6*VLOOKUP(T9,Scores!$A$15:$B$18,2)+Scores!$J$6*VLOOKUP(U9,Scores!$A$15:$B$18,2)</f>
        <v>39</v>
      </c>
      <c r="T10" s="6">
        <f>Scores!$L$6*VLOOKUP(R9,Scores!$A$15:$B$18,2)+Scores!$M$6*VLOOKUP(S9,Scores!$A$15:$B$18,2)+Scores!$N$6*VLOOKUP(T9,Scores!$A$15:$B$18,2)+Scores!$O$6*VLOOKUP(U9,Scores!$A$15:$B$18,2)</f>
        <v>33</v>
      </c>
      <c r="U10" s="7"/>
      <c r="V10" s="7"/>
      <c r="W10" s="6">
        <f>Scores!$B$7*VLOOKUP(W9,Scores!$A$15:$B$18,2)+Scores!$C$7*VLOOKUP(X9,Scores!$A$15:$B$18,2)+Scores!$D$7*VLOOKUP(Y9,Scores!$A$15:$B$18,2)+Scores!$E$7*VLOOKUP(Z9,Scores!$A$15:$B$18,2)</f>
        <v>62</v>
      </c>
      <c r="X10" s="6">
        <f>Scores!$G$7*VLOOKUP(W9,Scores!$A$15:$B$18,2)+Scores!$H$7*VLOOKUP(X9,Scores!$A$15:$B$18,2)+Scores!$I$7*VLOOKUP(Y9,Scores!$A$15:$B$18,2)+Scores!$J$7*VLOOKUP(Z9,Scores!$A$15:$B$18,2)</f>
        <v>62</v>
      </c>
      <c r="Y10" s="6">
        <f>Scores!$L$7*VLOOKUP(W9,Scores!$A$15:$B$18,2)+Scores!$M$7*VLOOKUP(X9,Scores!$A$15:$B$18,2)+Scores!$N$7*VLOOKUP(Y9,Scores!$A$15:$B$18,2)+Scores!$O$7*VLOOKUP(Z9,Scores!$A$15:$B$18,2)</f>
        <v>50</v>
      </c>
      <c r="Z10" s="7"/>
      <c r="AA10" s="7"/>
      <c r="AB10" s="6">
        <f>Scores!$B$8*VLOOKUP(AB9,Scores!$A$15:$B$18,2)+Scores!$C$8*VLOOKUP(AC9,Scores!$A$15:$B$18,2)+Scores!$D$8*VLOOKUP(AD9,Scores!$A$15:$B$18,2)+Scores!$E$8*VLOOKUP(AE9,Scores!$A$15:$B$18,2)</f>
        <v>62</v>
      </c>
      <c r="AC10" s="6">
        <f>Scores!$G$8*VLOOKUP(AB9,Scores!$A$15:$B$18,2)+Scores!$H$8*VLOOKUP(AC9,Scores!$A$15:$B$18,2)+Scores!$I$8*VLOOKUP(AD9,Scores!$A$15:$B$18,2)+Scores!$J$8*VLOOKUP(AE9,Scores!$A$15:$B$18,2)</f>
        <v>60</v>
      </c>
      <c r="AD10" s="6">
        <f>Scores!$L$8*VLOOKUP(AB9,Scores!$A$15:$B$18,2)+Scores!$M$8*VLOOKUP(AC9,Scores!$A$15:$B$18,2)+Scores!$N$8*VLOOKUP(AD9,Scores!$A$15:$B$18,2)+Scores!$O$8*VLOOKUP(AE9,Scores!$A$15:$B$18,2)</f>
        <v>48</v>
      </c>
      <c r="AE10" s="7"/>
      <c r="AF10" s="7"/>
      <c r="AG10" s="6">
        <f>Scores!$B$9*VLOOKUP(AG9,Scores!$A$15:$B$18,2)+Scores!$C$9*VLOOKUP(AH9,Scores!$A$15:$B$18,2)+Scores!$D$9*VLOOKUP(AI9,Scores!$A$15:$B$18,2)+Scores!$E$9*VLOOKUP(AJ9,Scores!$A$15:$B$18,2)</f>
        <v>0</v>
      </c>
      <c r="AH10" s="6">
        <f>Scores!$G$9*VLOOKUP(AG9,Scores!$A$15:$B$18,2)+Scores!$H$9*VLOOKUP(AH9,Scores!$A$15:$B$18,2)+Scores!$I$9*VLOOKUP(AI9,Scores!$A$15:$B$18,2)+Scores!$J$9*VLOOKUP(AJ9,Scores!$A$15:$B$18,2)</f>
        <v>62</v>
      </c>
      <c r="AI10" s="6">
        <f>Scores!$L$9*VLOOKUP(AG9,Scores!$A$15:$B$18,2)+Scores!$M$9*VLOOKUP(AH9,Scores!$A$15:$B$18,2)+Scores!$N$9*VLOOKUP(AI9,Scores!$A$15:$B$18,2)+Scores!$O$9*VLOOKUP(AJ9,Scores!$A$15:$B$18,2)</f>
        <v>0</v>
      </c>
      <c r="AJ10" s="7"/>
      <c r="AK10" s="7"/>
      <c r="AL10" s="6">
        <f>Scores!$B$10*VLOOKUP(AL9,Scores!$A$15:$B$18,2)+Scores!$C$10*VLOOKUP(AM9,Scores!$A$15:$B$18,2)+Scores!$D$10*VLOOKUP(AN9,Scores!$A$15:$B$18,2)+Scores!$E$10*VLOOKUP(AO9,Scores!$A$15:$B$18,2)</f>
        <v>0</v>
      </c>
      <c r="AM10" s="6">
        <f>Scores!$G$10*VLOOKUP(AL9,Scores!$A$15:$B$18,2)+Scores!$H$10*VLOOKUP(AM9,Scores!$A$15:$B$18,2)+Scores!$I$10*VLOOKUP(AN9,Scores!$A$15:$B$18,2)+Scores!$J$10*VLOOKUP(AO9,Scores!$A$15:$B$18,2)</f>
        <v>0</v>
      </c>
      <c r="AN10" s="6">
        <f>Scores!$L$10*VLOOKUP(AL9,Scores!$A$15:$B$18,2)+Scores!$M$10*VLOOKUP(AM9,Scores!$A$15:$B$18,2)+Scores!$N$10*VLOOKUP(AN9,Scores!$A$15:$B$18,2)+Scores!$O$10*VLOOKUP(AO9,Scores!$A$15:$B$18,2)</f>
        <v>0</v>
      </c>
      <c r="AO10" s="7"/>
    </row>
    <row r="11" spans="1:49" x14ac:dyDescent="0.25">
      <c r="A11" t="s">
        <v>75</v>
      </c>
      <c r="B11" t="s">
        <v>37</v>
      </c>
      <c r="C11">
        <v>1</v>
      </c>
      <c r="D11">
        <v>4</v>
      </c>
      <c r="E11">
        <v>3</v>
      </c>
      <c r="F11">
        <v>2</v>
      </c>
      <c r="H11">
        <v>1</v>
      </c>
      <c r="I11">
        <v>4</v>
      </c>
      <c r="J11">
        <v>2</v>
      </c>
      <c r="K11">
        <v>3</v>
      </c>
      <c r="M11">
        <v>1</v>
      </c>
      <c r="N11">
        <v>4</v>
      </c>
      <c r="O11">
        <v>2</v>
      </c>
      <c r="P11">
        <v>3</v>
      </c>
      <c r="R11">
        <v>1</v>
      </c>
      <c r="S11">
        <v>4</v>
      </c>
      <c r="T11">
        <v>2</v>
      </c>
      <c r="U11">
        <v>3</v>
      </c>
      <c r="W11">
        <v>3</v>
      </c>
      <c r="X11">
        <v>1</v>
      </c>
      <c r="Y11">
        <v>4</v>
      </c>
      <c r="Z11">
        <v>2</v>
      </c>
      <c r="AB11">
        <v>3</v>
      </c>
      <c r="AC11">
        <v>1</v>
      </c>
      <c r="AD11">
        <v>4</v>
      </c>
      <c r="AE11">
        <v>2</v>
      </c>
      <c r="AG11">
        <v>2</v>
      </c>
      <c r="AH11">
        <v>4</v>
      </c>
      <c r="AI11">
        <v>3</v>
      </c>
      <c r="AJ11">
        <v>1</v>
      </c>
      <c r="AL11">
        <v>5</v>
      </c>
      <c r="AM11">
        <v>5</v>
      </c>
      <c r="AN11">
        <v>5</v>
      </c>
      <c r="AO11">
        <v>5</v>
      </c>
      <c r="AQ11" s="9">
        <f>((C12+H12+M12+R12+W12)-Scores!$E$15)/(Scores!$I$15-Scores!$E$15)</f>
        <v>0.27586206896551724</v>
      </c>
      <c r="AR11" s="9">
        <f>((D12+I12+N12+S12+X12)-Scores!$E$16)/(Scores!$I$16-Scores!$E$16)</f>
        <v>0.7931034482758621</v>
      </c>
      <c r="AS11" s="9">
        <f>((E12+J12+O12+T12+Y12)-Scores!$E$17)/(Scores!$I$17-Scores!$E$17)</f>
        <v>0.68965517241379315</v>
      </c>
      <c r="AT11" s="9"/>
      <c r="AU11" s="9">
        <f>((AB12+AG12+AL12)-Scores!$F$15)/(Scores!$J$15-Scores!$F$15)</f>
        <v>0.68965517241379315</v>
      </c>
      <c r="AV11" s="9">
        <f>((AC12+AH12+AM12)-Scores!$F$16)/(Scores!$J$16-Scores!$F$16)</f>
        <v>0.72413793103448276</v>
      </c>
      <c r="AW11" s="9">
        <f>((AD12+AI12+AN12)-Scores!$F$17)/(Scores!$J$17-Scores!$F$17)</f>
        <v>0.82758620689655171</v>
      </c>
    </row>
    <row r="12" spans="1:49" s="5" customFormat="1" ht="11.25" x14ac:dyDescent="0.2">
      <c r="C12" s="6">
        <f>Scores!$B$3*VLOOKUP(C11,Scores!$A$15:$B$18,2)+Scores!$C$3*VLOOKUP(D11,Scores!$A$15:$B$18,2)+Scores!$D$3*VLOOKUP(E11,Scores!$A$15:$B$18,2)+Scores!$E$3*VLOOKUP(F11,Scores!$A$15:$B$18,2)</f>
        <v>0</v>
      </c>
      <c r="D12" s="6">
        <f>Scores!$G$3*VLOOKUP(C11,Scores!$A$15:$B$18,2)+Scores!$H$3*VLOOKUP(D11,Scores!$A$15:$B$18,2)+Scores!$I$3*VLOOKUP(E11,Scores!$A$15:$B$18,2)+Scores!$J$3*VLOOKUP(F11,Scores!$A$15:$B$18,2)</f>
        <v>62</v>
      </c>
      <c r="E12" s="6">
        <f>Scores!$L$3*VLOOKUP(C11,Scores!$A$15:$B$18,2)+Scores!$M$3*VLOOKUP(D11,Scores!$A$15:$B$18,2)+Scores!$N$3*VLOOKUP(E11,Scores!$A$15:$B$18,2)+Scores!$O$3*VLOOKUP(F11,Scores!$A$15:$B$18,2)</f>
        <v>0</v>
      </c>
      <c r="F12" s="7"/>
      <c r="G12" s="7"/>
      <c r="H12" s="6">
        <f>Scores!$B$4*VLOOKUP(H11,Scores!$A$15:$B$18,2)+Scores!$C$4*VLOOKUP(I11,Scores!$A$15:$B$18,2)+Scores!$D$4*VLOOKUP(J11,Scores!$A$15:$B$18,2)+Scores!$E$4*VLOOKUP(K11,Scores!$A$15:$B$18,2)</f>
        <v>35</v>
      </c>
      <c r="I12" s="6">
        <f>Scores!$G$4*VLOOKUP(H11,Scores!$A$15:$B$18,2)+Scores!$H$4*VLOOKUP(I11,Scores!$A$15:$B$18,2)+Scores!$I$4*VLOOKUP(J11,Scores!$A$15:$B$18,2)+Scores!$J$4*VLOOKUP(K11,Scores!$A$15:$B$18,2)</f>
        <v>60</v>
      </c>
      <c r="J12" s="6">
        <f>Scores!$L$4*VLOOKUP(H11,Scores!$A$15:$B$18,2)+Scores!$M$4*VLOOKUP(I11,Scores!$A$15:$B$18,2)+Scores!$N$4*VLOOKUP(J11,Scores!$A$15:$B$18,2)+Scores!$O$4*VLOOKUP(K11,Scores!$A$15:$B$18,2)</f>
        <v>0</v>
      </c>
      <c r="K12" s="7"/>
      <c r="L12" s="7"/>
      <c r="M12" s="6">
        <f>Scores!$B$5*VLOOKUP(M11,Scores!$A$15:$B$18,2)+Scores!$C$5*VLOOKUP(N11,Scores!$A$15:$B$18,2)+Scores!$D$5*VLOOKUP(O11,Scores!$A$15:$B$18,2)+Scores!$E$5*VLOOKUP(P11,Scores!$A$15:$B$18,2)</f>
        <v>38</v>
      </c>
      <c r="N12" s="6">
        <f>Scores!$G$5*VLOOKUP(M11,Scores!$A$15:$B$18,2)+Scores!$H$5*VLOOKUP(N11,Scores!$A$15:$B$18,2)+Scores!$I$5*VLOOKUP(O11,Scores!$A$15:$B$18,2)+Scores!$J$5*VLOOKUP(P11,Scores!$A$15:$B$18,2)</f>
        <v>60</v>
      </c>
      <c r="O12" s="6">
        <f>Scores!$L$5*VLOOKUP(M11,Scores!$A$15:$B$18,2)+Scores!$M$5*VLOOKUP(N11,Scores!$A$15:$B$18,2)+Scores!$N$5*VLOOKUP(O11,Scores!$A$15:$B$18,2)+Scores!$O$5*VLOOKUP(P11,Scores!$A$15:$B$18,2)</f>
        <v>0</v>
      </c>
      <c r="P12" s="7"/>
      <c r="Q12" s="7"/>
      <c r="R12" s="6">
        <f>Scores!$B$6*VLOOKUP(R11,Scores!$A$15:$B$18,2)+Scores!$C$6*VLOOKUP(S11,Scores!$A$15:$B$18,2)+Scores!$D$6*VLOOKUP(T11,Scores!$A$15:$B$18,2)+Scores!$E$6*VLOOKUP(U11,Scores!$A$15:$B$18,2)</f>
        <v>53</v>
      </c>
      <c r="S12" s="6">
        <f>Scores!$G$6*VLOOKUP(R11,Scores!$A$15:$B$18,2)+Scores!$H$6*VLOOKUP(S11,Scores!$A$15:$B$18,2)+Scores!$I$6*VLOOKUP(T11,Scores!$A$15:$B$18,2)+Scores!$J$6*VLOOKUP(U11,Scores!$A$15:$B$18,2)</f>
        <v>60</v>
      </c>
      <c r="T12" s="6">
        <f>Scores!$L$6*VLOOKUP(R11,Scores!$A$15:$B$18,2)+Scores!$M$6*VLOOKUP(S11,Scores!$A$15:$B$18,2)+Scores!$N$6*VLOOKUP(T11,Scores!$A$15:$B$18,2)+Scores!$O$6*VLOOKUP(U11,Scores!$A$15:$B$18,2)</f>
        <v>57</v>
      </c>
      <c r="U12" s="7"/>
      <c r="V12" s="7"/>
      <c r="W12" s="6">
        <f>Scores!$B$7*VLOOKUP(W11,Scores!$A$15:$B$18,2)+Scores!$C$7*VLOOKUP(X11,Scores!$A$15:$B$18,2)+Scores!$D$7*VLOOKUP(Y11,Scores!$A$15:$B$18,2)+Scores!$E$7*VLOOKUP(Z11,Scores!$A$15:$B$18,2)</f>
        <v>38</v>
      </c>
      <c r="X12" s="6">
        <f>Scores!$G$7*VLOOKUP(W11,Scores!$A$15:$B$18,2)+Scores!$H$7*VLOOKUP(X11,Scores!$A$15:$B$18,2)+Scores!$I$7*VLOOKUP(Y11,Scores!$A$15:$B$18,2)+Scores!$J$7*VLOOKUP(Z11,Scores!$A$15:$B$18,2)</f>
        <v>38</v>
      </c>
      <c r="Y12" s="6">
        <f>Scores!$L$7*VLOOKUP(W11,Scores!$A$15:$B$18,2)+Scores!$M$7*VLOOKUP(X11,Scores!$A$15:$B$18,2)+Scores!$N$7*VLOOKUP(Y11,Scores!$A$15:$B$18,2)+Scores!$O$7*VLOOKUP(Z11,Scores!$A$15:$B$18,2)</f>
        <v>49</v>
      </c>
      <c r="Z12" s="7"/>
      <c r="AA12" s="7"/>
      <c r="AB12" s="6">
        <f>Scores!$B$8*VLOOKUP(AB11,Scores!$A$15:$B$18,2)+Scores!$C$8*VLOOKUP(AC11,Scores!$A$15:$B$18,2)+Scores!$D$8*VLOOKUP(AD11,Scores!$A$15:$B$18,2)+Scores!$E$8*VLOOKUP(AE11,Scores!$A$15:$B$18,2)</f>
        <v>53</v>
      </c>
      <c r="AC12" s="6">
        <f>Scores!$G$8*VLOOKUP(AB11,Scores!$A$15:$B$18,2)+Scores!$H$8*VLOOKUP(AC11,Scores!$A$15:$B$18,2)+Scores!$I$8*VLOOKUP(AD11,Scores!$A$15:$B$18,2)+Scores!$J$8*VLOOKUP(AE11,Scores!$A$15:$B$18,2)</f>
        <v>48</v>
      </c>
      <c r="AD12" s="6">
        <f>Scores!$L$8*VLOOKUP(AB11,Scores!$A$15:$B$18,2)+Scores!$M$8*VLOOKUP(AC11,Scores!$A$15:$B$18,2)+Scores!$N$8*VLOOKUP(AD11,Scores!$A$15:$B$18,2)+Scores!$O$8*VLOOKUP(AE11,Scores!$A$15:$B$18,2)</f>
        <v>57</v>
      </c>
      <c r="AE12" s="7"/>
      <c r="AF12" s="7"/>
      <c r="AG12" s="6">
        <f>Scores!$B$9*VLOOKUP(AG11,Scores!$A$15:$B$18,2)+Scores!$C$9*VLOOKUP(AH11,Scores!$A$15:$B$18,2)+Scores!$D$9*VLOOKUP(AI11,Scores!$A$15:$B$18,2)+Scores!$E$9*VLOOKUP(AJ11,Scores!$A$15:$B$18,2)</f>
        <v>0</v>
      </c>
      <c r="AH12" s="6">
        <f>Scores!$G$9*VLOOKUP(AG11,Scores!$A$15:$B$18,2)+Scores!$H$9*VLOOKUP(AH11,Scores!$A$15:$B$18,2)+Scores!$I$9*VLOOKUP(AI11,Scores!$A$15:$B$18,2)+Scores!$J$9*VLOOKUP(AJ11,Scores!$A$15:$B$18,2)</f>
        <v>60</v>
      </c>
      <c r="AI12" s="6">
        <f>Scores!$L$9*VLOOKUP(AG11,Scores!$A$15:$B$18,2)+Scores!$M$9*VLOOKUP(AH11,Scores!$A$15:$B$18,2)+Scores!$N$9*VLOOKUP(AI11,Scores!$A$15:$B$18,2)+Scores!$O$9*VLOOKUP(AJ11,Scores!$A$15:$B$18,2)</f>
        <v>0</v>
      </c>
      <c r="AJ12" s="7"/>
      <c r="AK12" s="7"/>
      <c r="AL12" s="6">
        <f>Scores!$B$10*VLOOKUP(AL11,Scores!$A$15:$B$18,2)+Scores!$C$10*VLOOKUP(AM11,Scores!$A$15:$B$18,2)+Scores!$D$10*VLOOKUP(AN11,Scores!$A$15:$B$18,2)+Scores!$E$10*VLOOKUP(AO11,Scores!$A$15:$B$18,2)</f>
        <v>0</v>
      </c>
      <c r="AM12" s="6">
        <f>Scores!$G$10*VLOOKUP(AL11,Scores!$A$15:$B$18,2)+Scores!$H$10*VLOOKUP(AM11,Scores!$A$15:$B$18,2)+Scores!$I$10*VLOOKUP(AN11,Scores!$A$15:$B$18,2)+Scores!$J$10*VLOOKUP(AO11,Scores!$A$15:$B$18,2)</f>
        <v>0</v>
      </c>
      <c r="AN12" s="6">
        <f>Scores!$L$10*VLOOKUP(AL11,Scores!$A$15:$B$18,2)+Scores!$M$10*VLOOKUP(AM11,Scores!$A$15:$B$18,2)+Scores!$N$10*VLOOKUP(AN11,Scores!$A$15:$B$18,2)+Scores!$O$10*VLOOKUP(AO11,Scores!$A$15:$B$18,2)</f>
        <v>0</v>
      </c>
      <c r="AO12" s="7"/>
    </row>
    <row r="13" spans="1:49" x14ac:dyDescent="0.25">
      <c r="A13" t="s">
        <v>76</v>
      </c>
      <c r="B13" t="s">
        <v>16</v>
      </c>
      <c r="C13">
        <v>1</v>
      </c>
      <c r="D13">
        <v>4</v>
      </c>
      <c r="E13">
        <v>3</v>
      </c>
      <c r="F13">
        <v>2</v>
      </c>
      <c r="H13">
        <v>2</v>
      </c>
      <c r="I13">
        <v>4</v>
      </c>
      <c r="J13">
        <v>3</v>
      </c>
      <c r="K13">
        <v>1</v>
      </c>
      <c r="M13">
        <v>2</v>
      </c>
      <c r="N13">
        <v>4</v>
      </c>
      <c r="O13">
        <v>3</v>
      </c>
      <c r="P13">
        <v>1</v>
      </c>
      <c r="R13">
        <v>2</v>
      </c>
      <c r="S13">
        <v>4</v>
      </c>
      <c r="T13">
        <v>3</v>
      </c>
      <c r="U13">
        <v>1</v>
      </c>
      <c r="W13">
        <v>2</v>
      </c>
      <c r="X13">
        <v>3</v>
      </c>
      <c r="Y13">
        <v>1</v>
      </c>
      <c r="Z13">
        <v>4</v>
      </c>
      <c r="AB13">
        <v>1</v>
      </c>
      <c r="AC13">
        <v>4</v>
      </c>
      <c r="AD13">
        <v>3</v>
      </c>
      <c r="AE13">
        <v>2</v>
      </c>
      <c r="AG13">
        <v>3</v>
      </c>
      <c r="AH13">
        <v>4</v>
      </c>
      <c r="AI13">
        <v>2</v>
      </c>
      <c r="AJ13">
        <v>1</v>
      </c>
      <c r="AL13">
        <v>2</v>
      </c>
      <c r="AM13">
        <v>1</v>
      </c>
      <c r="AN13">
        <v>3</v>
      </c>
      <c r="AO13">
        <v>4</v>
      </c>
      <c r="AQ13" s="9">
        <f>((C14+H14+M14+R14+W14)-Scores!$E$15)/(Scores!$I$15-Scores!$E$15)</f>
        <v>0.66379310344827591</v>
      </c>
      <c r="AR13" s="9">
        <f>((D14+I14+N14+S14+X14)-Scores!$E$16)/(Scores!$I$16-Scores!$E$16)</f>
        <v>0.89655172413793105</v>
      </c>
      <c r="AS13" s="9">
        <f>((E14+J14+O14+T14+Y14)-Scores!$E$17)/(Scores!$I$17-Scores!$E$17)</f>
        <v>0.55172413793103448</v>
      </c>
      <c r="AT13" s="9"/>
      <c r="AU13" s="9">
        <f>((AB14+AG14+AL14)-Scores!$F$15)/(Scores!$J$15-Scores!$F$15)</f>
        <v>0.7931034482758621</v>
      </c>
      <c r="AV13" s="9">
        <f>((AC14+AH14+AM14)-Scores!$F$16)/(Scores!$J$16-Scores!$F$16)</f>
        <v>0.96551724137931039</v>
      </c>
      <c r="AW13" s="9">
        <f>((AD14+AI14+AN14)-Scores!$F$17)/(Scores!$J$17-Scores!$F$17)</f>
        <v>0.44827586206896552</v>
      </c>
    </row>
    <row r="14" spans="1:49" s="5" customFormat="1" ht="11.25" x14ac:dyDescent="0.2">
      <c r="C14" s="6">
        <f>Scores!$B$3*VLOOKUP(C13,Scores!$A$15:$B$18,2)+Scores!$C$3*VLOOKUP(D13,Scores!$A$15:$B$18,2)+Scores!$D$3*VLOOKUP(E13,Scores!$A$15:$B$18,2)+Scores!$E$3*VLOOKUP(F13,Scores!$A$15:$B$18,2)</f>
        <v>0</v>
      </c>
      <c r="D14" s="6">
        <f>Scores!$G$3*VLOOKUP(C13,Scores!$A$15:$B$18,2)+Scores!$H$3*VLOOKUP(D13,Scores!$A$15:$B$18,2)+Scores!$I$3*VLOOKUP(E13,Scores!$A$15:$B$18,2)+Scores!$J$3*VLOOKUP(F13,Scores!$A$15:$B$18,2)</f>
        <v>62</v>
      </c>
      <c r="E14" s="6">
        <f>Scores!$L$3*VLOOKUP(C13,Scores!$A$15:$B$18,2)+Scores!$M$3*VLOOKUP(D13,Scores!$A$15:$B$18,2)+Scores!$N$3*VLOOKUP(E13,Scores!$A$15:$B$18,2)+Scores!$O$3*VLOOKUP(F13,Scores!$A$15:$B$18,2)</f>
        <v>0</v>
      </c>
      <c r="F14" s="7"/>
      <c r="G14" s="7"/>
      <c r="H14" s="6">
        <f>Scores!$B$4*VLOOKUP(H13,Scores!$A$15:$B$18,2)+Scores!$C$4*VLOOKUP(I13,Scores!$A$15:$B$18,2)+Scores!$D$4*VLOOKUP(J13,Scores!$A$15:$B$18,2)+Scores!$E$4*VLOOKUP(K13,Scores!$A$15:$B$18,2)</f>
        <v>38</v>
      </c>
      <c r="I14" s="6">
        <f>Scores!$G$4*VLOOKUP(H13,Scores!$A$15:$B$18,2)+Scores!$H$4*VLOOKUP(I13,Scores!$A$15:$B$18,2)+Scores!$I$4*VLOOKUP(J13,Scores!$A$15:$B$18,2)+Scores!$J$4*VLOOKUP(K13,Scores!$A$15:$B$18,2)</f>
        <v>57</v>
      </c>
      <c r="J14" s="6">
        <f>Scores!$L$4*VLOOKUP(H13,Scores!$A$15:$B$18,2)+Scores!$M$4*VLOOKUP(I13,Scores!$A$15:$B$18,2)+Scores!$N$4*VLOOKUP(J13,Scores!$A$15:$B$18,2)+Scores!$O$4*VLOOKUP(K13,Scores!$A$15:$B$18,2)</f>
        <v>0</v>
      </c>
      <c r="K14" s="7"/>
      <c r="L14" s="7"/>
      <c r="M14" s="6">
        <f>Scores!$B$5*VLOOKUP(M13,Scores!$A$15:$B$18,2)+Scores!$C$5*VLOOKUP(N13,Scores!$A$15:$B$18,2)+Scores!$D$5*VLOOKUP(O13,Scores!$A$15:$B$18,2)+Scores!$E$5*VLOOKUP(P13,Scores!$A$15:$B$18,2)</f>
        <v>47</v>
      </c>
      <c r="N14" s="6">
        <f>Scores!$G$5*VLOOKUP(M13,Scores!$A$15:$B$18,2)+Scores!$H$5*VLOOKUP(N13,Scores!$A$15:$B$18,2)+Scores!$I$5*VLOOKUP(O13,Scores!$A$15:$B$18,2)+Scores!$J$5*VLOOKUP(P13,Scores!$A$15:$B$18,2)</f>
        <v>57</v>
      </c>
      <c r="O14" s="6">
        <f>Scores!$L$5*VLOOKUP(M13,Scores!$A$15:$B$18,2)+Scores!$M$5*VLOOKUP(N13,Scores!$A$15:$B$18,2)+Scores!$N$5*VLOOKUP(O13,Scores!$A$15:$B$18,2)+Scores!$O$5*VLOOKUP(P13,Scores!$A$15:$B$18,2)</f>
        <v>0</v>
      </c>
      <c r="P14" s="7"/>
      <c r="Q14" s="7"/>
      <c r="R14" s="6">
        <f>Scores!$B$6*VLOOKUP(R13,Scores!$A$15:$B$18,2)+Scores!$C$6*VLOOKUP(S13,Scores!$A$15:$B$18,2)+Scores!$D$6*VLOOKUP(T13,Scores!$A$15:$B$18,2)+Scores!$E$6*VLOOKUP(U13,Scores!$A$15:$B$18,2)</f>
        <v>62</v>
      </c>
      <c r="S14" s="6">
        <f>Scores!$G$6*VLOOKUP(R13,Scores!$A$15:$B$18,2)+Scores!$H$6*VLOOKUP(S13,Scores!$A$15:$B$18,2)+Scores!$I$6*VLOOKUP(T13,Scores!$A$15:$B$18,2)+Scores!$J$6*VLOOKUP(U13,Scores!$A$15:$B$18,2)</f>
        <v>57</v>
      </c>
      <c r="T14" s="6">
        <f>Scores!$L$6*VLOOKUP(R13,Scores!$A$15:$B$18,2)+Scores!$M$6*VLOOKUP(S13,Scores!$A$15:$B$18,2)+Scores!$N$6*VLOOKUP(T13,Scores!$A$15:$B$18,2)+Scores!$O$6*VLOOKUP(U13,Scores!$A$15:$B$18,2)</f>
        <v>48</v>
      </c>
      <c r="U14" s="7"/>
      <c r="V14" s="7"/>
      <c r="W14" s="6">
        <f>Scores!$B$7*VLOOKUP(W13,Scores!$A$15:$B$18,2)+Scores!$C$7*VLOOKUP(X13,Scores!$A$15:$B$18,2)+Scores!$D$7*VLOOKUP(Y13,Scores!$A$15:$B$18,2)+Scores!$E$7*VLOOKUP(Z13,Scores!$A$15:$B$18,2)</f>
        <v>62</v>
      </c>
      <c r="X14" s="6">
        <f>Scores!$G$7*VLOOKUP(W13,Scores!$A$15:$B$18,2)+Scores!$H$7*VLOOKUP(X13,Scores!$A$15:$B$18,2)+Scores!$I$7*VLOOKUP(Y13,Scores!$A$15:$B$18,2)+Scores!$J$7*VLOOKUP(Z13,Scores!$A$15:$B$18,2)</f>
        <v>62</v>
      </c>
      <c r="Y14" s="6">
        <f>Scores!$L$7*VLOOKUP(W13,Scores!$A$15:$B$18,2)+Scores!$M$7*VLOOKUP(X13,Scores!$A$15:$B$18,2)+Scores!$N$7*VLOOKUP(Y13,Scores!$A$15:$B$18,2)+Scores!$O$7*VLOOKUP(Z13,Scores!$A$15:$B$18,2)</f>
        <v>50</v>
      </c>
      <c r="Z14" s="7"/>
      <c r="AA14" s="7"/>
      <c r="AB14" s="6">
        <f>Scores!$B$8*VLOOKUP(AB13,Scores!$A$15:$B$18,2)+Scores!$C$8*VLOOKUP(AC13,Scores!$A$15:$B$18,2)+Scores!$D$8*VLOOKUP(AD13,Scores!$A$15:$B$18,2)+Scores!$E$8*VLOOKUP(AE13,Scores!$A$15:$B$18,2)</f>
        <v>56</v>
      </c>
      <c r="AC14" s="6">
        <f>Scores!$G$8*VLOOKUP(AB13,Scores!$A$15:$B$18,2)+Scores!$H$8*VLOOKUP(AC13,Scores!$A$15:$B$18,2)+Scores!$I$8*VLOOKUP(AD13,Scores!$A$15:$B$18,2)+Scores!$J$8*VLOOKUP(AE13,Scores!$A$15:$B$18,2)</f>
        <v>60</v>
      </c>
      <c r="AD14" s="6">
        <f>Scores!$L$8*VLOOKUP(AB13,Scores!$A$15:$B$18,2)+Scores!$M$8*VLOOKUP(AC13,Scores!$A$15:$B$18,2)+Scores!$N$8*VLOOKUP(AD13,Scores!$A$15:$B$18,2)+Scores!$O$8*VLOOKUP(AE13,Scores!$A$15:$B$18,2)</f>
        <v>46</v>
      </c>
      <c r="AE14" s="7"/>
      <c r="AF14" s="7"/>
      <c r="AG14" s="6">
        <f>Scores!$B$9*VLOOKUP(AG13,Scores!$A$15:$B$18,2)+Scores!$C$9*VLOOKUP(AH13,Scores!$A$15:$B$18,2)+Scores!$D$9*VLOOKUP(AI13,Scores!$A$15:$B$18,2)+Scores!$E$9*VLOOKUP(AJ13,Scores!$A$15:$B$18,2)</f>
        <v>0</v>
      </c>
      <c r="AH14" s="6">
        <f>Scores!$G$9*VLOOKUP(AG13,Scores!$A$15:$B$18,2)+Scores!$H$9*VLOOKUP(AH13,Scores!$A$15:$B$18,2)+Scores!$I$9*VLOOKUP(AI13,Scores!$A$15:$B$18,2)+Scores!$J$9*VLOOKUP(AJ13,Scores!$A$15:$B$18,2)</f>
        <v>62</v>
      </c>
      <c r="AI14" s="6">
        <f>Scores!$L$9*VLOOKUP(AG13,Scores!$A$15:$B$18,2)+Scores!$M$9*VLOOKUP(AH13,Scores!$A$15:$B$18,2)+Scores!$N$9*VLOOKUP(AI13,Scores!$A$15:$B$18,2)+Scores!$O$9*VLOOKUP(AJ13,Scores!$A$15:$B$18,2)</f>
        <v>0</v>
      </c>
      <c r="AJ14" s="7"/>
      <c r="AK14" s="7"/>
      <c r="AL14" s="6">
        <f>Scores!$B$10*VLOOKUP(AL13,Scores!$A$15:$B$18,2)+Scores!$C$10*VLOOKUP(AM13,Scores!$A$15:$B$18,2)+Scores!$D$10*VLOOKUP(AN13,Scores!$A$15:$B$18,2)+Scores!$E$10*VLOOKUP(AO13,Scores!$A$15:$B$18,2)</f>
        <v>0</v>
      </c>
      <c r="AM14" s="6">
        <f>Scores!$G$10*VLOOKUP(AL13,Scores!$A$15:$B$18,2)+Scores!$H$10*VLOOKUP(AM13,Scores!$A$15:$B$18,2)+Scores!$I$10*VLOOKUP(AN13,Scores!$A$15:$B$18,2)+Scores!$J$10*VLOOKUP(AO13,Scores!$A$15:$B$18,2)</f>
        <v>0</v>
      </c>
      <c r="AN14" s="6">
        <f>Scores!$L$10*VLOOKUP(AL13,Scores!$A$15:$B$18,2)+Scores!$M$10*VLOOKUP(AM13,Scores!$A$15:$B$18,2)+Scores!$N$10*VLOOKUP(AN13,Scores!$A$15:$B$18,2)+Scores!$O$10*VLOOKUP(AO13,Scores!$A$15:$B$18,2)</f>
        <v>0</v>
      </c>
      <c r="AO14" s="7"/>
    </row>
    <row r="15" spans="1:49" x14ac:dyDescent="0.25">
      <c r="A15" t="s">
        <v>77</v>
      </c>
      <c r="B15" t="s">
        <v>43</v>
      </c>
      <c r="C15">
        <v>1</v>
      </c>
      <c r="D15">
        <v>4</v>
      </c>
      <c r="E15">
        <v>3</v>
      </c>
      <c r="F15">
        <v>2</v>
      </c>
      <c r="H15">
        <v>4</v>
      </c>
      <c r="I15">
        <v>2</v>
      </c>
      <c r="J15">
        <v>3</v>
      </c>
      <c r="K15">
        <v>1</v>
      </c>
      <c r="M15">
        <v>3</v>
      </c>
      <c r="N15">
        <v>2</v>
      </c>
      <c r="O15">
        <v>4</v>
      </c>
      <c r="P15">
        <v>1</v>
      </c>
      <c r="R15">
        <v>3</v>
      </c>
      <c r="S15">
        <v>4</v>
      </c>
      <c r="T15">
        <v>2</v>
      </c>
      <c r="U15">
        <v>1</v>
      </c>
      <c r="W15">
        <v>2</v>
      </c>
      <c r="X15">
        <v>3</v>
      </c>
      <c r="Y15">
        <v>1</v>
      </c>
      <c r="Z15">
        <v>4</v>
      </c>
      <c r="AB15">
        <v>2</v>
      </c>
      <c r="AC15">
        <v>1</v>
      </c>
      <c r="AD15">
        <v>4</v>
      </c>
      <c r="AE15">
        <v>3</v>
      </c>
      <c r="AG15">
        <v>2</v>
      </c>
      <c r="AH15">
        <v>4</v>
      </c>
      <c r="AI15">
        <v>3</v>
      </c>
      <c r="AJ15">
        <v>1</v>
      </c>
      <c r="AL15">
        <v>4</v>
      </c>
      <c r="AM15">
        <v>1</v>
      </c>
      <c r="AN15">
        <v>2</v>
      </c>
      <c r="AO15">
        <v>3</v>
      </c>
      <c r="AQ15" s="9">
        <f>((C16+H16+M16+R16+W16)-Scores!$E$15)/(Scores!$I$15-Scores!$E$15)</f>
        <v>0.83620689655172409</v>
      </c>
      <c r="AR15" s="9">
        <f>((D16+I16+N16+S16+X16)-Scores!$E$16)/(Scores!$I$16-Scores!$E$16)</f>
        <v>0.73103448275862071</v>
      </c>
      <c r="AS15" s="9">
        <f>((E16+J16+O16+T16+Y16)-Scores!$E$17)/(Scores!$I$17-Scores!$E$17)</f>
        <v>0.58620689655172409</v>
      </c>
      <c r="AT15" s="9"/>
      <c r="AU15" s="9">
        <f>((AB16+AG16+AL16)-Scores!$F$15)/(Scores!$J$15-Scores!$F$15)</f>
        <v>0.82758620689655171</v>
      </c>
      <c r="AV15" s="9">
        <f>((AC16+AH16+AM16)-Scores!$F$16)/(Scores!$J$16-Scores!$F$16)</f>
        <v>0.75862068965517238</v>
      </c>
      <c r="AW15" s="9">
        <f>((AD16+AI16+AN16)-Scores!$F$17)/(Scores!$J$17-Scores!$F$17)</f>
        <v>0.68965517241379315</v>
      </c>
    </row>
    <row r="16" spans="1:49" s="5" customFormat="1" ht="11.25" x14ac:dyDescent="0.2">
      <c r="C16" s="6">
        <f>Scores!$B$3*VLOOKUP(C15,Scores!$A$15:$B$18,2)+Scores!$C$3*VLOOKUP(D15,Scores!$A$15:$B$18,2)+Scores!$D$3*VLOOKUP(E15,Scores!$A$15:$B$18,2)+Scores!$E$3*VLOOKUP(F15,Scores!$A$15:$B$18,2)</f>
        <v>0</v>
      </c>
      <c r="D16" s="6">
        <f>Scores!$G$3*VLOOKUP(C15,Scores!$A$15:$B$18,2)+Scores!$H$3*VLOOKUP(D15,Scores!$A$15:$B$18,2)+Scores!$I$3*VLOOKUP(E15,Scores!$A$15:$B$18,2)+Scores!$J$3*VLOOKUP(F15,Scores!$A$15:$B$18,2)</f>
        <v>62</v>
      </c>
      <c r="E16" s="6">
        <f>Scores!$L$3*VLOOKUP(C15,Scores!$A$15:$B$18,2)+Scores!$M$3*VLOOKUP(D15,Scores!$A$15:$B$18,2)+Scores!$N$3*VLOOKUP(E15,Scores!$A$15:$B$18,2)+Scores!$O$3*VLOOKUP(F15,Scores!$A$15:$B$18,2)</f>
        <v>0</v>
      </c>
      <c r="F16" s="7"/>
      <c r="G16" s="7"/>
      <c r="H16" s="6">
        <f>Scores!$B$4*VLOOKUP(H15,Scores!$A$15:$B$18,2)+Scores!$C$4*VLOOKUP(I15,Scores!$A$15:$B$18,2)+Scores!$D$4*VLOOKUP(J15,Scores!$A$15:$B$18,2)+Scores!$E$4*VLOOKUP(K15,Scores!$A$15:$B$18,2)</f>
        <v>50</v>
      </c>
      <c r="I16" s="6">
        <f>Scores!$G$4*VLOOKUP(H15,Scores!$A$15:$B$18,2)+Scores!$H$4*VLOOKUP(I15,Scores!$A$15:$B$18,2)+Scores!$I$4*VLOOKUP(J15,Scores!$A$15:$B$18,2)+Scores!$J$4*VLOOKUP(K15,Scores!$A$15:$B$18,2)</f>
        <v>45</v>
      </c>
      <c r="J16" s="6">
        <f>Scores!$L$4*VLOOKUP(H15,Scores!$A$15:$B$18,2)+Scores!$M$4*VLOOKUP(I15,Scores!$A$15:$B$18,2)+Scores!$N$4*VLOOKUP(J15,Scores!$A$15:$B$18,2)+Scores!$O$4*VLOOKUP(K15,Scores!$A$15:$B$18,2)</f>
        <v>0</v>
      </c>
      <c r="K16" s="7"/>
      <c r="L16" s="7"/>
      <c r="M16" s="6">
        <f>Scores!$B$5*VLOOKUP(M15,Scores!$A$15:$B$18,2)+Scores!$C$5*VLOOKUP(N15,Scores!$A$15:$B$18,2)+Scores!$D$5*VLOOKUP(O15,Scores!$A$15:$B$18,2)+Scores!$E$5*VLOOKUP(P15,Scores!$A$15:$B$18,2)</f>
        <v>57</v>
      </c>
      <c r="N16" s="6">
        <f>Scores!$G$5*VLOOKUP(M15,Scores!$A$15:$B$18,2)+Scores!$H$5*VLOOKUP(N15,Scores!$A$15:$B$18,2)+Scores!$I$5*VLOOKUP(O15,Scores!$A$15:$B$18,2)+Scores!$J$5*VLOOKUP(P15,Scores!$A$15:$B$18,2)</f>
        <v>49</v>
      </c>
      <c r="O16" s="6">
        <f>Scores!$L$5*VLOOKUP(M15,Scores!$A$15:$B$18,2)+Scores!$M$5*VLOOKUP(N15,Scores!$A$15:$B$18,2)+Scores!$N$5*VLOOKUP(O15,Scores!$A$15:$B$18,2)+Scores!$O$5*VLOOKUP(P15,Scores!$A$15:$B$18,2)</f>
        <v>0</v>
      </c>
      <c r="P16" s="7"/>
      <c r="Q16" s="7"/>
      <c r="R16" s="6">
        <f>Scores!$B$6*VLOOKUP(R15,Scores!$A$15:$B$18,2)+Scores!$C$6*VLOOKUP(S15,Scores!$A$15:$B$18,2)+Scores!$D$6*VLOOKUP(T15,Scores!$A$15:$B$18,2)+Scores!$E$6*VLOOKUP(U15,Scores!$A$15:$B$18,2)</f>
        <v>60</v>
      </c>
      <c r="S16" s="6">
        <f>Scores!$G$6*VLOOKUP(R15,Scores!$A$15:$B$18,2)+Scores!$H$6*VLOOKUP(S15,Scores!$A$15:$B$18,2)+Scores!$I$6*VLOOKUP(T15,Scores!$A$15:$B$18,2)+Scores!$J$6*VLOOKUP(U15,Scores!$A$15:$B$18,2)</f>
        <v>53</v>
      </c>
      <c r="T16" s="6">
        <f>Scores!$L$6*VLOOKUP(R15,Scores!$A$15:$B$18,2)+Scores!$M$6*VLOOKUP(S15,Scores!$A$15:$B$18,2)+Scores!$N$6*VLOOKUP(T15,Scores!$A$15:$B$18,2)+Scores!$O$6*VLOOKUP(U15,Scores!$A$15:$B$18,2)</f>
        <v>50</v>
      </c>
      <c r="U16" s="7"/>
      <c r="V16" s="7"/>
      <c r="W16" s="6">
        <f>Scores!$B$7*VLOOKUP(W15,Scores!$A$15:$B$18,2)+Scores!$C$7*VLOOKUP(X15,Scores!$A$15:$B$18,2)+Scores!$D$7*VLOOKUP(Y15,Scores!$A$15:$B$18,2)+Scores!$E$7*VLOOKUP(Z15,Scores!$A$15:$B$18,2)</f>
        <v>62</v>
      </c>
      <c r="X16" s="6">
        <f>Scores!$G$7*VLOOKUP(W15,Scores!$A$15:$B$18,2)+Scores!$H$7*VLOOKUP(X15,Scores!$A$15:$B$18,2)+Scores!$I$7*VLOOKUP(Y15,Scores!$A$15:$B$18,2)+Scores!$J$7*VLOOKUP(Z15,Scores!$A$15:$B$18,2)</f>
        <v>62</v>
      </c>
      <c r="Y16" s="6">
        <f>Scores!$L$7*VLOOKUP(W15,Scores!$A$15:$B$18,2)+Scores!$M$7*VLOOKUP(X15,Scores!$A$15:$B$18,2)+Scores!$N$7*VLOOKUP(Y15,Scores!$A$15:$B$18,2)+Scores!$O$7*VLOOKUP(Z15,Scores!$A$15:$B$18,2)</f>
        <v>50</v>
      </c>
      <c r="Z16" s="7"/>
      <c r="AA16" s="7"/>
      <c r="AB16" s="6">
        <f>Scores!$B$8*VLOOKUP(AB15,Scores!$A$15:$B$18,2)+Scores!$C$8*VLOOKUP(AC15,Scores!$A$15:$B$18,2)+Scores!$D$8*VLOOKUP(AD15,Scores!$A$15:$B$18,2)+Scores!$E$8*VLOOKUP(AE15,Scores!$A$15:$B$18,2)</f>
        <v>57</v>
      </c>
      <c r="AC16" s="6">
        <f>Scores!$G$8*VLOOKUP(AB15,Scores!$A$15:$B$18,2)+Scores!$H$8*VLOOKUP(AC15,Scores!$A$15:$B$18,2)+Scores!$I$8*VLOOKUP(AD15,Scores!$A$15:$B$18,2)+Scores!$J$8*VLOOKUP(AE15,Scores!$A$15:$B$18,2)</f>
        <v>50</v>
      </c>
      <c r="AD16" s="6">
        <f>Scores!$L$8*VLOOKUP(AB15,Scores!$A$15:$B$18,2)+Scores!$M$8*VLOOKUP(AC15,Scores!$A$15:$B$18,2)+Scores!$N$8*VLOOKUP(AD15,Scores!$A$15:$B$18,2)+Scores!$O$8*VLOOKUP(AE15,Scores!$A$15:$B$18,2)</f>
        <v>53</v>
      </c>
      <c r="AE16" s="7"/>
      <c r="AF16" s="7"/>
      <c r="AG16" s="6">
        <f>Scores!$B$9*VLOOKUP(AG15,Scores!$A$15:$B$18,2)+Scores!$C$9*VLOOKUP(AH15,Scores!$A$15:$B$18,2)+Scores!$D$9*VLOOKUP(AI15,Scores!$A$15:$B$18,2)+Scores!$E$9*VLOOKUP(AJ15,Scores!$A$15:$B$18,2)</f>
        <v>0</v>
      </c>
      <c r="AH16" s="6">
        <f>Scores!$G$9*VLOOKUP(AG15,Scores!$A$15:$B$18,2)+Scores!$H$9*VLOOKUP(AH15,Scores!$A$15:$B$18,2)+Scores!$I$9*VLOOKUP(AI15,Scores!$A$15:$B$18,2)+Scores!$J$9*VLOOKUP(AJ15,Scores!$A$15:$B$18,2)</f>
        <v>60</v>
      </c>
      <c r="AI16" s="6">
        <f>Scores!$L$9*VLOOKUP(AG15,Scores!$A$15:$B$18,2)+Scores!$M$9*VLOOKUP(AH15,Scores!$A$15:$B$18,2)+Scores!$N$9*VLOOKUP(AI15,Scores!$A$15:$B$18,2)+Scores!$O$9*VLOOKUP(AJ15,Scores!$A$15:$B$18,2)</f>
        <v>0</v>
      </c>
      <c r="AJ16" s="7"/>
      <c r="AK16" s="7"/>
      <c r="AL16" s="6">
        <f>Scores!$B$10*VLOOKUP(AL15,Scores!$A$15:$B$18,2)+Scores!$C$10*VLOOKUP(AM15,Scores!$A$15:$B$18,2)+Scores!$D$10*VLOOKUP(AN15,Scores!$A$15:$B$18,2)+Scores!$E$10*VLOOKUP(AO15,Scores!$A$15:$B$18,2)</f>
        <v>0</v>
      </c>
      <c r="AM16" s="6">
        <f>Scores!$G$10*VLOOKUP(AL15,Scores!$A$15:$B$18,2)+Scores!$H$10*VLOOKUP(AM15,Scores!$A$15:$B$18,2)+Scores!$I$10*VLOOKUP(AN15,Scores!$A$15:$B$18,2)+Scores!$J$10*VLOOKUP(AO15,Scores!$A$15:$B$18,2)</f>
        <v>0</v>
      </c>
      <c r="AN16" s="6">
        <f>Scores!$L$10*VLOOKUP(AL15,Scores!$A$15:$B$18,2)+Scores!$M$10*VLOOKUP(AM15,Scores!$A$15:$B$18,2)+Scores!$N$10*VLOOKUP(AN15,Scores!$A$15:$B$18,2)+Scores!$O$10*VLOOKUP(AO15,Scores!$A$15:$B$18,2)</f>
        <v>0</v>
      </c>
      <c r="AO16" s="7"/>
    </row>
    <row r="17" spans="1:49" x14ac:dyDescent="0.25">
      <c r="A17" t="s">
        <v>79</v>
      </c>
      <c r="B17" t="s">
        <v>43</v>
      </c>
      <c r="C17">
        <v>1</v>
      </c>
      <c r="D17">
        <v>4</v>
      </c>
      <c r="E17">
        <v>3</v>
      </c>
      <c r="F17">
        <v>2</v>
      </c>
      <c r="H17">
        <v>2</v>
      </c>
      <c r="I17">
        <v>3</v>
      </c>
      <c r="J17">
        <v>4</v>
      </c>
      <c r="K17">
        <v>1</v>
      </c>
      <c r="M17">
        <v>3</v>
      </c>
      <c r="N17">
        <v>2</v>
      </c>
      <c r="O17">
        <v>4</v>
      </c>
      <c r="P17">
        <v>1</v>
      </c>
      <c r="R17">
        <v>4</v>
      </c>
      <c r="S17">
        <v>1</v>
      </c>
      <c r="T17">
        <v>3</v>
      </c>
      <c r="U17">
        <v>2</v>
      </c>
      <c r="W17">
        <v>1</v>
      </c>
      <c r="X17">
        <v>3</v>
      </c>
      <c r="Y17">
        <v>2</v>
      </c>
      <c r="Z17">
        <v>4</v>
      </c>
      <c r="AB17">
        <v>1</v>
      </c>
      <c r="AC17">
        <v>4</v>
      </c>
      <c r="AD17">
        <v>2</v>
      </c>
      <c r="AE17">
        <v>3</v>
      </c>
      <c r="AG17">
        <v>3</v>
      </c>
      <c r="AH17">
        <v>4</v>
      </c>
      <c r="AI17">
        <v>2</v>
      </c>
      <c r="AJ17">
        <v>1</v>
      </c>
      <c r="AL17">
        <v>2</v>
      </c>
      <c r="AM17">
        <v>1</v>
      </c>
      <c r="AN17">
        <v>3</v>
      </c>
      <c r="AO17">
        <v>4</v>
      </c>
      <c r="AQ17" s="9">
        <f>((C18+H18+M18+R18+W18)-Scores!$E$15)/(Scores!$I$15-Scores!$E$15)</f>
        <v>0.52586206896551724</v>
      </c>
      <c r="AR17" s="9">
        <f>((D18+I18+N18+S18+X18)-Scores!$E$16)/(Scores!$I$16-Scores!$E$16)</f>
        <v>0.64137931034482754</v>
      </c>
      <c r="AS17" s="9">
        <f>((E18+J18+O18+T18+Y18)-Scores!$E$17)/(Scores!$I$17-Scores!$E$17)</f>
        <v>0.5</v>
      </c>
      <c r="AT17" s="9"/>
      <c r="AU17" s="9">
        <f>((AB18+AG18+AL18)-Scores!$F$15)/(Scores!$J$15-Scores!$F$15)</f>
        <v>0.72413793103448276</v>
      </c>
      <c r="AV17" s="9">
        <f>((AC18+AH18+AM18)-Scores!$F$16)/(Scores!$J$16-Scores!$F$16)</f>
        <v>0.89655172413793105</v>
      </c>
      <c r="AW17" s="9">
        <f>((AD18+AI18+AN18)-Scores!$F$17)/(Scores!$J$17-Scores!$F$17)</f>
        <v>0.2413793103448276</v>
      </c>
    </row>
    <row r="18" spans="1:49" s="5" customFormat="1" ht="11.25" x14ac:dyDescent="0.2">
      <c r="C18" s="6">
        <f>Scores!$B$3*VLOOKUP(C17,Scores!$A$15:$B$18,2)+Scores!$C$3*VLOOKUP(D17,Scores!$A$15:$B$18,2)+Scores!$D$3*VLOOKUP(E17,Scores!$A$15:$B$18,2)+Scores!$E$3*VLOOKUP(F17,Scores!$A$15:$B$18,2)</f>
        <v>0</v>
      </c>
      <c r="D18" s="6">
        <f>Scores!$G$3*VLOOKUP(C17,Scores!$A$15:$B$18,2)+Scores!$H$3*VLOOKUP(D17,Scores!$A$15:$B$18,2)+Scores!$I$3*VLOOKUP(E17,Scores!$A$15:$B$18,2)+Scores!$J$3*VLOOKUP(F17,Scores!$A$15:$B$18,2)</f>
        <v>62</v>
      </c>
      <c r="E18" s="6">
        <f>Scores!$L$3*VLOOKUP(C17,Scores!$A$15:$B$18,2)+Scores!$M$3*VLOOKUP(D17,Scores!$A$15:$B$18,2)+Scores!$N$3*VLOOKUP(E17,Scores!$A$15:$B$18,2)+Scores!$O$3*VLOOKUP(F17,Scores!$A$15:$B$18,2)</f>
        <v>0</v>
      </c>
      <c r="F18" s="7"/>
      <c r="G18" s="7"/>
      <c r="H18" s="6">
        <f>Scores!$B$4*VLOOKUP(H17,Scores!$A$15:$B$18,2)+Scores!$C$4*VLOOKUP(I17,Scores!$A$15:$B$18,2)+Scores!$D$4*VLOOKUP(J17,Scores!$A$15:$B$18,2)+Scores!$E$4*VLOOKUP(K17,Scores!$A$15:$B$18,2)</f>
        <v>40</v>
      </c>
      <c r="I18" s="6">
        <f>Scores!$G$4*VLOOKUP(H17,Scores!$A$15:$B$18,2)+Scores!$H$4*VLOOKUP(I17,Scores!$A$15:$B$18,2)+Scores!$I$4*VLOOKUP(J17,Scores!$A$15:$B$18,2)+Scores!$J$4*VLOOKUP(K17,Scores!$A$15:$B$18,2)</f>
        <v>55</v>
      </c>
      <c r="J18" s="6">
        <f>Scores!$L$4*VLOOKUP(H17,Scores!$A$15:$B$18,2)+Scores!$M$4*VLOOKUP(I17,Scores!$A$15:$B$18,2)+Scores!$N$4*VLOOKUP(J17,Scores!$A$15:$B$18,2)+Scores!$O$4*VLOOKUP(K17,Scores!$A$15:$B$18,2)</f>
        <v>0</v>
      </c>
      <c r="K18" s="7"/>
      <c r="L18" s="7"/>
      <c r="M18" s="6">
        <f>Scores!$B$5*VLOOKUP(M17,Scores!$A$15:$B$18,2)+Scores!$C$5*VLOOKUP(N17,Scores!$A$15:$B$18,2)+Scores!$D$5*VLOOKUP(O17,Scores!$A$15:$B$18,2)+Scores!$E$5*VLOOKUP(P17,Scores!$A$15:$B$18,2)</f>
        <v>57</v>
      </c>
      <c r="N18" s="6">
        <f>Scores!$G$5*VLOOKUP(M17,Scores!$A$15:$B$18,2)+Scores!$H$5*VLOOKUP(N17,Scores!$A$15:$B$18,2)+Scores!$I$5*VLOOKUP(O17,Scores!$A$15:$B$18,2)+Scores!$J$5*VLOOKUP(P17,Scores!$A$15:$B$18,2)</f>
        <v>49</v>
      </c>
      <c r="O18" s="6">
        <f>Scores!$L$5*VLOOKUP(M17,Scores!$A$15:$B$18,2)+Scores!$M$5*VLOOKUP(N17,Scores!$A$15:$B$18,2)+Scores!$N$5*VLOOKUP(O17,Scores!$A$15:$B$18,2)+Scores!$O$5*VLOOKUP(P17,Scores!$A$15:$B$18,2)</f>
        <v>0</v>
      </c>
      <c r="P18" s="7"/>
      <c r="Q18" s="7"/>
      <c r="R18" s="6">
        <f>Scores!$B$6*VLOOKUP(R17,Scores!$A$15:$B$18,2)+Scores!$C$6*VLOOKUP(S17,Scores!$A$15:$B$18,2)+Scores!$D$6*VLOOKUP(T17,Scores!$A$15:$B$18,2)+Scores!$E$6*VLOOKUP(U17,Scores!$A$15:$B$18,2)</f>
        <v>39</v>
      </c>
      <c r="S18" s="6">
        <f>Scores!$G$6*VLOOKUP(R17,Scores!$A$15:$B$18,2)+Scores!$H$6*VLOOKUP(S17,Scores!$A$15:$B$18,2)+Scores!$I$6*VLOOKUP(T17,Scores!$A$15:$B$18,2)+Scores!$J$6*VLOOKUP(U17,Scores!$A$15:$B$18,2)</f>
        <v>35</v>
      </c>
      <c r="T18" s="6">
        <f>Scores!$L$6*VLOOKUP(R17,Scores!$A$15:$B$18,2)+Scores!$M$6*VLOOKUP(S17,Scores!$A$15:$B$18,2)+Scores!$N$6*VLOOKUP(T17,Scores!$A$15:$B$18,2)+Scores!$O$6*VLOOKUP(U17,Scores!$A$15:$B$18,2)</f>
        <v>35</v>
      </c>
      <c r="U18" s="7"/>
      <c r="V18" s="7"/>
      <c r="W18" s="6">
        <f>Scores!$B$7*VLOOKUP(W17,Scores!$A$15:$B$18,2)+Scores!$C$7*VLOOKUP(X17,Scores!$A$15:$B$18,2)+Scores!$D$7*VLOOKUP(Y17,Scores!$A$15:$B$18,2)+Scores!$E$7*VLOOKUP(Z17,Scores!$A$15:$B$18,2)</f>
        <v>57</v>
      </c>
      <c r="X18" s="6">
        <f>Scores!$G$7*VLOOKUP(W17,Scores!$A$15:$B$18,2)+Scores!$H$7*VLOOKUP(X17,Scores!$A$15:$B$18,2)+Scores!$I$7*VLOOKUP(Y17,Scores!$A$15:$B$18,2)+Scores!$J$7*VLOOKUP(Z17,Scores!$A$15:$B$18,2)</f>
        <v>57</v>
      </c>
      <c r="Y18" s="6">
        <f>Scores!$L$7*VLOOKUP(W17,Scores!$A$15:$B$18,2)+Scores!$M$7*VLOOKUP(X17,Scores!$A$15:$B$18,2)+Scores!$N$7*VLOOKUP(Y17,Scores!$A$15:$B$18,2)+Scores!$O$7*VLOOKUP(Z17,Scores!$A$15:$B$18,2)</f>
        <v>60</v>
      </c>
      <c r="Z18" s="7"/>
      <c r="AA18" s="7"/>
      <c r="AB18" s="6">
        <f>Scores!$B$8*VLOOKUP(AB17,Scores!$A$15:$B$18,2)+Scores!$C$8*VLOOKUP(AC17,Scores!$A$15:$B$18,2)+Scores!$D$8*VLOOKUP(AD17,Scores!$A$15:$B$18,2)+Scores!$E$8*VLOOKUP(AE17,Scores!$A$15:$B$18,2)</f>
        <v>54</v>
      </c>
      <c r="AC18" s="6">
        <f>Scores!$G$8*VLOOKUP(AB17,Scores!$A$15:$B$18,2)+Scores!$H$8*VLOOKUP(AC17,Scores!$A$15:$B$18,2)+Scores!$I$8*VLOOKUP(AD17,Scores!$A$15:$B$18,2)+Scores!$J$8*VLOOKUP(AE17,Scores!$A$15:$B$18,2)</f>
        <v>56</v>
      </c>
      <c r="AD18" s="6">
        <f>Scores!$L$8*VLOOKUP(AB17,Scores!$A$15:$B$18,2)+Scores!$M$8*VLOOKUP(AC17,Scores!$A$15:$B$18,2)+Scores!$N$8*VLOOKUP(AD17,Scores!$A$15:$B$18,2)+Scores!$O$8*VLOOKUP(AE17,Scores!$A$15:$B$18,2)</f>
        <v>40</v>
      </c>
      <c r="AE18" s="7"/>
      <c r="AF18" s="7"/>
      <c r="AG18" s="6">
        <f>Scores!$B$9*VLOOKUP(AG17,Scores!$A$15:$B$18,2)+Scores!$C$9*VLOOKUP(AH17,Scores!$A$15:$B$18,2)+Scores!$D$9*VLOOKUP(AI17,Scores!$A$15:$B$18,2)+Scores!$E$9*VLOOKUP(AJ17,Scores!$A$15:$B$18,2)</f>
        <v>0</v>
      </c>
      <c r="AH18" s="6">
        <f>Scores!$G$9*VLOOKUP(AG17,Scores!$A$15:$B$18,2)+Scores!$H$9*VLOOKUP(AH17,Scores!$A$15:$B$18,2)+Scores!$I$9*VLOOKUP(AI17,Scores!$A$15:$B$18,2)+Scores!$J$9*VLOOKUP(AJ17,Scores!$A$15:$B$18,2)</f>
        <v>62</v>
      </c>
      <c r="AI18" s="6">
        <f>Scores!$L$9*VLOOKUP(AG17,Scores!$A$15:$B$18,2)+Scores!$M$9*VLOOKUP(AH17,Scores!$A$15:$B$18,2)+Scores!$N$9*VLOOKUP(AI17,Scores!$A$15:$B$18,2)+Scores!$O$9*VLOOKUP(AJ17,Scores!$A$15:$B$18,2)</f>
        <v>0</v>
      </c>
      <c r="AJ18" s="7"/>
      <c r="AK18" s="7"/>
      <c r="AL18" s="6">
        <f>Scores!$B$10*VLOOKUP(AL17,Scores!$A$15:$B$18,2)+Scores!$C$10*VLOOKUP(AM17,Scores!$A$15:$B$18,2)+Scores!$D$10*VLOOKUP(AN17,Scores!$A$15:$B$18,2)+Scores!$E$10*VLOOKUP(AO17,Scores!$A$15:$B$18,2)</f>
        <v>0</v>
      </c>
      <c r="AM18" s="6">
        <f>Scores!$G$10*VLOOKUP(AL17,Scores!$A$15:$B$18,2)+Scores!$H$10*VLOOKUP(AM17,Scores!$A$15:$B$18,2)+Scores!$I$10*VLOOKUP(AN17,Scores!$A$15:$B$18,2)+Scores!$J$10*VLOOKUP(AO17,Scores!$A$15:$B$18,2)</f>
        <v>0</v>
      </c>
      <c r="AN18" s="6">
        <f>Scores!$L$10*VLOOKUP(AL17,Scores!$A$15:$B$18,2)+Scores!$M$10*VLOOKUP(AM17,Scores!$A$15:$B$18,2)+Scores!$N$10*VLOOKUP(AN17,Scores!$A$15:$B$18,2)+Scores!$O$10*VLOOKUP(AO17,Scores!$A$15:$B$18,2)</f>
        <v>0</v>
      </c>
      <c r="AO18" s="7"/>
    </row>
    <row r="19" spans="1:49" x14ac:dyDescent="0.25">
      <c r="A19" t="s">
        <v>80</v>
      </c>
      <c r="B19" t="s">
        <v>43</v>
      </c>
      <c r="C19">
        <v>4</v>
      </c>
      <c r="D19">
        <v>3</v>
      </c>
      <c r="E19">
        <v>2</v>
      </c>
      <c r="F19">
        <v>1</v>
      </c>
      <c r="H19">
        <v>4</v>
      </c>
      <c r="I19">
        <v>2</v>
      </c>
      <c r="J19">
        <v>3</v>
      </c>
      <c r="K19">
        <v>1</v>
      </c>
      <c r="M19">
        <v>4</v>
      </c>
      <c r="N19">
        <v>2</v>
      </c>
      <c r="O19">
        <v>3</v>
      </c>
      <c r="P19">
        <v>1</v>
      </c>
      <c r="R19">
        <v>4</v>
      </c>
      <c r="S19">
        <v>2</v>
      </c>
      <c r="T19">
        <v>3</v>
      </c>
      <c r="U19">
        <v>1</v>
      </c>
      <c r="W19">
        <v>2</v>
      </c>
      <c r="X19">
        <v>3</v>
      </c>
      <c r="Y19">
        <v>1</v>
      </c>
      <c r="Z19">
        <v>4</v>
      </c>
      <c r="AB19">
        <v>1</v>
      </c>
      <c r="AC19">
        <v>3</v>
      </c>
      <c r="AD19">
        <v>4</v>
      </c>
      <c r="AE19">
        <v>2</v>
      </c>
      <c r="AG19">
        <v>1</v>
      </c>
      <c r="AH19">
        <v>3</v>
      </c>
      <c r="AI19">
        <v>2</v>
      </c>
      <c r="AJ19">
        <v>4</v>
      </c>
      <c r="AL19">
        <v>4</v>
      </c>
      <c r="AM19">
        <v>1</v>
      </c>
      <c r="AN19">
        <v>2</v>
      </c>
      <c r="AO19">
        <v>3</v>
      </c>
      <c r="AQ19" s="9">
        <f>((C20+H20+M20+R20+W20)-Scores!$E$15)/(Scores!$I$15-Scores!$E$15)</f>
        <v>0.76724137931034486</v>
      </c>
      <c r="AR19" s="9">
        <f>((D20+I20+N20+S20+X20)-Scores!$E$16)/(Scores!$I$16-Scores!$E$16)</f>
        <v>0.54482758620689653</v>
      </c>
      <c r="AS19" s="9">
        <f>((E20+J20+O20+T20+Y20)-Scores!$E$17)/(Scores!$I$17-Scores!$E$17)</f>
        <v>0.41379310344827586</v>
      </c>
      <c r="AT19" s="9"/>
      <c r="AU19" s="9">
        <f>((AB20+AG20+AL20)-Scores!$F$15)/(Scores!$J$15-Scores!$F$15)</f>
        <v>0.93103448275862066</v>
      </c>
      <c r="AV19" s="9">
        <f>((AC20+AH20+AM20)-Scores!$F$16)/(Scores!$J$16-Scores!$F$16)</f>
        <v>0.65517241379310343</v>
      </c>
      <c r="AW19" s="9">
        <f>((AD20+AI20+AN20)-Scores!$F$17)/(Scores!$J$17-Scores!$F$17)</f>
        <v>0.58620689655172409</v>
      </c>
    </row>
    <row r="20" spans="1:49" s="5" customFormat="1" ht="11.25" x14ac:dyDescent="0.2">
      <c r="C20" s="6">
        <f>Scores!$B$3*VLOOKUP(C19,Scores!$A$15:$B$18,2)+Scores!$C$3*VLOOKUP(D19,Scores!$A$15:$B$18,2)+Scores!$D$3*VLOOKUP(E19,Scores!$A$15:$B$18,2)+Scores!$E$3*VLOOKUP(F19,Scores!$A$15:$B$18,2)</f>
        <v>0</v>
      </c>
      <c r="D20" s="6">
        <f>Scores!$G$3*VLOOKUP(C19,Scores!$A$15:$B$18,2)+Scores!$H$3*VLOOKUP(D19,Scores!$A$15:$B$18,2)+Scores!$I$3*VLOOKUP(E19,Scores!$A$15:$B$18,2)+Scores!$J$3*VLOOKUP(F19,Scores!$A$15:$B$18,2)</f>
        <v>47</v>
      </c>
      <c r="E20" s="6">
        <f>Scores!$L$3*VLOOKUP(C19,Scores!$A$15:$B$18,2)+Scores!$M$3*VLOOKUP(D19,Scores!$A$15:$B$18,2)+Scores!$N$3*VLOOKUP(E19,Scores!$A$15:$B$18,2)+Scores!$O$3*VLOOKUP(F19,Scores!$A$15:$B$18,2)</f>
        <v>0</v>
      </c>
      <c r="F20" s="7"/>
      <c r="G20" s="7"/>
      <c r="H20" s="6">
        <f>Scores!$B$4*VLOOKUP(H19,Scores!$A$15:$B$18,2)+Scores!$C$4*VLOOKUP(I19,Scores!$A$15:$B$18,2)+Scores!$D$4*VLOOKUP(J19,Scores!$A$15:$B$18,2)+Scores!$E$4*VLOOKUP(K19,Scores!$A$15:$B$18,2)</f>
        <v>50</v>
      </c>
      <c r="I20" s="6">
        <f>Scores!$G$4*VLOOKUP(H19,Scores!$A$15:$B$18,2)+Scores!$H$4*VLOOKUP(I19,Scores!$A$15:$B$18,2)+Scores!$I$4*VLOOKUP(J19,Scores!$A$15:$B$18,2)+Scores!$J$4*VLOOKUP(K19,Scores!$A$15:$B$18,2)</f>
        <v>45</v>
      </c>
      <c r="J20" s="6">
        <f>Scores!$L$4*VLOOKUP(H19,Scores!$A$15:$B$18,2)+Scores!$M$4*VLOOKUP(I19,Scores!$A$15:$B$18,2)+Scores!$N$4*VLOOKUP(J19,Scores!$A$15:$B$18,2)+Scores!$O$4*VLOOKUP(K19,Scores!$A$15:$B$18,2)</f>
        <v>0</v>
      </c>
      <c r="K20" s="7"/>
      <c r="L20" s="7"/>
      <c r="M20" s="6">
        <f>Scores!$B$5*VLOOKUP(M19,Scores!$A$15:$B$18,2)+Scores!$C$5*VLOOKUP(N19,Scores!$A$15:$B$18,2)+Scores!$D$5*VLOOKUP(O19,Scores!$A$15:$B$18,2)+Scores!$E$5*VLOOKUP(P19,Scores!$A$15:$B$18,2)</f>
        <v>55</v>
      </c>
      <c r="N20" s="6">
        <f>Scores!$G$5*VLOOKUP(M19,Scores!$A$15:$B$18,2)+Scores!$H$5*VLOOKUP(N19,Scores!$A$15:$B$18,2)+Scores!$I$5*VLOOKUP(O19,Scores!$A$15:$B$18,2)+Scores!$J$5*VLOOKUP(P19,Scores!$A$15:$B$18,2)</f>
        <v>45</v>
      </c>
      <c r="O20" s="6">
        <f>Scores!$L$5*VLOOKUP(M19,Scores!$A$15:$B$18,2)+Scores!$M$5*VLOOKUP(N19,Scores!$A$15:$B$18,2)+Scores!$N$5*VLOOKUP(O19,Scores!$A$15:$B$18,2)+Scores!$O$5*VLOOKUP(P19,Scores!$A$15:$B$18,2)</f>
        <v>0</v>
      </c>
      <c r="P20" s="7"/>
      <c r="Q20" s="7"/>
      <c r="R20" s="6">
        <f>Scores!$B$6*VLOOKUP(R19,Scores!$A$15:$B$18,2)+Scores!$C$6*VLOOKUP(S19,Scores!$A$15:$B$18,2)+Scores!$D$6*VLOOKUP(T19,Scores!$A$15:$B$18,2)+Scores!$E$6*VLOOKUP(U19,Scores!$A$15:$B$18,2)</f>
        <v>54</v>
      </c>
      <c r="S20" s="6">
        <f>Scores!$G$6*VLOOKUP(R19,Scores!$A$15:$B$18,2)+Scores!$H$6*VLOOKUP(S19,Scores!$A$15:$B$18,2)+Scores!$I$6*VLOOKUP(T19,Scores!$A$15:$B$18,2)+Scores!$J$6*VLOOKUP(U19,Scores!$A$15:$B$18,2)</f>
        <v>45</v>
      </c>
      <c r="T20" s="6">
        <f>Scores!$L$6*VLOOKUP(R19,Scores!$A$15:$B$18,2)+Scores!$M$6*VLOOKUP(S19,Scores!$A$15:$B$18,2)+Scores!$N$6*VLOOKUP(T19,Scores!$A$15:$B$18,2)+Scores!$O$6*VLOOKUP(U19,Scores!$A$15:$B$18,2)</f>
        <v>40</v>
      </c>
      <c r="U20" s="7"/>
      <c r="V20" s="7"/>
      <c r="W20" s="6">
        <f>Scores!$B$7*VLOOKUP(W19,Scores!$A$15:$B$18,2)+Scores!$C$7*VLOOKUP(X19,Scores!$A$15:$B$18,2)+Scores!$D$7*VLOOKUP(Y19,Scores!$A$15:$B$18,2)+Scores!$E$7*VLOOKUP(Z19,Scores!$A$15:$B$18,2)</f>
        <v>62</v>
      </c>
      <c r="X20" s="6">
        <f>Scores!$G$7*VLOOKUP(W19,Scores!$A$15:$B$18,2)+Scores!$H$7*VLOOKUP(X19,Scores!$A$15:$B$18,2)+Scores!$I$7*VLOOKUP(Y19,Scores!$A$15:$B$18,2)+Scores!$J$7*VLOOKUP(Z19,Scores!$A$15:$B$18,2)</f>
        <v>62</v>
      </c>
      <c r="Y20" s="6">
        <f>Scores!$L$7*VLOOKUP(W19,Scores!$A$15:$B$18,2)+Scores!$M$7*VLOOKUP(X19,Scores!$A$15:$B$18,2)+Scores!$N$7*VLOOKUP(Y19,Scores!$A$15:$B$18,2)+Scores!$O$7*VLOOKUP(Z19,Scores!$A$15:$B$18,2)</f>
        <v>50</v>
      </c>
      <c r="Z20" s="7"/>
      <c r="AA20" s="7"/>
      <c r="AB20" s="6">
        <f>Scores!$B$8*VLOOKUP(AB19,Scores!$A$15:$B$18,2)+Scores!$C$8*VLOOKUP(AC19,Scores!$A$15:$B$18,2)+Scores!$D$8*VLOOKUP(AD19,Scores!$A$15:$B$18,2)+Scores!$E$8*VLOOKUP(AE19,Scores!$A$15:$B$18,2)</f>
        <v>60</v>
      </c>
      <c r="AC20" s="6">
        <f>Scores!$G$8*VLOOKUP(AB19,Scores!$A$15:$B$18,2)+Scores!$H$8*VLOOKUP(AC19,Scores!$A$15:$B$18,2)+Scores!$I$8*VLOOKUP(AD19,Scores!$A$15:$B$18,2)+Scores!$J$8*VLOOKUP(AE19,Scores!$A$15:$B$18,2)</f>
        <v>62</v>
      </c>
      <c r="AD20" s="6">
        <f>Scores!$L$8*VLOOKUP(AB19,Scores!$A$15:$B$18,2)+Scores!$M$8*VLOOKUP(AC19,Scores!$A$15:$B$18,2)+Scores!$N$8*VLOOKUP(AD19,Scores!$A$15:$B$18,2)+Scores!$O$8*VLOOKUP(AE19,Scores!$A$15:$B$18,2)</f>
        <v>50</v>
      </c>
      <c r="AE20" s="7"/>
      <c r="AF20" s="7"/>
      <c r="AG20" s="6">
        <f>Scores!$B$9*VLOOKUP(AG19,Scores!$A$15:$B$18,2)+Scores!$C$9*VLOOKUP(AH19,Scores!$A$15:$B$18,2)+Scores!$D$9*VLOOKUP(AI19,Scores!$A$15:$B$18,2)+Scores!$E$9*VLOOKUP(AJ19,Scores!$A$15:$B$18,2)</f>
        <v>0</v>
      </c>
      <c r="AH20" s="6">
        <f>Scores!$G$9*VLOOKUP(AG19,Scores!$A$15:$B$18,2)+Scores!$H$9*VLOOKUP(AH19,Scores!$A$15:$B$18,2)+Scores!$I$9*VLOOKUP(AI19,Scores!$A$15:$B$18,2)+Scores!$J$9*VLOOKUP(AJ19,Scores!$A$15:$B$18,2)</f>
        <v>42</v>
      </c>
      <c r="AI20" s="6">
        <f>Scores!$L$9*VLOOKUP(AG19,Scores!$A$15:$B$18,2)+Scores!$M$9*VLOOKUP(AH19,Scores!$A$15:$B$18,2)+Scores!$N$9*VLOOKUP(AI19,Scores!$A$15:$B$18,2)+Scores!$O$9*VLOOKUP(AJ19,Scores!$A$15:$B$18,2)</f>
        <v>0</v>
      </c>
      <c r="AJ20" s="7"/>
      <c r="AK20" s="7"/>
      <c r="AL20" s="6">
        <f>Scores!$B$10*VLOOKUP(AL19,Scores!$A$15:$B$18,2)+Scores!$C$10*VLOOKUP(AM19,Scores!$A$15:$B$18,2)+Scores!$D$10*VLOOKUP(AN19,Scores!$A$15:$B$18,2)+Scores!$E$10*VLOOKUP(AO19,Scores!$A$15:$B$18,2)</f>
        <v>0</v>
      </c>
      <c r="AM20" s="6">
        <f>Scores!$G$10*VLOOKUP(AL19,Scores!$A$15:$B$18,2)+Scores!$H$10*VLOOKUP(AM19,Scores!$A$15:$B$18,2)+Scores!$I$10*VLOOKUP(AN19,Scores!$A$15:$B$18,2)+Scores!$J$10*VLOOKUP(AO19,Scores!$A$15:$B$18,2)</f>
        <v>0</v>
      </c>
      <c r="AN20" s="6">
        <f>Scores!$L$10*VLOOKUP(AL19,Scores!$A$15:$B$18,2)+Scores!$M$10*VLOOKUP(AM19,Scores!$A$15:$B$18,2)+Scores!$N$10*VLOOKUP(AN19,Scores!$A$15:$B$18,2)+Scores!$O$10*VLOOKUP(AO19,Scores!$A$15:$B$18,2)</f>
        <v>0</v>
      </c>
      <c r="AO20" s="7"/>
    </row>
    <row r="22" spans="1:49" x14ac:dyDescent="0.25">
      <c r="A22" s="8" t="s">
        <v>97</v>
      </c>
      <c r="C22">
        <f>BordaCOunt((C3:F3,C5:F5,C7:F7,C9:F9,C11:F11,C13:F13,C15:F15,C17:F17,C19:F19),1)</f>
        <v>1</v>
      </c>
      <c r="D22">
        <f>BordaCOunt((C3:F3,C5:F5,C7:F7,C9:F9,C11:F11,C13:F13,C15:F15,C17:F17,C19:F19),2)</f>
        <v>4</v>
      </c>
      <c r="E22">
        <f>BordaCOunt((C3:F3,C5:F5,C7:F7,C9:F9,C11:F11,C13:F13,C15:F15,C17:F17,C19:F19),3)</f>
        <v>3</v>
      </c>
      <c r="F22">
        <f>BordaCOunt((C3:F3,C5:F5,C7:F7,C9:F9,C11:F11,C13:F13,C15:F15,C17:F17,C19:F19),4)</f>
        <v>2</v>
      </c>
      <c r="H22">
        <f>BordaCOunt((H3:K3,H5:K5,H7:K7,H9:K9,H11:K11,H13:K13,H15:K15,H17:K17,H19:K19),1)</f>
        <v>4</v>
      </c>
      <c r="I22">
        <f>BordaCOunt((H3:K3,H5:K5,H7:K7,H9:K9,H11:K11,H13:K13,H15:K15,H17:K17,H19:K19),2)</f>
        <v>1</v>
      </c>
      <c r="J22">
        <f>BordaCOunt((H3:K3,H5:K5,H7:K7,H9:K9,H11:K11,H13:K13,H15:K15,H17:K17,H19:K19),3)</f>
        <v>2</v>
      </c>
      <c r="K22">
        <f>BordaCOunt((H3:K3,H5:K5,H7:K7,H9:K9,H11:K11,H13:K13,H15:K15,H17:K17,H19:K19),4)</f>
        <v>3</v>
      </c>
      <c r="M22">
        <f>BordaCOunt((M3:P3,M5:P5,M7:P7,M9:P9,M11:P11,M13:P13,M15:P15,M17:P17,M19:P19),1)</f>
        <v>3</v>
      </c>
      <c r="N22">
        <f>BordaCOunt((M3:P3,M5:P5,M7:P7,M9:P9,M11:P11,M13:P13,M15:P15,M17:P17,M19:P19),2)</f>
        <v>4</v>
      </c>
      <c r="O22">
        <f>BordaCOunt((M3:P3,M5:P5,M7:P7,M9:P9,M11:P11,M13:P13,M15:P15,M17:P17,M19:P19),3)</f>
        <v>2</v>
      </c>
      <c r="P22">
        <f>BordaCOunt((M3:P3,M5:P5,M7:P7,M9:P9,M11:P11,M13:P13,M15:P15,M17:P17,M19:P19),4)</f>
        <v>1</v>
      </c>
      <c r="R22">
        <f>BordaCOunt((R3:U3,R5:U5,R7:U7,R9:U9,R11:U11,R13:U13,R15:U15,R17:U17,R19:U19),1)</f>
        <v>4</v>
      </c>
      <c r="S22">
        <f>BordaCOunt((R3:U3,R5:U5,R7:U7,R9:U9,R11:U11,R13:U13,R15:U15,R17:U17,R19:U19),2)</f>
        <v>3</v>
      </c>
      <c r="T22">
        <f>BordaCOunt((R3:U3,R5:U5,R7:U7,R9:U9,R11:U11,R13:U13,R15:U15,R17:U17,R19:U19),3)</f>
        <v>2</v>
      </c>
      <c r="U22">
        <f>BordaCOunt((R3:U3,R5:U5,R7:U7,R9:U9,R11:U11,R13:U13,R15:U15,R17:U17,R19:U19),4)</f>
        <v>1</v>
      </c>
      <c r="W22">
        <f>BordaCOunt((W3:Z3,W5:Z5,W7:Z7,W9:Z9,W11:Z11,W13:Z13,W15:Z15,W17:Z17,W19:Z19),1)</f>
        <v>2</v>
      </c>
      <c r="X22">
        <f>BordaCOunt((W3:Z3,W5:Z5,W7:Z7,W9:Z9,W11:Z11,W13:Z13,W15:Z15,W17:Z17,W19:Z19),2)</f>
        <v>3</v>
      </c>
      <c r="Y22">
        <f>BordaCOunt((W3:Z3,W5:Z5,W7:Z7,W9:Z9,W11:Z11,W13:Z13,W15:Z15,W17:Z17,W19:Z19),3)</f>
        <v>1</v>
      </c>
      <c r="Z22">
        <f>BordaCOunt((W3:Z3,W5:Z5,W7:Z7,W9:Z9,W11:Z11,W13:Z13,W15:Z15,W17:Z17,W19:Z19),4)</f>
        <v>4</v>
      </c>
      <c r="AB22">
        <f>BordaCOunt((AB3:AE3,AB5:AE5,AB7:AE7,AB9:AE9,AB11:AE11,AB13:AE13,AB15:AE15,AB17:AE17,AB19:AE19),1)</f>
        <v>1</v>
      </c>
      <c r="AC22">
        <f>BordaCOunt((AB3:AE3,AB5:AE5,AB7:AE7,AB9:AE9,AB11:AE11,AB13:AE13,AB15:AE15,AB17:AE17,AB19:AE19),2)</f>
        <v>3</v>
      </c>
      <c r="AD22">
        <f>BordaCOunt((AB3:AE3,AB5:AE5,AB7:AE7,AB9:AE9,AB11:AE11,AB13:AE13,AB15:AE15,AB17:AE17,AB19:AE19),3)</f>
        <v>2</v>
      </c>
      <c r="AE22">
        <f>BordaCOunt((AB3:AE3,AB5:AE5,AB7:AE7,AB9:AE9,AB11:AE11,AB13:AE13,AB15:AE15,AB17:AE17,AB19:AE19),4)</f>
        <v>4</v>
      </c>
      <c r="AG22">
        <f>BordaCOunt((AG3:AJ3,AG5:AJ5,AG7:AJ7,AG9:AJ9,AG11:AJ11,AG13:AJ13,AG15:AJ15,AG17:AJ17,AG19:AJ19),1)</f>
        <v>3</v>
      </c>
      <c r="AH22">
        <f>BordaCOunt((AG3:AJ3,AG5:AJ5,AG7:AJ7,AG9:AJ9,AG11:AJ11,AG13:AJ13,AG15:AJ15,AG17:AJ17,AG19:AJ19),2)</f>
        <v>4</v>
      </c>
      <c r="AI22">
        <f>BordaCOunt((AG3:AJ3,AG5:AJ5,AG7:AJ7,AG9:AJ9,AG11:AJ11,AG13:AJ13,AG15:AJ15,AG17:AJ17,AG19:AJ19),3)</f>
        <v>2</v>
      </c>
      <c r="AJ22">
        <f>BordaCOunt((AG3:AJ3,AG5:AJ5,AG7:AJ7,AG9:AJ9,AG11:AJ11,AG13:AJ13,AG15:AJ15,AG17:AJ17,AG19:AJ19),4)</f>
        <v>1</v>
      </c>
      <c r="AL22">
        <f>BordaCOunt((AL3:AO3,AL5:AO5,AL7:AO7,AL9:AO9,AL11:AO11,AL13:AO13,AL15:AO15,AL17:AO17,AL19:AO19),1)</f>
        <v>1</v>
      </c>
      <c r="AM22">
        <f>BordaCOunt((AL3:AO3,AL5:AO5,AL7:AO7,AL9:AO9,AL11:AO11,AL13:AO13,AL15:AO15,AL17:AO17,AL19:AO19),2)</f>
        <v>4</v>
      </c>
      <c r="AN22">
        <f>BordaCOunt((AL3:AO3,AL5:AO5,AL7:AO7,AL9:AO9,AL11:AO11,AL13:AO13,AL15:AO15,AL17:AO17,AL19:AO19),3)</f>
        <v>2</v>
      </c>
      <c r="AO22">
        <f>BordaCOunt((AL3:AO3,AL5:AO5,AL7:AO7,AL9:AO9,AL11:AO11,AL13:AO13,AL15:AO15,AL17:AO17,AL19:AO19),4)</f>
        <v>3</v>
      </c>
      <c r="AP22" s="1"/>
      <c r="AQ22" s="9">
        <f>((C23+H23+M23+R23+W23)-Scores!$E$15)/(Scores!$I$15-Scores!$E$15)</f>
        <v>0.80172413793103448</v>
      </c>
      <c r="AR22" s="9">
        <f>((D23+I23+N23+S23+X23)-Scores!$E$16)/(Scores!$I$16-Scores!$E$16)</f>
        <v>0.6344827586206897</v>
      </c>
      <c r="AS22" s="9">
        <f>((E23+J23+O23+T23+Y23)-Scores!$E$17)/(Scores!$I$17-Scores!$E$17)</f>
        <v>0.51724137931034486</v>
      </c>
      <c r="AU22" s="9">
        <f>((AB23+AG23+AL23)-Scores!$F$15)/(Scores!$J$15-Scores!$F$15)</f>
        <v>0.7931034482758621</v>
      </c>
      <c r="AV22" s="9">
        <f>((AC23+AH23+AM23)-Scores!$F$16)/(Scores!$J$16-Scores!$F$16)</f>
        <v>0.86206896551724133</v>
      </c>
      <c r="AW22" s="9">
        <f>((AD23+AI23+AN23)-Scores!$F$17)/(Scores!$J$17-Scores!$F$17)</f>
        <v>0.17241379310344829</v>
      </c>
    </row>
    <row r="23" spans="1:49" x14ac:dyDescent="0.25">
      <c r="C23" s="6">
        <f>Scores!$B$3*VLOOKUP(C22,Scores!$A$15:$B$18,2)+Scores!$C$3*VLOOKUP(D22,Scores!$A$15:$B$18,2)+Scores!$D$3*VLOOKUP(E22,Scores!$A$15:$B$18,2)+Scores!$E$3*VLOOKUP(F22,Scores!$A$15:$B$18,2)</f>
        <v>0</v>
      </c>
      <c r="D23" s="6">
        <f>Scores!$G$3*VLOOKUP(C22,Scores!$A$15:$B$18,2)+Scores!$H$3*VLOOKUP(D22,Scores!$A$15:$B$18,2)+Scores!$I$3*VLOOKUP(E22,Scores!$A$15:$B$18,2)+Scores!$J$3*VLOOKUP(F22,Scores!$A$15:$B$18,2)</f>
        <v>62</v>
      </c>
      <c r="E23" s="6">
        <f>Scores!$L$3*VLOOKUP(C22,Scores!$A$15:$B$18,2)+Scores!$M$3*VLOOKUP(D22,Scores!$A$15:$B$18,2)+Scores!$N$3*VLOOKUP(E22,Scores!$A$15:$B$18,2)+Scores!$O$3*VLOOKUP(F22,Scores!$A$15:$B$18,2)</f>
        <v>0</v>
      </c>
      <c r="F23" s="7"/>
      <c r="H23" s="6">
        <f>Scores!$B$4*VLOOKUP(H22,Scores!$A$15:$B$18,2)+Scores!$C$4*VLOOKUP(I22,Scores!$A$15:$B$18,2)+Scores!$D$4*VLOOKUP(J22,Scores!$A$15:$B$18,2)+Scores!$E$4*VLOOKUP(K22,Scores!$A$15:$B$18,2)</f>
        <v>62</v>
      </c>
      <c r="I23" s="6">
        <f>Scores!$G$4*VLOOKUP(H22,Scores!$A$15:$B$18,2)+Scores!$H$4*VLOOKUP(I22,Scores!$A$15:$B$18,2)+Scores!$I$4*VLOOKUP(J22,Scores!$A$15:$B$18,2)+Scores!$J$4*VLOOKUP(K22,Scores!$A$15:$B$18,2)</f>
        <v>33</v>
      </c>
      <c r="J23" s="6">
        <f>Scores!$L$4*VLOOKUP(H22,Scores!$A$15:$B$18,2)+Scores!$M$4*VLOOKUP(I22,Scores!$A$15:$B$18,2)+Scores!$N$4*VLOOKUP(J22,Scores!$A$15:$B$18,2)+Scores!$O$4*VLOOKUP(K22,Scores!$A$15:$B$18,2)</f>
        <v>0</v>
      </c>
      <c r="K23" s="7"/>
      <c r="L23" s="7"/>
      <c r="M23" s="6">
        <f>Scores!$B$5*VLOOKUP(M22,Scores!$A$15:$B$18,2)+Scores!$C$5*VLOOKUP(N22,Scores!$A$15:$B$18,2)+Scores!$D$5*VLOOKUP(O22,Scores!$A$15:$B$18,2)+Scores!$E$5*VLOOKUP(P22,Scores!$A$15:$B$18,2)</f>
        <v>45</v>
      </c>
      <c r="N23" s="6">
        <f>Scores!$G$5*VLOOKUP(M22,Scores!$A$15:$B$18,2)+Scores!$H$5*VLOOKUP(N22,Scores!$A$15:$B$18,2)+Scores!$I$5*VLOOKUP(O22,Scores!$A$15:$B$18,2)+Scores!$J$5*VLOOKUP(P22,Scores!$A$15:$B$18,2)</f>
        <v>53</v>
      </c>
      <c r="O23" s="6">
        <f>Scores!$L$5*VLOOKUP(M22,Scores!$A$15:$B$18,2)+Scores!$M$5*VLOOKUP(N22,Scores!$A$15:$B$18,2)+Scores!$N$5*VLOOKUP(O22,Scores!$A$15:$B$18,2)+Scores!$O$5*VLOOKUP(P22,Scores!$A$15:$B$18,2)</f>
        <v>0</v>
      </c>
      <c r="P23" s="7"/>
      <c r="Q23" s="7"/>
      <c r="R23" s="6">
        <f>Scores!$B$6*VLOOKUP(R22,Scores!$A$15:$B$18,2)+Scores!$C$6*VLOOKUP(S22,Scores!$A$15:$B$18,2)+Scores!$D$6*VLOOKUP(T22,Scores!$A$15:$B$18,2)+Scores!$E$6*VLOOKUP(U22,Scores!$A$15:$B$18,2)</f>
        <v>56</v>
      </c>
      <c r="S23" s="6">
        <f>Scores!$G$6*VLOOKUP(R22,Scores!$A$15:$B$18,2)+Scores!$H$6*VLOOKUP(S22,Scores!$A$15:$B$18,2)+Scores!$I$6*VLOOKUP(T22,Scores!$A$15:$B$18,2)+Scores!$J$6*VLOOKUP(U22,Scores!$A$15:$B$18,2)</f>
        <v>47</v>
      </c>
      <c r="T23" s="6">
        <f>Scores!$L$6*VLOOKUP(R22,Scores!$A$15:$B$18,2)+Scores!$M$6*VLOOKUP(S22,Scores!$A$15:$B$18,2)+Scores!$N$6*VLOOKUP(T22,Scores!$A$15:$B$18,2)+Scores!$O$6*VLOOKUP(U22,Scores!$A$15:$B$18,2)</f>
        <v>46</v>
      </c>
      <c r="U23" s="7"/>
      <c r="V23" s="7"/>
      <c r="W23" s="6">
        <f>Scores!$B$7*VLOOKUP(W22,Scores!$A$15:$B$18,2)+Scores!$C$7*VLOOKUP(X22,Scores!$A$15:$B$18,2)+Scores!$D$7*VLOOKUP(Y22,Scores!$A$15:$B$18,2)+Scores!$E$7*VLOOKUP(Z22,Scores!$A$15:$B$18,2)</f>
        <v>62</v>
      </c>
      <c r="X23" s="6">
        <f>Scores!$G$7*VLOOKUP(W22,Scores!$A$15:$B$18,2)+Scores!$H$7*VLOOKUP(X22,Scores!$A$15:$B$18,2)+Scores!$I$7*VLOOKUP(Y22,Scores!$A$15:$B$18,2)+Scores!$J$7*VLOOKUP(Z22,Scores!$A$15:$B$18,2)</f>
        <v>62</v>
      </c>
      <c r="Y23" s="6">
        <f>Scores!$L$7*VLOOKUP(W22,Scores!$A$15:$B$18,2)+Scores!$M$7*VLOOKUP(X22,Scores!$A$15:$B$18,2)+Scores!$N$7*VLOOKUP(Y22,Scores!$A$15:$B$18,2)+Scores!$O$7*VLOOKUP(Z22,Scores!$A$15:$B$18,2)</f>
        <v>50</v>
      </c>
      <c r="Z23" s="7"/>
      <c r="AA23" s="7"/>
      <c r="AB23" s="6">
        <f>Scores!$B$8*VLOOKUP(AB22,Scores!$A$15:$B$18,2)+Scores!$C$8*VLOOKUP(AC22,Scores!$A$15:$B$18,2)+Scores!$D$8*VLOOKUP(AD22,Scores!$A$15:$B$18,2)+Scores!$E$8*VLOOKUP(AE22,Scores!$A$15:$B$18,2)</f>
        <v>56</v>
      </c>
      <c r="AC23" s="6">
        <f>Scores!$G$8*VLOOKUP(AB22,Scores!$A$15:$B$18,2)+Scores!$H$8*VLOOKUP(AC22,Scores!$A$15:$B$18,2)+Scores!$I$8*VLOOKUP(AD22,Scores!$A$15:$B$18,2)+Scores!$J$8*VLOOKUP(AE22,Scores!$A$15:$B$18,2)</f>
        <v>54</v>
      </c>
      <c r="AD23" s="6">
        <f>Scores!$L$8*VLOOKUP(AB22,Scores!$A$15:$B$18,2)+Scores!$M$8*VLOOKUP(AC22,Scores!$A$15:$B$18,2)+Scores!$N$8*VLOOKUP(AD22,Scores!$A$15:$B$18,2)+Scores!$O$8*VLOOKUP(AE22,Scores!$A$15:$B$18,2)</f>
        <v>38</v>
      </c>
      <c r="AE23" s="7"/>
      <c r="AF23" s="7"/>
      <c r="AG23" s="6">
        <f>Scores!$B$9*VLOOKUP(AG22,Scores!$A$15:$B$18,2)+Scores!$C$9*VLOOKUP(AH22,Scores!$A$15:$B$18,2)+Scores!$D$9*VLOOKUP(AI22,Scores!$A$15:$B$18,2)+Scores!$E$9*VLOOKUP(AJ22,Scores!$A$15:$B$18,2)</f>
        <v>0</v>
      </c>
      <c r="AH23" s="6">
        <f>Scores!$G$9*VLOOKUP(AG22,Scores!$A$15:$B$18,2)+Scores!$H$9*VLOOKUP(AH22,Scores!$A$15:$B$18,2)+Scores!$I$9*VLOOKUP(AI22,Scores!$A$15:$B$18,2)+Scores!$J$9*VLOOKUP(AJ22,Scores!$A$15:$B$18,2)</f>
        <v>62</v>
      </c>
      <c r="AI23" s="6">
        <f>Scores!$L$9*VLOOKUP(AG22,Scores!$A$15:$B$18,2)+Scores!$M$9*VLOOKUP(AH22,Scores!$A$15:$B$18,2)+Scores!$N$9*VLOOKUP(AI22,Scores!$A$15:$B$18,2)+Scores!$O$9*VLOOKUP(AJ22,Scores!$A$15:$B$18,2)</f>
        <v>0</v>
      </c>
      <c r="AJ23" s="7"/>
      <c r="AK23" s="7"/>
      <c r="AL23" s="6">
        <f>Scores!$B$10*VLOOKUP(AL22,Scores!$A$15:$B$18,2)+Scores!$C$10*VLOOKUP(AM22,Scores!$A$15:$B$18,2)+Scores!$D$10*VLOOKUP(AN22,Scores!$A$15:$B$18,2)+Scores!$E$10*VLOOKUP(AO22,Scores!$A$15:$B$18,2)</f>
        <v>0</v>
      </c>
      <c r="AM23" s="6">
        <f>Scores!$G$10*VLOOKUP(AL22,Scores!$A$15:$B$18,2)+Scores!$H$10*VLOOKUP(AM22,Scores!$A$15:$B$18,2)+Scores!$I$10*VLOOKUP(AN22,Scores!$A$15:$B$18,2)+Scores!$J$10*VLOOKUP(AO22,Scores!$A$15:$B$18,2)</f>
        <v>0</v>
      </c>
      <c r="AN23" s="6">
        <f>Scores!$L$10*VLOOKUP(AL22,Scores!$A$15:$B$18,2)+Scores!$M$10*VLOOKUP(AM22,Scores!$A$15:$B$18,2)+Scores!$N$10*VLOOKUP(AN22,Scores!$A$15:$B$18,2)+Scores!$O$10*VLOOKUP(AO22,Scores!$A$15:$B$18,2)</f>
        <v>0</v>
      </c>
      <c r="AO23" s="7"/>
    </row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23"/>
  <sheetViews>
    <sheetView workbookViewId="0">
      <selection activeCell="AQ3" sqref="AQ3:AW19"/>
    </sheetView>
  </sheetViews>
  <sheetFormatPr defaultRowHeight="15" x14ac:dyDescent="0.25"/>
  <cols>
    <col min="1" max="1" width="21.28515625" customWidth="1"/>
    <col min="3" max="6" width="2.7109375" customWidth="1"/>
    <col min="7" max="7" width="1.7109375" customWidth="1"/>
    <col min="8" max="11" width="2.7109375" customWidth="1"/>
    <col min="12" max="12" width="1.7109375" customWidth="1"/>
    <col min="13" max="16" width="2.7109375" customWidth="1"/>
    <col min="17" max="17" width="1.7109375" customWidth="1"/>
    <col min="18" max="21" width="2.7109375" customWidth="1"/>
    <col min="22" max="22" width="1.7109375" customWidth="1"/>
    <col min="23" max="26" width="2.7109375" customWidth="1"/>
    <col min="27" max="27" width="1.7109375" customWidth="1"/>
    <col min="28" max="31" width="2.7109375" customWidth="1"/>
    <col min="32" max="32" width="1.7109375" customWidth="1"/>
    <col min="33" max="36" width="2.7109375" customWidth="1"/>
    <col min="37" max="37" width="1.7109375" customWidth="1"/>
    <col min="38" max="41" width="2.7109375" customWidth="1"/>
    <col min="43" max="45" width="6.7109375" customWidth="1"/>
    <col min="46" max="46" width="4.28515625" customWidth="1"/>
  </cols>
  <sheetData>
    <row r="1" spans="1:49" x14ac:dyDescent="0.25">
      <c r="A1" s="1"/>
      <c r="C1" s="1" t="s">
        <v>0</v>
      </c>
      <c r="D1" s="1"/>
      <c r="E1" s="1"/>
      <c r="F1" s="1"/>
      <c r="G1" s="1"/>
      <c r="AQ1" s="1" t="s">
        <v>69</v>
      </c>
      <c r="AU1" s="1" t="s">
        <v>73</v>
      </c>
    </row>
    <row r="2" spans="1:49" x14ac:dyDescent="0.25">
      <c r="A2" s="1" t="s">
        <v>2</v>
      </c>
      <c r="B2" s="1" t="s">
        <v>3</v>
      </c>
      <c r="C2" s="10">
        <v>1</v>
      </c>
      <c r="D2" s="10"/>
      <c r="E2" s="10"/>
      <c r="F2" s="10"/>
      <c r="G2" s="3"/>
      <c r="H2" s="10">
        <v>2</v>
      </c>
      <c r="I2" s="10"/>
      <c r="J2" s="10"/>
      <c r="K2" s="10"/>
      <c r="L2" s="3"/>
      <c r="M2" s="10">
        <v>3</v>
      </c>
      <c r="N2" s="10"/>
      <c r="O2" s="10"/>
      <c r="P2" s="10"/>
      <c r="Q2" s="3"/>
      <c r="R2" s="10">
        <v>4</v>
      </c>
      <c r="S2" s="10"/>
      <c r="T2" s="10"/>
      <c r="U2" s="10"/>
      <c r="V2" s="3"/>
      <c r="W2" s="10">
        <v>5</v>
      </c>
      <c r="X2" s="10"/>
      <c r="Y2" s="10"/>
      <c r="Z2" s="10"/>
      <c r="AA2" s="3"/>
      <c r="AB2" s="10">
        <v>6</v>
      </c>
      <c r="AC2" s="10"/>
      <c r="AD2" s="10"/>
      <c r="AE2" s="10"/>
      <c r="AF2" s="3"/>
      <c r="AG2" s="10">
        <v>7</v>
      </c>
      <c r="AH2" s="10"/>
      <c r="AI2" s="10"/>
      <c r="AJ2" s="10"/>
      <c r="AK2" s="3"/>
      <c r="AL2" s="10">
        <v>8</v>
      </c>
      <c r="AM2" s="10"/>
      <c r="AN2" s="10"/>
      <c r="AO2" s="10"/>
      <c r="AQ2" s="1" t="s">
        <v>10</v>
      </c>
      <c r="AR2" s="1" t="s">
        <v>11</v>
      </c>
      <c r="AS2" s="1" t="s">
        <v>21</v>
      </c>
      <c r="AT2" s="1"/>
      <c r="AU2" s="1" t="s">
        <v>10</v>
      </c>
      <c r="AV2" s="1" t="s">
        <v>11</v>
      </c>
      <c r="AW2" s="1" t="s">
        <v>21</v>
      </c>
    </row>
    <row r="3" spans="1:49" x14ac:dyDescent="0.25">
      <c r="A3" t="s">
        <v>35</v>
      </c>
      <c r="B3" t="s">
        <v>16</v>
      </c>
      <c r="C3">
        <v>1</v>
      </c>
      <c r="D3">
        <v>4</v>
      </c>
      <c r="E3">
        <v>3</v>
      </c>
      <c r="F3">
        <v>2</v>
      </c>
      <c r="H3">
        <v>2</v>
      </c>
      <c r="I3">
        <v>3</v>
      </c>
      <c r="J3">
        <v>4</v>
      </c>
      <c r="K3">
        <v>1</v>
      </c>
      <c r="M3">
        <v>3</v>
      </c>
      <c r="N3">
        <v>2</v>
      </c>
      <c r="O3">
        <v>4</v>
      </c>
      <c r="P3">
        <v>1</v>
      </c>
      <c r="R3">
        <v>2</v>
      </c>
      <c r="S3">
        <v>4</v>
      </c>
      <c r="T3">
        <v>3</v>
      </c>
      <c r="U3">
        <v>1</v>
      </c>
      <c r="W3">
        <v>2</v>
      </c>
      <c r="X3">
        <v>3</v>
      </c>
      <c r="Y3">
        <v>1</v>
      </c>
      <c r="Z3">
        <v>4</v>
      </c>
      <c r="AB3">
        <v>1</v>
      </c>
      <c r="AC3">
        <v>3</v>
      </c>
      <c r="AD3">
        <v>4</v>
      </c>
      <c r="AE3">
        <v>2</v>
      </c>
      <c r="AG3">
        <v>2</v>
      </c>
      <c r="AH3">
        <v>1</v>
      </c>
      <c r="AI3">
        <v>4</v>
      </c>
      <c r="AJ3">
        <v>3</v>
      </c>
      <c r="AL3">
        <v>2</v>
      </c>
      <c r="AM3">
        <v>1</v>
      </c>
      <c r="AN3">
        <v>4</v>
      </c>
      <c r="AO3">
        <v>3</v>
      </c>
      <c r="AQ3" s="9">
        <f>((C4+H4+M4+R4+W4)-Scores!$E$15)/(Scores!$I$15-Scores!$E$15)</f>
        <v>0.76724137931034486</v>
      </c>
      <c r="AR3" s="9">
        <f>((D4+I4+N4+S4+X4)-Scores!$E$16)/(Scores!$I$16-Scores!$E$16)</f>
        <v>0.82758620689655171</v>
      </c>
      <c r="AS3" s="9">
        <f>((E4+J4+O4+T4+Y4)-Scores!$E$17)/(Scores!$I$17-Scores!$E$17)</f>
        <v>0.55172413793103448</v>
      </c>
      <c r="AT3" s="9"/>
      <c r="AU3" s="9">
        <f>((AB4+AG4+AL4)-Scores!$F$15)/(Scores!$J$15-Scores!$F$15)</f>
        <v>0.93103448275862066</v>
      </c>
      <c r="AV3" s="9">
        <f>((AC4+AH4+AM4)-Scores!$F$16)/(Scores!$J$16-Scores!$F$16)</f>
        <v>0.53448275862068961</v>
      </c>
      <c r="AW3" s="9">
        <f>((AD4+AI4+AN4)-Scores!$F$17)/(Scores!$J$17-Scores!$F$17)</f>
        <v>0.58620689655172409</v>
      </c>
    </row>
    <row r="4" spans="1:49" s="5" customFormat="1" ht="11.25" x14ac:dyDescent="0.2">
      <c r="C4" s="6">
        <f>Scores!$B$3*VLOOKUP(C3,Scores!$A$15:$B$18,2)+Scores!$C$3*VLOOKUP(D3,Scores!$A$15:$B$18,2)+Scores!$D$3*VLOOKUP(E3,Scores!$A$15:$B$18,2)+Scores!$E$3*VLOOKUP(F3,Scores!$A$15:$B$18,2)</f>
        <v>0</v>
      </c>
      <c r="D4" s="6">
        <f>Scores!$G$3*VLOOKUP(C3,Scores!$A$15:$B$18,2)+Scores!$H$3*VLOOKUP(D3,Scores!$A$15:$B$18,2)+Scores!$I$3*VLOOKUP(E3,Scores!$A$15:$B$18,2)+Scores!$J$3*VLOOKUP(F3,Scores!$A$15:$B$18,2)</f>
        <v>62</v>
      </c>
      <c r="E4" s="6">
        <f>Scores!$L$3*VLOOKUP(C3,Scores!$A$15:$B$18,2)+Scores!$M$3*VLOOKUP(D3,Scores!$A$15:$B$18,2)+Scores!$N$3*VLOOKUP(E3,Scores!$A$15:$B$18,2)+Scores!$O$3*VLOOKUP(F3,Scores!$A$15:$B$18,2)</f>
        <v>0</v>
      </c>
      <c r="F4" s="7"/>
      <c r="G4" s="7"/>
      <c r="H4" s="6">
        <f>Scores!$B$4*VLOOKUP(H3,Scores!$A$15:$B$18,2)+Scores!$C$4*VLOOKUP(I3,Scores!$A$15:$B$18,2)+Scores!$D$4*VLOOKUP(J3,Scores!$A$15:$B$18,2)+Scores!$E$4*VLOOKUP(K3,Scores!$A$15:$B$18,2)</f>
        <v>40</v>
      </c>
      <c r="I4" s="6">
        <f>Scores!$G$4*VLOOKUP(H3,Scores!$A$15:$B$18,2)+Scores!$H$4*VLOOKUP(I3,Scores!$A$15:$B$18,2)+Scores!$I$4*VLOOKUP(J3,Scores!$A$15:$B$18,2)+Scores!$J$4*VLOOKUP(K3,Scores!$A$15:$B$18,2)</f>
        <v>55</v>
      </c>
      <c r="J4" s="6">
        <f>Scores!$L$4*VLOOKUP(H3,Scores!$A$15:$B$18,2)+Scores!$M$4*VLOOKUP(I3,Scores!$A$15:$B$18,2)+Scores!$N$4*VLOOKUP(J3,Scores!$A$15:$B$18,2)+Scores!$O$4*VLOOKUP(K3,Scores!$A$15:$B$18,2)</f>
        <v>0</v>
      </c>
      <c r="K4" s="7"/>
      <c r="L4" s="7"/>
      <c r="M4" s="6">
        <f>Scores!$B$5*VLOOKUP(M3,Scores!$A$15:$B$18,2)+Scores!$C$5*VLOOKUP(N3,Scores!$A$15:$B$18,2)+Scores!$D$5*VLOOKUP(O3,Scores!$A$15:$B$18,2)+Scores!$E$5*VLOOKUP(P3,Scores!$A$15:$B$18,2)</f>
        <v>57</v>
      </c>
      <c r="N4" s="6">
        <f>Scores!$G$5*VLOOKUP(M3,Scores!$A$15:$B$18,2)+Scores!$H$5*VLOOKUP(N3,Scores!$A$15:$B$18,2)+Scores!$I$5*VLOOKUP(O3,Scores!$A$15:$B$18,2)+Scores!$J$5*VLOOKUP(P3,Scores!$A$15:$B$18,2)</f>
        <v>49</v>
      </c>
      <c r="O4" s="6">
        <f>Scores!$L$5*VLOOKUP(M3,Scores!$A$15:$B$18,2)+Scores!$M$5*VLOOKUP(N3,Scores!$A$15:$B$18,2)+Scores!$N$5*VLOOKUP(O3,Scores!$A$15:$B$18,2)+Scores!$O$5*VLOOKUP(P3,Scores!$A$15:$B$18,2)</f>
        <v>0</v>
      </c>
      <c r="P4" s="7"/>
      <c r="Q4" s="7"/>
      <c r="R4" s="6">
        <f>Scores!$B$6*VLOOKUP(R3,Scores!$A$15:$B$18,2)+Scores!$C$6*VLOOKUP(S3,Scores!$A$15:$B$18,2)+Scores!$D$6*VLOOKUP(T3,Scores!$A$15:$B$18,2)+Scores!$E$6*VLOOKUP(U3,Scores!$A$15:$B$18,2)</f>
        <v>62</v>
      </c>
      <c r="S4" s="6">
        <f>Scores!$G$6*VLOOKUP(R3,Scores!$A$15:$B$18,2)+Scores!$H$6*VLOOKUP(S3,Scores!$A$15:$B$18,2)+Scores!$I$6*VLOOKUP(T3,Scores!$A$15:$B$18,2)+Scores!$J$6*VLOOKUP(U3,Scores!$A$15:$B$18,2)</f>
        <v>57</v>
      </c>
      <c r="T4" s="6">
        <f>Scores!$L$6*VLOOKUP(R3,Scores!$A$15:$B$18,2)+Scores!$M$6*VLOOKUP(S3,Scores!$A$15:$B$18,2)+Scores!$N$6*VLOOKUP(T3,Scores!$A$15:$B$18,2)+Scores!$O$6*VLOOKUP(U3,Scores!$A$15:$B$18,2)</f>
        <v>48</v>
      </c>
      <c r="U4" s="7"/>
      <c r="V4" s="7"/>
      <c r="W4" s="6">
        <f>Scores!$B$7*VLOOKUP(W3,Scores!$A$15:$B$18,2)+Scores!$C$7*VLOOKUP(X3,Scores!$A$15:$B$18,2)+Scores!$D$7*VLOOKUP(Y3,Scores!$A$15:$B$18,2)+Scores!$E$7*VLOOKUP(Z3,Scores!$A$15:$B$18,2)</f>
        <v>62</v>
      </c>
      <c r="X4" s="6">
        <f>Scores!$G$7*VLOOKUP(W3,Scores!$A$15:$B$18,2)+Scores!$H$7*VLOOKUP(X3,Scores!$A$15:$B$18,2)+Scores!$I$7*VLOOKUP(Y3,Scores!$A$15:$B$18,2)+Scores!$J$7*VLOOKUP(Z3,Scores!$A$15:$B$18,2)</f>
        <v>62</v>
      </c>
      <c r="Y4" s="6">
        <f>Scores!$L$7*VLOOKUP(W3,Scores!$A$15:$B$18,2)+Scores!$M$7*VLOOKUP(X3,Scores!$A$15:$B$18,2)+Scores!$N$7*VLOOKUP(Y3,Scores!$A$15:$B$18,2)+Scores!$O$7*VLOOKUP(Z3,Scores!$A$15:$B$18,2)</f>
        <v>50</v>
      </c>
      <c r="Z4" s="7"/>
      <c r="AA4" s="7"/>
      <c r="AB4" s="6">
        <f>Scores!$B$8*VLOOKUP(AB3,Scores!$A$15:$B$18,2)+Scores!$C$8*VLOOKUP(AC3,Scores!$A$15:$B$18,2)+Scores!$D$8*VLOOKUP(AD3,Scores!$A$15:$B$18,2)+Scores!$E$8*VLOOKUP(AE3,Scores!$A$15:$B$18,2)</f>
        <v>60</v>
      </c>
      <c r="AC4" s="6">
        <f>Scores!$G$8*VLOOKUP(AB3,Scores!$A$15:$B$18,2)+Scores!$H$8*VLOOKUP(AC3,Scores!$A$15:$B$18,2)+Scores!$I$8*VLOOKUP(AD3,Scores!$A$15:$B$18,2)+Scores!$J$8*VLOOKUP(AE3,Scores!$A$15:$B$18,2)</f>
        <v>62</v>
      </c>
      <c r="AD4" s="6">
        <f>Scores!$L$8*VLOOKUP(AB3,Scores!$A$15:$B$18,2)+Scores!$M$8*VLOOKUP(AC3,Scores!$A$15:$B$18,2)+Scores!$N$8*VLOOKUP(AD3,Scores!$A$15:$B$18,2)+Scores!$O$8*VLOOKUP(AE3,Scores!$A$15:$B$18,2)</f>
        <v>50</v>
      </c>
      <c r="AE4" s="7"/>
      <c r="AF4" s="7"/>
      <c r="AG4" s="6">
        <f>Scores!$B$9*VLOOKUP(AG3,Scores!$A$15:$B$18,2)+Scores!$C$9*VLOOKUP(AH3,Scores!$A$15:$B$18,2)+Scores!$D$9*VLOOKUP(AI3,Scores!$A$15:$B$18,2)+Scores!$E$9*VLOOKUP(AJ3,Scores!$A$15:$B$18,2)</f>
        <v>0</v>
      </c>
      <c r="AH4" s="6">
        <f>Scores!$G$9*VLOOKUP(AG3,Scores!$A$15:$B$18,2)+Scores!$H$9*VLOOKUP(AH3,Scores!$A$15:$B$18,2)+Scores!$I$9*VLOOKUP(AI3,Scores!$A$15:$B$18,2)+Scores!$J$9*VLOOKUP(AJ3,Scores!$A$15:$B$18,2)</f>
        <v>35</v>
      </c>
      <c r="AI4" s="6">
        <f>Scores!$L$9*VLOOKUP(AG3,Scores!$A$15:$B$18,2)+Scores!$M$9*VLOOKUP(AH3,Scores!$A$15:$B$18,2)+Scores!$N$9*VLOOKUP(AI3,Scores!$A$15:$B$18,2)+Scores!$O$9*VLOOKUP(AJ3,Scores!$A$15:$B$18,2)</f>
        <v>0</v>
      </c>
      <c r="AJ4" s="7"/>
      <c r="AK4" s="7"/>
      <c r="AL4" s="6">
        <f>Scores!$B$10*VLOOKUP(AL3,Scores!$A$15:$B$18,2)+Scores!$C$10*VLOOKUP(AM3,Scores!$A$15:$B$18,2)+Scores!$D$10*VLOOKUP(AN3,Scores!$A$15:$B$18,2)+Scores!$E$10*VLOOKUP(AO3,Scores!$A$15:$B$18,2)</f>
        <v>0</v>
      </c>
      <c r="AM4" s="6">
        <f>Scores!$G$10*VLOOKUP(AL3,Scores!$A$15:$B$18,2)+Scores!$H$10*VLOOKUP(AM3,Scores!$A$15:$B$18,2)+Scores!$I$10*VLOOKUP(AN3,Scores!$A$15:$B$18,2)+Scores!$J$10*VLOOKUP(AO3,Scores!$A$15:$B$18,2)</f>
        <v>0</v>
      </c>
      <c r="AN4" s="6">
        <f>Scores!$L$10*VLOOKUP(AL3,Scores!$A$15:$B$18,2)+Scores!$M$10*VLOOKUP(AM3,Scores!$A$15:$B$18,2)+Scores!$N$10*VLOOKUP(AN3,Scores!$A$15:$B$18,2)+Scores!$O$10*VLOOKUP(AO3,Scores!$A$15:$B$18,2)</f>
        <v>0</v>
      </c>
      <c r="AO4" s="7"/>
    </row>
    <row r="5" spans="1:49" x14ac:dyDescent="0.25">
      <c r="A5" t="s">
        <v>36</v>
      </c>
      <c r="B5" t="s">
        <v>37</v>
      </c>
      <c r="C5">
        <v>1</v>
      </c>
      <c r="D5">
        <v>4</v>
      </c>
      <c r="E5">
        <v>3</v>
      </c>
      <c r="F5">
        <v>2</v>
      </c>
      <c r="H5">
        <v>2</v>
      </c>
      <c r="I5">
        <v>3</v>
      </c>
      <c r="J5">
        <v>4</v>
      </c>
      <c r="K5">
        <v>1</v>
      </c>
      <c r="M5">
        <v>2</v>
      </c>
      <c r="N5">
        <v>3</v>
      </c>
      <c r="O5">
        <v>4</v>
      </c>
      <c r="P5">
        <v>1</v>
      </c>
      <c r="R5">
        <v>3</v>
      </c>
      <c r="S5">
        <v>4</v>
      </c>
      <c r="T5">
        <v>2</v>
      </c>
      <c r="U5">
        <v>1</v>
      </c>
      <c r="W5">
        <v>2</v>
      </c>
      <c r="X5">
        <v>3</v>
      </c>
      <c r="Y5">
        <v>1</v>
      </c>
      <c r="Z5">
        <v>4</v>
      </c>
      <c r="AB5">
        <v>1</v>
      </c>
      <c r="AC5">
        <v>3</v>
      </c>
      <c r="AD5">
        <v>4</v>
      </c>
      <c r="AE5">
        <v>2</v>
      </c>
      <c r="AG5">
        <v>2</v>
      </c>
      <c r="AH5">
        <v>3</v>
      </c>
      <c r="AI5">
        <v>4</v>
      </c>
      <c r="AJ5">
        <v>1</v>
      </c>
      <c r="AL5">
        <v>2</v>
      </c>
      <c r="AM5">
        <v>1</v>
      </c>
      <c r="AN5">
        <v>3</v>
      </c>
      <c r="AO5">
        <v>4</v>
      </c>
      <c r="AQ5" s="9">
        <f>((C6+H6+M6+R6+W6)-Scores!$E$15)/(Scores!$I$15-Scores!$E$15)</f>
        <v>0.71551724137931039</v>
      </c>
      <c r="AR5" s="9">
        <f>((D6+I6+N6+S6+X6)-Scores!$E$16)/(Scores!$I$16-Scores!$E$16)</f>
        <v>0.8413793103448276</v>
      </c>
      <c r="AS5" s="9">
        <f>((E6+J6+O6+T6+Y6)-Scores!$E$17)/(Scores!$I$17-Scores!$E$17)</f>
        <v>0.58620689655172409</v>
      </c>
      <c r="AT5" s="9"/>
      <c r="AU5" s="9">
        <f>((AB6+AG6+AL6)-Scores!$F$15)/(Scores!$J$15-Scores!$F$15)</f>
        <v>0.93103448275862066</v>
      </c>
      <c r="AV5" s="9">
        <f>((AC6+AH6+AM6)-Scores!$F$16)/(Scores!$J$16-Scores!$F$16)</f>
        <v>0.89655172413793105</v>
      </c>
      <c r="AW5" s="9">
        <f>((AD6+AI6+AN6)-Scores!$F$17)/(Scores!$J$17-Scores!$F$17)</f>
        <v>0.58620689655172409</v>
      </c>
    </row>
    <row r="6" spans="1:49" s="5" customFormat="1" ht="11.25" x14ac:dyDescent="0.2">
      <c r="C6" s="6">
        <f>Scores!$B$3*VLOOKUP(C5,Scores!$A$15:$B$18,2)+Scores!$C$3*VLOOKUP(D5,Scores!$A$15:$B$18,2)+Scores!$D$3*VLOOKUP(E5,Scores!$A$15:$B$18,2)+Scores!$E$3*VLOOKUP(F5,Scores!$A$15:$B$18,2)</f>
        <v>0</v>
      </c>
      <c r="D6" s="6">
        <f>Scores!$G$3*VLOOKUP(C5,Scores!$A$15:$B$18,2)+Scores!$H$3*VLOOKUP(D5,Scores!$A$15:$B$18,2)+Scores!$I$3*VLOOKUP(E5,Scores!$A$15:$B$18,2)+Scores!$J$3*VLOOKUP(F5,Scores!$A$15:$B$18,2)</f>
        <v>62</v>
      </c>
      <c r="E6" s="6">
        <f>Scores!$L$3*VLOOKUP(C5,Scores!$A$15:$B$18,2)+Scores!$M$3*VLOOKUP(D5,Scores!$A$15:$B$18,2)+Scores!$N$3*VLOOKUP(E5,Scores!$A$15:$B$18,2)+Scores!$O$3*VLOOKUP(F5,Scores!$A$15:$B$18,2)</f>
        <v>0</v>
      </c>
      <c r="F6" s="7"/>
      <c r="G6" s="7"/>
      <c r="H6" s="6">
        <f>Scores!$B$4*VLOOKUP(H5,Scores!$A$15:$B$18,2)+Scores!$C$4*VLOOKUP(I5,Scores!$A$15:$B$18,2)+Scores!$D$4*VLOOKUP(J5,Scores!$A$15:$B$18,2)+Scores!$E$4*VLOOKUP(K5,Scores!$A$15:$B$18,2)</f>
        <v>40</v>
      </c>
      <c r="I6" s="6">
        <f>Scores!$G$4*VLOOKUP(H5,Scores!$A$15:$B$18,2)+Scores!$H$4*VLOOKUP(I5,Scores!$A$15:$B$18,2)+Scores!$I$4*VLOOKUP(J5,Scores!$A$15:$B$18,2)+Scores!$J$4*VLOOKUP(K5,Scores!$A$15:$B$18,2)</f>
        <v>55</v>
      </c>
      <c r="J6" s="6">
        <f>Scores!$L$4*VLOOKUP(H5,Scores!$A$15:$B$18,2)+Scores!$M$4*VLOOKUP(I5,Scores!$A$15:$B$18,2)+Scores!$N$4*VLOOKUP(J5,Scores!$A$15:$B$18,2)+Scores!$O$4*VLOOKUP(K5,Scores!$A$15:$B$18,2)</f>
        <v>0</v>
      </c>
      <c r="K6" s="7"/>
      <c r="L6" s="7"/>
      <c r="M6" s="6">
        <f>Scores!$B$5*VLOOKUP(M5,Scores!$A$15:$B$18,2)+Scores!$C$5*VLOOKUP(N5,Scores!$A$15:$B$18,2)+Scores!$D$5*VLOOKUP(O5,Scores!$A$15:$B$18,2)+Scores!$E$5*VLOOKUP(P5,Scores!$A$15:$B$18,2)</f>
        <v>53</v>
      </c>
      <c r="N6" s="6">
        <f>Scores!$G$5*VLOOKUP(M5,Scores!$A$15:$B$18,2)+Scores!$H$5*VLOOKUP(N5,Scores!$A$15:$B$18,2)+Scores!$I$5*VLOOKUP(O5,Scores!$A$15:$B$18,2)+Scores!$J$5*VLOOKUP(P5,Scores!$A$15:$B$18,2)</f>
        <v>55</v>
      </c>
      <c r="O6" s="6">
        <f>Scores!$L$5*VLOOKUP(M5,Scores!$A$15:$B$18,2)+Scores!$M$5*VLOOKUP(N5,Scores!$A$15:$B$18,2)+Scores!$N$5*VLOOKUP(O5,Scores!$A$15:$B$18,2)+Scores!$O$5*VLOOKUP(P5,Scores!$A$15:$B$18,2)</f>
        <v>0</v>
      </c>
      <c r="P6" s="7"/>
      <c r="Q6" s="7"/>
      <c r="R6" s="6">
        <f>Scores!$B$6*VLOOKUP(R5,Scores!$A$15:$B$18,2)+Scores!$C$6*VLOOKUP(S5,Scores!$A$15:$B$18,2)+Scores!$D$6*VLOOKUP(T5,Scores!$A$15:$B$18,2)+Scores!$E$6*VLOOKUP(U5,Scores!$A$15:$B$18,2)</f>
        <v>60</v>
      </c>
      <c r="S6" s="6">
        <f>Scores!$G$6*VLOOKUP(R5,Scores!$A$15:$B$18,2)+Scores!$H$6*VLOOKUP(S5,Scores!$A$15:$B$18,2)+Scores!$I$6*VLOOKUP(T5,Scores!$A$15:$B$18,2)+Scores!$J$6*VLOOKUP(U5,Scores!$A$15:$B$18,2)</f>
        <v>53</v>
      </c>
      <c r="T6" s="6">
        <f>Scores!$L$6*VLOOKUP(R5,Scores!$A$15:$B$18,2)+Scores!$M$6*VLOOKUP(S5,Scores!$A$15:$B$18,2)+Scores!$N$6*VLOOKUP(T5,Scores!$A$15:$B$18,2)+Scores!$O$6*VLOOKUP(U5,Scores!$A$15:$B$18,2)</f>
        <v>50</v>
      </c>
      <c r="U6" s="7"/>
      <c r="V6" s="7"/>
      <c r="W6" s="6">
        <f>Scores!$B$7*VLOOKUP(W5,Scores!$A$15:$B$18,2)+Scores!$C$7*VLOOKUP(X5,Scores!$A$15:$B$18,2)+Scores!$D$7*VLOOKUP(Y5,Scores!$A$15:$B$18,2)+Scores!$E$7*VLOOKUP(Z5,Scores!$A$15:$B$18,2)</f>
        <v>62</v>
      </c>
      <c r="X6" s="6">
        <f>Scores!$G$7*VLOOKUP(W5,Scores!$A$15:$B$18,2)+Scores!$H$7*VLOOKUP(X5,Scores!$A$15:$B$18,2)+Scores!$I$7*VLOOKUP(Y5,Scores!$A$15:$B$18,2)+Scores!$J$7*VLOOKUP(Z5,Scores!$A$15:$B$18,2)</f>
        <v>62</v>
      </c>
      <c r="Y6" s="6">
        <f>Scores!$L$7*VLOOKUP(W5,Scores!$A$15:$B$18,2)+Scores!$M$7*VLOOKUP(X5,Scores!$A$15:$B$18,2)+Scores!$N$7*VLOOKUP(Y5,Scores!$A$15:$B$18,2)+Scores!$O$7*VLOOKUP(Z5,Scores!$A$15:$B$18,2)</f>
        <v>50</v>
      </c>
      <c r="Z6" s="7"/>
      <c r="AA6" s="7"/>
      <c r="AB6" s="6">
        <f>Scores!$B$8*VLOOKUP(AB5,Scores!$A$15:$B$18,2)+Scores!$C$8*VLOOKUP(AC5,Scores!$A$15:$B$18,2)+Scores!$D$8*VLOOKUP(AD5,Scores!$A$15:$B$18,2)+Scores!$E$8*VLOOKUP(AE5,Scores!$A$15:$B$18,2)</f>
        <v>60</v>
      </c>
      <c r="AC6" s="6">
        <f>Scores!$G$8*VLOOKUP(AB5,Scores!$A$15:$B$18,2)+Scores!$H$8*VLOOKUP(AC5,Scores!$A$15:$B$18,2)+Scores!$I$8*VLOOKUP(AD5,Scores!$A$15:$B$18,2)+Scores!$J$8*VLOOKUP(AE5,Scores!$A$15:$B$18,2)</f>
        <v>62</v>
      </c>
      <c r="AD6" s="6">
        <f>Scores!$L$8*VLOOKUP(AB5,Scores!$A$15:$B$18,2)+Scores!$M$8*VLOOKUP(AC5,Scores!$A$15:$B$18,2)+Scores!$N$8*VLOOKUP(AD5,Scores!$A$15:$B$18,2)+Scores!$O$8*VLOOKUP(AE5,Scores!$A$15:$B$18,2)</f>
        <v>50</v>
      </c>
      <c r="AE6" s="7"/>
      <c r="AF6" s="7"/>
      <c r="AG6" s="6">
        <f>Scores!$B$9*VLOOKUP(AG5,Scores!$A$15:$B$18,2)+Scores!$C$9*VLOOKUP(AH5,Scores!$A$15:$B$18,2)+Scores!$D$9*VLOOKUP(AI5,Scores!$A$15:$B$18,2)+Scores!$E$9*VLOOKUP(AJ5,Scores!$A$15:$B$18,2)</f>
        <v>0</v>
      </c>
      <c r="AH6" s="6">
        <f>Scores!$G$9*VLOOKUP(AG5,Scores!$A$15:$B$18,2)+Scores!$H$9*VLOOKUP(AH5,Scores!$A$15:$B$18,2)+Scores!$I$9*VLOOKUP(AI5,Scores!$A$15:$B$18,2)+Scores!$J$9*VLOOKUP(AJ5,Scores!$A$15:$B$18,2)</f>
        <v>56</v>
      </c>
      <c r="AI6" s="6">
        <f>Scores!$L$9*VLOOKUP(AG5,Scores!$A$15:$B$18,2)+Scores!$M$9*VLOOKUP(AH5,Scores!$A$15:$B$18,2)+Scores!$N$9*VLOOKUP(AI5,Scores!$A$15:$B$18,2)+Scores!$O$9*VLOOKUP(AJ5,Scores!$A$15:$B$18,2)</f>
        <v>0</v>
      </c>
      <c r="AJ6" s="7"/>
      <c r="AK6" s="7"/>
      <c r="AL6" s="6">
        <f>Scores!$B$10*VLOOKUP(AL5,Scores!$A$15:$B$18,2)+Scores!$C$10*VLOOKUP(AM5,Scores!$A$15:$B$18,2)+Scores!$D$10*VLOOKUP(AN5,Scores!$A$15:$B$18,2)+Scores!$E$10*VLOOKUP(AO5,Scores!$A$15:$B$18,2)</f>
        <v>0</v>
      </c>
      <c r="AM6" s="6">
        <f>Scores!$G$10*VLOOKUP(AL5,Scores!$A$15:$B$18,2)+Scores!$H$10*VLOOKUP(AM5,Scores!$A$15:$B$18,2)+Scores!$I$10*VLOOKUP(AN5,Scores!$A$15:$B$18,2)+Scores!$J$10*VLOOKUP(AO5,Scores!$A$15:$B$18,2)</f>
        <v>0</v>
      </c>
      <c r="AN6" s="6">
        <f>Scores!$L$10*VLOOKUP(AL5,Scores!$A$15:$B$18,2)+Scores!$M$10*VLOOKUP(AM5,Scores!$A$15:$B$18,2)+Scores!$N$10*VLOOKUP(AN5,Scores!$A$15:$B$18,2)+Scores!$O$10*VLOOKUP(AO5,Scores!$A$15:$B$18,2)</f>
        <v>0</v>
      </c>
      <c r="AO6" s="7"/>
    </row>
    <row r="7" spans="1:49" x14ac:dyDescent="0.25">
      <c r="A7" t="s">
        <v>38</v>
      </c>
      <c r="B7" t="s">
        <v>37</v>
      </c>
      <c r="C7">
        <v>1</v>
      </c>
      <c r="D7">
        <v>4</v>
      </c>
      <c r="E7">
        <v>3</v>
      </c>
      <c r="F7">
        <v>2</v>
      </c>
      <c r="H7">
        <v>4</v>
      </c>
      <c r="I7">
        <v>1</v>
      </c>
      <c r="J7">
        <v>2</v>
      </c>
      <c r="K7">
        <v>3</v>
      </c>
      <c r="M7">
        <v>3</v>
      </c>
      <c r="N7">
        <v>1</v>
      </c>
      <c r="O7">
        <v>4</v>
      </c>
      <c r="P7">
        <v>2</v>
      </c>
      <c r="R7">
        <v>3</v>
      </c>
      <c r="S7">
        <v>1</v>
      </c>
      <c r="T7">
        <v>4</v>
      </c>
      <c r="U7">
        <v>2</v>
      </c>
      <c r="W7">
        <v>2</v>
      </c>
      <c r="X7">
        <v>3</v>
      </c>
      <c r="Y7">
        <v>1</v>
      </c>
      <c r="Z7">
        <v>4</v>
      </c>
      <c r="AB7">
        <v>1</v>
      </c>
      <c r="AC7">
        <v>2</v>
      </c>
      <c r="AD7">
        <v>4</v>
      </c>
      <c r="AE7">
        <v>3</v>
      </c>
      <c r="AG7">
        <v>3</v>
      </c>
      <c r="AH7">
        <v>4</v>
      </c>
      <c r="AI7">
        <v>2</v>
      </c>
      <c r="AJ7">
        <v>1</v>
      </c>
      <c r="AL7">
        <v>1</v>
      </c>
      <c r="AM7">
        <v>2</v>
      </c>
      <c r="AN7">
        <v>3</v>
      </c>
      <c r="AO7">
        <v>4</v>
      </c>
      <c r="AQ7" s="9">
        <f>((C8+H8+M8+R8+W8)-Scores!$E$15)/(Scores!$I$15-Scores!$E$15)</f>
        <v>0.81896551724137934</v>
      </c>
      <c r="AR7" s="9">
        <f>((D8+I8+N8+S8+X8)-Scores!$E$16)/(Scores!$I$16-Scores!$E$16)</f>
        <v>0.48275862068965519</v>
      </c>
      <c r="AS7" s="9">
        <f>((E8+J8+O8+T8+Y8)-Scores!$E$17)/(Scores!$I$17-Scores!$E$17)</f>
        <v>0.29310344827586204</v>
      </c>
      <c r="AT7" s="9"/>
      <c r="AU7" s="9">
        <f>((AB8+AG8+AL8)-Scores!$F$15)/(Scores!$J$15-Scores!$F$15)</f>
        <v>1</v>
      </c>
      <c r="AV7" s="9">
        <f>((AC8+AH8+AM8)-Scores!$F$16)/(Scores!$J$16-Scores!$F$16)</f>
        <v>0.96551724137931039</v>
      </c>
      <c r="AW7" s="9">
        <f>((AD8+AI8+AN8)-Scores!$F$17)/(Scores!$J$17-Scores!$F$17)</f>
        <v>0.51724137931034486</v>
      </c>
    </row>
    <row r="8" spans="1:49" s="5" customFormat="1" ht="11.25" x14ac:dyDescent="0.2">
      <c r="C8" s="6">
        <f>Scores!$B$3*VLOOKUP(C7,Scores!$A$15:$B$18,2)+Scores!$C$3*VLOOKUP(D7,Scores!$A$15:$B$18,2)+Scores!$D$3*VLOOKUP(E7,Scores!$A$15:$B$18,2)+Scores!$E$3*VLOOKUP(F7,Scores!$A$15:$B$18,2)</f>
        <v>0</v>
      </c>
      <c r="D8" s="6">
        <f>Scores!$G$3*VLOOKUP(C7,Scores!$A$15:$B$18,2)+Scores!$H$3*VLOOKUP(D7,Scores!$A$15:$B$18,2)+Scores!$I$3*VLOOKUP(E7,Scores!$A$15:$B$18,2)+Scores!$J$3*VLOOKUP(F7,Scores!$A$15:$B$18,2)</f>
        <v>62</v>
      </c>
      <c r="E8" s="6">
        <f>Scores!$L$3*VLOOKUP(C7,Scores!$A$15:$B$18,2)+Scores!$M$3*VLOOKUP(D7,Scores!$A$15:$B$18,2)+Scores!$N$3*VLOOKUP(E7,Scores!$A$15:$B$18,2)+Scores!$O$3*VLOOKUP(F7,Scores!$A$15:$B$18,2)</f>
        <v>0</v>
      </c>
      <c r="F8" s="7"/>
      <c r="G8" s="7"/>
      <c r="H8" s="6">
        <f>Scores!$B$4*VLOOKUP(H7,Scores!$A$15:$B$18,2)+Scores!$C$4*VLOOKUP(I7,Scores!$A$15:$B$18,2)+Scores!$D$4*VLOOKUP(J7,Scores!$A$15:$B$18,2)+Scores!$E$4*VLOOKUP(K7,Scores!$A$15:$B$18,2)</f>
        <v>62</v>
      </c>
      <c r="I8" s="6">
        <f>Scores!$G$4*VLOOKUP(H7,Scores!$A$15:$B$18,2)+Scores!$H$4*VLOOKUP(I7,Scores!$A$15:$B$18,2)+Scores!$I$4*VLOOKUP(J7,Scores!$A$15:$B$18,2)+Scores!$J$4*VLOOKUP(K7,Scores!$A$15:$B$18,2)</f>
        <v>33</v>
      </c>
      <c r="J8" s="6">
        <f>Scores!$L$4*VLOOKUP(H7,Scores!$A$15:$B$18,2)+Scores!$M$4*VLOOKUP(I7,Scores!$A$15:$B$18,2)+Scores!$N$4*VLOOKUP(J7,Scores!$A$15:$B$18,2)+Scores!$O$4*VLOOKUP(K7,Scores!$A$15:$B$18,2)</f>
        <v>0</v>
      </c>
      <c r="K8" s="7"/>
      <c r="L8" s="7"/>
      <c r="M8" s="6">
        <f>Scores!$B$5*VLOOKUP(M7,Scores!$A$15:$B$18,2)+Scores!$C$5*VLOOKUP(N7,Scores!$A$15:$B$18,2)+Scores!$D$5*VLOOKUP(O7,Scores!$A$15:$B$18,2)+Scores!$E$5*VLOOKUP(P7,Scores!$A$15:$B$18,2)</f>
        <v>62</v>
      </c>
      <c r="N8" s="6">
        <f>Scores!$G$5*VLOOKUP(M7,Scores!$A$15:$B$18,2)+Scores!$H$5*VLOOKUP(N7,Scores!$A$15:$B$18,2)+Scores!$I$5*VLOOKUP(O7,Scores!$A$15:$B$18,2)+Scores!$J$5*VLOOKUP(P7,Scores!$A$15:$B$18,2)</f>
        <v>39</v>
      </c>
      <c r="O8" s="6">
        <f>Scores!$L$5*VLOOKUP(M7,Scores!$A$15:$B$18,2)+Scores!$M$5*VLOOKUP(N7,Scores!$A$15:$B$18,2)+Scores!$N$5*VLOOKUP(O7,Scores!$A$15:$B$18,2)+Scores!$O$5*VLOOKUP(P7,Scores!$A$15:$B$18,2)</f>
        <v>0</v>
      </c>
      <c r="P8" s="7"/>
      <c r="Q8" s="7"/>
      <c r="R8" s="6">
        <f>Scores!$B$6*VLOOKUP(R7,Scores!$A$15:$B$18,2)+Scores!$C$6*VLOOKUP(S7,Scores!$A$15:$B$18,2)+Scores!$D$6*VLOOKUP(T7,Scores!$A$15:$B$18,2)+Scores!$E$6*VLOOKUP(U7,Scores!$A$15:$B$18,2)</f>
        <v>41</v>
      </c>
      <c r="S8" s="6">
        <f>Scores!$G$6*VLOOKUP(R7,Scores!$A$15:$B$18,2)+Scores!$H$6*VLOOKUP(S7,Scores!$A$15:$B$18,2)+Scores!$I$6*VLOOKUP(T7,Scores!$A$15:$B$18,2)+Scores!$J$6*VLOOKUP(U7,Scores!$A$15:$B$18,2)</f>
        <v>39</v>
      </c>
      <c r="T8" s="6">
        <f>Scores!$L$6*VLOOKUP(R7,Scores!$A$15:$B$18,2)+Scores!$M$6*VLOOKUP(S7,Scores!$A$15:$B$18,2)+Scores!$N$6*VLOOKUP(T7,Scores!$A$15:$B$18,2)+Scores!$O$6*VLOOKUP(U7,Scores!$A$15:$B$18,2)</f>
        <v>33</v>
      </c>
      <c r="U8" s="7"/>
      <c r="V8" s="7"/>
      <c r="W8" s="6">
        <f>Scores!$B$7*VLOOKUP(W7,Scores!$A$15:$B$18,2)+Scores!$C$7*VLOOKUP(X7,Scores!$A$15:$B$18,2)+Scores!$D$7*VLOOKUP(Y7,Scores!$A$15:$B$18,2)+Scores!$E$7*VLOOKUP(Z7,Scores!$A$15:$B$18,2)</f>
        <v>62</v>
      </c>
      <c r="X8" s="6">
        <f>Scores!$G$7*VLOOKUP(W7,Scores!$A$15:$B$18,2)+Scores!$H$7*VLOOKUP(X7,Scores!$A$15:$B$18,2)+Scores!$I$7*VLOOKUP(Y7,Scores!$A$15:$B$18,2)+Scores!$J$7*VLOOKUP(Z7,Scores!$A$15:$B$18,2)</f>
        <v>62</v>
      </c>
      <c r="Y8" s="6">
        <f>Scores!$L$7*VLOOKUP(W7,Scores!$A$15:$B$18,2)+Scores!$M$7*VLOOKUP(X7,Scores!$A$15:$B$18,2)+Scores!$N$7*VLOOKUP(Y7,Scores!$A$15:$B$18,2)+Scores!$O$7*VLOOKUP(Z7,Scores!$A$15:$B$18,2)</f>
        <v>50</v>
      </c>
      <c r="Z8" s="7"/>
      <c r="AA8" s="7"/>
      <c r="AB8" s="6">
        <f>Scores!$B$8*VLOOKUP(AB7,Scores!$A$15:$B$18,2)+Scores!$C$8*VLOOKUP(AC7,Scores!$A$15:$B$18,2)+Scores!$D$8*VLOOKUP(AD7,Scores!$A$15:$B$18,2)+Scores!$E$8*VLOOKUP(AE7,Scores!$A$15:$B$18,2)</f>
        <v>62</v>
      </c>
      <c r="AC8" s="6">
        <f>Scores!$G$8*VLOOKUP(AB7,Scores!$A$15:$B$18,2)+Scores!$H$8*VLOOKUP(AC7,Scores!$A$15:$B$18,2)+Scores!$I$8*VLOOKUP(AD7,Scores!$A$15:$B$18,2)+Scores!$J$8*VLOOKUP(AE7,Scores!$A$15:$B$18,2)</f>
        <v>60</v>
      </c>
      <c r="AD8" s="6">
        <f>Scores!$L$8*VLOOKUP(AB7,Scores!$A$15:$B$18,2)+Scores!$M$8*VLOOKUP(AC7,Scores!$A$15:$B$18,2)+Scores!$N$8*VLOOKUP(AD7,Scores!$A$15:$B$18,2)+Scores!$O$8*VLOOKUP(AE7,Scores!$A$15:$B$18,2)</f>
        <v>48</v>
      </c>
      <c r="AE8" s="7"/>
      <c r="AF8" s="7"/>
      <c r="AG8" s="6">
        <f>Scores!$B$9*VLOOKUP(AG7,Scores!$A$15:$B$18,2)+Scores!$C$9*VLOOKUP(AH7,Scores!$A$15:$B$18,2)+Scores!$D$9*VLOOKUP(AI7,Scores!$A$15:$B$18,2)+Scores!$E$9*VLOOKUP(AJ7,Scores!$A$15:$B$18,2)</f>
        <v>0</v>
      </c>
      <c r="AH8" s="6">
        <f>Scores!$G$9*VLOOKUP(AG7,Scores!$A$15:$B$18,2)+Scores!$H$9*VLOOKUP(AH7,Scores!$A$15:$B$18,2)+Scores!$I$9*VLOOKUP(AI7,Scores!$A$15:$B$18,2)+Scores!$J$9*VLOOKUP(AJ7,Scores!$A$15:$B$18,2)</f>
        <v>62</v>
      </c>
      <c r="AI8" s="6">
        <f>Scores!$L$9*VLOOKUP(AG7,Scores!$A$15:$B$18,2)+Scores!$M$9*VLOOKUP(AH7,Scores!$A$15:$B$18,2)+Scores!$N$9*VLOOKUP(AI7,Scores!$A$15:$B$18,2)+Scores!$O$9*VLOOKUP(AJ7,Scores!$A$15:$B$18,2)</f>
        <v>0</v>
      </c>
      <c r="AJ8" s="7"/>
      <c r="AK8" s="7"/>
      <c r="AL8" s="6">
        <f>Scores!$B$10*VLOOKUP(AL7,Scores!$A$15:$B$18,2)+Scores!$C$10*VLOOKUP(AM7,Scores!$A$15:$B$18,2)+Scores!$D$10*VLOOKUP(AN7,Scores!$A$15:$B$18,2)+Scores!$E$10*VLOOKUP(AO7,Scores!$A$15:$B$18,2)</f>
        <v>0</v>
      </c>
      <c r="AM8" s="6">
        <f>Scores!$G$10*VLOOKUP(AL7,Scores!$A$15:$B$18,2)+Scores!$H$10*VLOOKUP(AM7,Scores!$A$15:$B$18,2)+Scores!$I$10*VLOOKUP(AN7,Scores!$A$15:$B$18,2)+Scores!$J$10*VLOOKUP(AO7,Scores!$A$15:$B$18,2)</f>
        <v>0</v>
      </c>
      <c r="AN8" s="6">
        <f>Scores!$L$10*VLOOKUP(AL7,Scores!$A$15:$B$18,2)+Scores!$M$10*VLOOKUP(AM7,Scores!$A$15:$B$18,2)+Scores!$N$10*VLOOKUP(AN7,Scores!$A$15:$B$18,2)+Scores!$O$10*VLOOKUP(AO7,Scores!$A$15:$B$18,2)</f>
        <v>0</v>
      </c>
      <c r="AO8" s="7"/>
    </row>
    <row r="9" spans="1:49" x14ac:dyDescent="0.25">
      <c r="A9" t="s">
        <v>39</v>
      </c>
      <c r="B9" t="s">
        <v>26</v>
      </c>
      <c r="C9">
        <v>1</v>
      </c>
      <c r="D9">
        <v>4</v>
      </c>
      <c r="E9">
        <v>3</v>
      </c>
      <c r="F9">
        <v>2</v>
      </c>
      <c r="H9">
        <v>2</v>
      </c>
      <c r="I9">
        <v>3</v>
      </c>
      <c r="J9">
        <v>4</v>
      </c>
      <c r="K9">
        <v>1</v>
      </c>
      <c r="M9">
        <v>2</v>
      </c>
      <c r="N9">
        <v>4</v>
      </c>
      <c r="O9">
        <v>3</v>
      </c>
      <c r="P9">
        <v>1</v>
      </c>
      <c r="R9">
        <v>2</v>
      </c>
      <c r="S9">
        <v>4</v>
      </c>
      <c r="T9">
        <v>3</v>
      </c>
      <c r="U9">
        <v>1</v>
      </c>
      <c r="W9">
        <v>2</v>
      </c>
      <c r="X9">
        <v>3</v>
      </c>
      <c r="Y9">
        <v>1</v>
      </c>
      <c r="Z9">
        <v>4</v>
      </c>
      <c r="AB9">
        <v>1</v>
      </c>
      <c r="AC9">
        <v>3</v>
      </c>
      <c r="AD9">
        <v>4</v>
      </c>
      <c r="AE9">
        <v>2</v>
      </c>
      <c r="AG9">
        <v>2</v>
      </c>
      <c r="AH9">
        <v>1</v>
      </c>
      <c r="AI9">
        <v>3</v>
      </c>
      <c r="AJ9">
        <v>4</v>
      </c>
      <c r="AL9">
        <v>5</v>
      </c>
      <c r="AM9">
        <v>5</v>
      </c>
      <c r="AN9">
        <v>5</v>
      </c>
      <c r="AO9">
        <v>5</v>
      </c>
      <c r="AQ9" s="9">
        <f>((C10+H10+M10+R10+W10)-Scores!$E$15)/(Scores!$I$15-Scores!$E$15)</f>
        <v>0.68103448275862066</v>
      </c>
      <c r="AR9" s="9">
        <f>((D10+I10+N10+S10+X10)-Scores!$E$16)/(Scores!$I$16-Scores!$E$16)</f>
        <v>0.88275862068965516</v>
      </c>
      <c r="AS9" s="9">
        <f>((E10+J10+O10+T10+Y10)-Scores!$E$17)/(Scores!$I$17-Scores!$E$17)</f>
        <v>0.55172413793103448</v>
      </c>
      <c r="AT9" s="9"/>
      <c r="AU9" s="9">
        <f>((AB10+AG10+AL10)-Scores!$F$15)/(Scores!$J$15-Scores!$F$15)</f>
        <v>0.93103448275862066</v>
      </c>
      <c r="AV9" s="9">
        <f>((AC10+AH10+AM10)-Scores!$F$16)/(Scores!$J$16-Scores!$F$16)</f>
        <v>0.5</v>
      </c>
      <c r="AW9" s="9">
        <f>((AD10+AI10+AN10)-Scores!$F$17)/(Scores!$J$17-Scores!$F$17)</f>
        <v>0.58620689655172409</v>
      </c>
    </row>
    <row r="10" spans="1:49" s="5" customFormat="1" ht="11.25" x14ac:dyDescent="0.2">
      <c r="C10" s="6">
        <f>Scores!$B$3*VLOOKUP(C9,Scores!$A$15:$B$18,2)+Scores!$C$3*VLOOKUP(D9,Scores!$A$15:$B$18,2)+Scores!$D$3*VLOOKUP(E9,Scores!$A$15:$B$18,2)+Scores!$E$3*VLOOKUP(F9,Scores!$A$15:$B$18,2)</f>
        <v>0</v>
      </c>
      <c r="D10" s="6">
        <f>Scores!$G$3*VLOOKUP(C9,Scores!$A$15:$B$18,2)+Scores!$H$3*VLOOKUP(D9,Scores!$A$15:$B$18,2)+Scores!$I$3*VLOOKUP(E9,Scores!$A$15:$B$18,2)+Scores!$J$3*VLOOKUP(F9,Scores!$A$15:$B$18,2)</f>
        <v>62</v>
      </c>
      <c r="E10" s="6">
        <f>Scores!$L$3*VLOOKUP(C9,Scores!$A$15:$B$18,2)+Scores!$M$3*VLOOKUP(D9,Scores!$A$15:$B$18,2)+Scores!$N$3*VLOOKUP(E9,Scores!$A$15:$B$18,2)+Scores!$O$3*VLOOKUP(F9,Scores!$A$15:$B$18,2)</f>
        <v>0</v>
      </c>
      <c r="F10" s="7"/>
      <c r="G10" s="7"/>
      <c r="H10" s="6">
        <f>Scores!$B$4*VLOOKUP(H9,Scores!$A$15:$B$18,2)+Scores!$C$4*VLOOKUP(I9,Scores!$A$15:$B$18,2)+Scores!$D$4*VLOOKUP(J9,Scores!$A$15:$B$18,2)+Scores!$E$4*VLOOKUP(K9,Scores!$A$15:$B$18,2)</f>
        <v>40</v>
      </c>
      <c r="I10" s="6">
        <f>Scores!$G$4*VLOOKUP(H9,Scores!$A$15:$B$18,2)+Scores!$H$4*VLOOKUP(I9,Scores!$A$15:$B$18,2)+Scores!$I$4*VLOOKUP(J9,Scores!$A$15:$B$18,2)+Scores!$J$4*VLOOKUP(K9,Scores!$A$15:$B$18,2)</f>
        <v>55</v>
      </c>
      <c r="J10" s="6">
        <f>Scores!$L$4*VLOOKUP(H9,Scores!$A$15:$B$18,2)+Scores!$M$4*VLOOKUP(I9,Scores!$A$15:$B$18,2)+Scores!$N$4*VLOOKUP(J9,Scores!$A$15:$B$18,2)+Scores!$O$4*VLOOKUP(K9,Scores!$A$15:$B$18,2)</f>
        <v>0</v>
      </c>
      <c r="K10" s="7"/>
      <c r="L10" s="7"/>
      <c r="M10" s="6">
        <f>Scores!$B$5*VLOOKUP(M9,Scores!$A$15:$B$18,2)+Scores!$C$5*VLOOKUP(N9,Scores!$A$15:$B$18,2)+Scores!$D$5*VLOOKUP(O9,Scores!$A$15:$B$18,2)+Scores!$E$5*VLOOKUP(P9,Scores!$A$15:$B$18,2)</f>
        <v>47</v>
      </c>
      <c r="N10" s="6">
        <f>Scores!$G$5*VLOOKUP(M9,Scores!$A$15:$B$18,2)+Scores!$H$5*VLOOKUP(N9,Scores!$A$15:$B$18,2)+Scores!$I$5*VLOOKUP(O9,Scores!$A$15:$B$18,2)+Scores!$J$5*VLOOKUP(P9,Scores!$A$15:$B$18,2)</f>
        <v>57</v>
      </c>
      <c r="O10" s="6">
        <f>Scores!$L$5*VLOOKUP(M9,Scores!$A$15:$B$18,2)+Scores!$M$5*VLOOKUP(N9,Scores!$A$15:$B$18,2)+Scores!$N$5*VLOOKUP(O9,Scores!$A$15:$B$18,2)+Scores!$O$5*VLOOKUP(P9,Scores!$A$15:$B$18,2)</f>
        <v>0</v>
      </c>
      <c r="P10" s="7"/>
      <c r="Q10" s="7"/>
      <c r="R10" s="6">
        <f>Scores!$B$6*VLOOKUP(R9,Scores!$A$15:$B$18,2)+Scores!$C$6*VLOOKUP(S9,Scores!$A$15:$B$18,2)+Scores!$D$6*VLOOKUP(T9,Scores!$A$15:$B$18,2)+Scores!$E$6*VLOOKUP(U9,Scores!$A$15:$B$18,2)</f>
        <v>62</v>
      </c>
      <c r="S10" s="6">
        <f>Scores!$G$6*VLOOKUP(R9,Scores!$A$15:$B$18,2)+Scores!$H$6*VLOOKUP(S9,Scores!$A$15:$B$18,2)+Scores!$I$6*VLOOKUP(T9,Scores!$A$15:$B$18,2)+Scores!$J$6*VLOOKUP(U9,Scores!$A$15:$B$18,2)</f>
        <v>57</v>
      </c>
      <c r="T10" s="6">
        <f>Scores!$L$6*VLOOKUP(R9,Scores!$A$15:$B$18,2)+Scores!$M$6*VLOOKUP(S9,Scores!$A$15:$B$18,2)+Scores!$N$6*VLOOKUP(T9,Scores!$A$15:$B$18,2)+Scores!$O$6*VLOOKUP(U9,Scores!$A$15:$B$18,2)</f>
        <v>48</v>
      </c>
      <c r="U10" s="7"/>
      <c r="V10" s="7"/>
      <c r="W10" s="6">
        <f>Scores!$B$7*VLOOKUP(W9,Scores!$A$15:$B$18,2)+Scores!$C$7*VLOOKUP(X9,Scores!$A$15:$B$18,2)+Scores!$D$7*VLOOKUP(Y9,Scores!$A$15:$B$18,2)+Scores!$E$7*VLOOKUP(Z9,Scores!$A$15:$B$18,2)</f>
        <v>62</v>
      </c>
      <c r="X10" s="6">
        <f>Scores!$G$7*VLOOKUP(W9,Scores!$A$15:$B$18,2)+Scores!$H$7*VLOOKUP(X9,Scores!$A$15:$B$18,2)+Scores!$I$7*VLOOKUP(Y9,Scores!$A$15:$B$18,2)+Scores!$J$7*VLOOKUP(Z9,Scores!$A$15:$B$18,2)</f>
        <v>62</v>
      </c>
      <c r="Y10" s="6">
        <f>Scores!$L$7*VLOOKUP(W9,Scores!$A$15:$B$18,2)+Scores!$M$7*VLOOKUP(X9,Scores!$A$15:$B$18,2)+Scores!$N$7*VLOOKUP(Y9,Scores!$A$15:$B$18,2)+Scores!$O$7*VLOOKUP(Z9,Scores!$A$15:$B$18,2)</f>
        <v>50</v>
      </c>
      <c r="Z10" s="7"/>
      <c r="AA10" s="7"/>
      <c r="AB10" s="6">
        <f>Scores!$B$8*VLOOKUP(AB9,Scores!$A$15:$B$18,2)+Scores!$C$8*VLOOKUP(AC9,Scores!$A$15:$B$18,2)+Scores!$D$8*VLOOKUP(AD9,Scores!$A$15:$B$18,2)+Scores!$E$8*VLOOKUP(AE9,Scores!$A$15:$B$18,2)</f>
        <v>60</v>
      </c>
      <c r="AC10" s="6">
        <f>Scores!$G$8*VLOOKUP(AB9,Scores!$A$15:$B$18,2)+Scores!$H$8*VLOOKUP(AC9,Scores!$A$15:$B$18,2)+Scores!$I$8*VLOOKUP(AD9,Scores!$A$15:$B$18,2)+Scores!$J$8*VLOOKUP(AE9,Scores!$A$15:$B$18,2)</f>
        <v>62</v>
      </c>
      <c r="AD10" s="6">
        <f>Scores!$L$8*VLOOKUP(AB9,Scores!$A$15:$B$18,2)+Scores!$M$8*VLOOKUP(AC9,Scores!$A$15:$B$18,2)+Scores!$N$8*VLOOKUP(AD9,Scores!$A$15:$B$18,2)+Scores!$O$8*VLOOKUP(AE9,Scores!$A$15:$B$18,2)</f>
        <v>50</v>
      </c>
      <c r="AE10" s="7"/>
      <c r="AF10" s="7"/>
      <c r="AG10" s="6">
        <f>Scores!$B$9*VLOOKUP(AG9,Scores!$A$15:$B$18,2)+Scores!$C$9*VLOOKUP(AH9,Scores!$A$15:$B$18,2)+Scores!$D$9*VLOOKUP(AI9,Scores!$A$15:$B$18,2)+Scores!$E$9*VLOOKUP(AJ9,Scores!$A$15:$B$18,2)</f>
        <v>0</v>
      </c>
      <c r="AH10" s="6">
        <f>Scores!$G$9*VLOOKUP(AG9,Scores!$A$15:$B$18,2)+Scores!$H$9*VLOOKUP(AH9,Scores!$A$15:$B$18,2)+Scores!$I$9*VLOOKUP(AI9,Scores!$A$15:$B$18,2)+Scores!$J$9*VLOOKUP(AJ9,Scores!$A$15:$B$18,2)</f>
        <v>33</v>
      </c>
      <c r="AI10" s="6">
        <f>Scores!$L$9*VLOOKUP(AG9,Scores!$A$15:$B$18,2)+Scores!$M$9*VLOOKUP(AH9,Scores!$A$15:$B$18,2)+Scores!$N$9*VLOOKUP(AI9,Scores!$A$15:$B$18,2)+Scores!$O$9*VLOOKUP(AJ9,Scores!$A$15:$B$18,2)</f>
        <v>0</v>
      </c>
      <c r="AJ10" s="7"/>
      <c r="AK10" s="7"/>
      <c r="AL10" s="6">
        <f>Scores!$B$10*VLOOKUP(AL9,Scores!$A$15:$B$18,2)+Scores!$C$10*VLOOKUP(AM9,Scores!$A$15:$B$18,2)+Scores!$D$10*VLOOKUP(AN9,Scores!$A$15:$B$18,2)+Scores!$E$10*VLOOKUP(AO9,Scores!$A$15:$B$18,2)</f>
        <v>0</v>
      </c>
      <c r="AM10" s="6">
        <f>Scores!$G$10*VLOOKUP(AL9,Scores!$A$15:$B$18,2)+Scores!$H$10*VLOOKUP(AM9,Scores!$A$15:$B$18,2)+Scores!$I$10*VLOOKUP(AN9,Scores!$A$15:$B$18,2)+Scores!$J$10*VLOOKUP(AO9,Scores!$A$15:$B$18,2)</f>
        <v>0</v>
      </c>
      <c r="AN10" s="6">
        <f>Scores!$L$10*VLOOKUP(AL9,Scores!$A$15:$B$18,2)+Scores!$M$10*VLOOKUP(AM9,Scores!$A$15:$B$18,2)+Scores!$N$10*VLOOKUP(AN9,Scores!$A$15:$B$18,2)+Scores!$O$10*VLOOKUP(AO9,Scores!$A$15:$B$18,2)</f>
        <v>0</v>
      </c>
      <c r="AO10" s="7"/>
    </row>
    <row r="11" spans="1:49" x14ac:dyDescent="0.25">
      <c r="A11" t="s">
        <v>40</v>
      </c>
      <c r="B11" t="s">
        <v>26</v>
      </c>
      <c r="C11">
        <v>1</v>
      </c>
      <c r="D11">
        <v>4</v>
      </c>
      <c r="E11">
        <v>3</v>
      </c>
      <c r="F11">
        <v>2</v>
      </c>
      <c r="H11">
        <v>2</v>
      </c>
      <c r="I11">
        <v>4</v>
      </c>
      <c r="J11">
        <v>3</v>
      </c>
      <c r="K11">
        <v>1</v>
      </c>
      <c r="M11">
        <v>2</v>
      </c>
      <c r="N11">
        <v>4</v>
      </c>
      <c r="O11">
        <v>1</v>
      </c>
      <c r="P11">
        <v>3</v>
      </c>
      <c r="R11">
        <v>2</v>
      </c>
      <c r="S11">
        <v>4</v>
      </c>
      <c r="T11">
        <v>3</v>
      </c>
      <c r="U11">
        <v>1</v>
      </c>
      <c r="W11">
        <v>3</v>
      </c>
      <c r="X11">
        <v>2</v>
      </c>
      <c r="Y11">
        <v>1</v>
      </c>
      <c r="Z11">
        <v>4</v>
      </c>
      <c r="AB11">
        <v>1</v>
      </c>
      <c r="AC11">
        <v>2</v>
      </c>
      <c r="AD11">
        <v>4</v>
      </c>
      <c r="AE11">
        <v>3</v>
      </c>
      <c r="AG11">
        <v>3</v>
      </c>
      <c r="AH11">
        <v>4</v>
      </c>
      <c r="AI11">
        <v>2</v>
      </c>
      <c r="AJ11">
        <v>1</v>
      </c>
      <c r="AL11">
        <v>5</v>
      </c>
      <c r="AM11">
        <v>5</v>
      </c>
      <c r="AN11">
        <v>5</v>
      </c>
      <c r="AO11">
        <v>5</v>
      </c>
      <c r="AQ11" s="9">
        <f>((C12+H12+M12+R12+W12)-Scores!$E$15)/(Scores!$I$15-Scores!$E$15)</f>
        <v>0.52586206896551724</v>
      </c>
      <c r="AR11" s="9">
        <f>((D12+I12+N12+S12+X12)-Scores!$E$16)/(Scores!$I$16-Scores!$E$16)</f>
        <v>0.83448275862068966</v>
      </c>
      <c r="AS11" s="9">
        <f>((E12+J12+O12+T12+Y12)-Scores!$E$17)/(Scores!$I$17-Scores!$E$17)</f>
        <v>0.51724137931034486</v>
      </c>
      <c r="AT11" s="9"/>
      <c r="AU11" s="9">
        <f>((AB12+AG12+AL12)-Scores!$F$15)/(Scores!$J$15-Scores!$F$15)</f>
        <v>1</v>
      </c>
      <c r="AV11" s="9">
        <f>((AC12+AH12+AM12)-Scores!$F$16)/(Scores!$J$16-Scores!$F$16)</f>
        <v>0.96551724137931039</v>
      </c>
      <c r="AW11" s="9">
        <f>((AD12+AI12+AN12)-Scores!$F$17)/(Scores!$J$17-Scores!$F$17)</f>
        <v>0.51724137931034486</v>
      </c>
    </row>
    <row r="12" spans="1:49" s="5" customFormat="1" ht="11.25" x14ac:dyDescent="0.2">
      <c r="C12" s="6">
        <f>Scores!$B$3*VLOOKUP(C11,Scores!$A$15:$B$18,2)+Scores!$C$3*VLOOKUP(D11,Scores!$A$15:$B$18,2)+Scores!$D$3*VLOOKUP(E11,Scores!$A$15:$B$18,2)+Scores!$E$3*VLOOKUP(F11,Scores!$A$15:$B$18,2)</f>
        <v>0</v>
      </c>
      <c r="D12" s="6">
        <f>Scores!$G$3*VLOOKUP(C11,Scores!$A$15:$B$18,2)+Scores!$H$3*VLOOKUP(D11,Scores!$A$15:$B$18,2)+Scores!$I$3*VLOOKUP(E11,Scores!$A$15:$B$18,2)+Scores!$J$3*VLOOKUP(F11,Scores!$A$15:$B$18,2)</f>
        <v>62</v>
      </c>
      <c r="E12" s="6">
        <f>Scores!$L$3*VLOOKUP(C11,Scores!$A$15:$B$18,2)+Scores!$M$3*VLOOKUP(D11,Scores!$A$15:$B$18,2)+Scores!$N$3*VLOOKUP(E11,Scores!$A$15:$B$18,2)+Scores!$O$3*VLOOKUP(F11,Scores!$A$15:$B$18,2)</f>
        <v>0</v>
      </c>
      <c r="F12" s="7"/>
      <c r="G12" s="7"/>
      <c r="H12" s="6">
        <f>Scores!$B$4*VLOOKUP(H11,Scores!$A$15:$B$18,2)+Scores!$C$4*VLOOKUP(I11,Scores!$A$15:$B$18,2)+Scores!$D$4*VLOOKUP(J11,Scores!$A$15:$B$18,2)+Scores!$E$4*VLOOKUP(K11,Scores!$A$15:$B$18,2)</f>
        <v>38</v>
      </c>
      <c r="I12" s="6">
        <f>Scores!$G$4*VLOOKUP(H11,Scores!$A$15:$B$18,2)+Scores!$H$4*VLOOKUP(I11,Scores!$A$15:$B$18,2)+Scores!$I$4*VLOOKUP(J11,Scores!$A$15:$B$18,2)+Scores!$J$4*VLOOKUP(K11,Scores!$A$15:$B$18,2)</f>
        <v>57</v>
      </c>
      <c r="J12" s="6">
        <f>Scores!$L$4*VLOOKUP(H11,Scores!$A$15:$B$18,2)+Scores!$M$4*VLOOKUP(I11,Scores!$A$15:$B$18,2)+Scores!$N$4*VLOOKUP(J11,Scores!$A$15:$B$18,2)+Scores!$O$4*VLOOKUP(K11,Scores!$A$15:$B$18,2)</f>
        <v>0</v>
      </c>
      <c r="K12" s="7"/>
      <c r="L12" s="7"/>
      <c r="M12" s="6">
        <f>Scores!$B$5*VLOOKUP(M11,Scores!$A$15:$B$18,2)+Scores!$C$5*VLOOKUP(N11,Scores!$A$15:$B$18,2)+Scores!$D$5*VLOOKUP(O11,Scores!$A$15:$B$18,2)+Scores!$E$5*VLOOKUP(P11,Scores!$A$15:$B$18,2)</f>
        <v>33</v>
      </c>
      <c r="N12" s="6">
        <f>Scores!$G$5*VLOOKUP(M11,Scores!$A$15:$B$18,2)+Scores!$H$5*VLOOKUP(N11,Scores!$A$15:$B$18,2)+Scores!$I$5*VLOOKUP(O11,Scores!$A$15:$B$18,2)+Scores!$J$5*VLOOKUP(P11,Scores!$A$15:$B$18,2)</f>
        <v>50</v>
      </c>
      <c r="O12" s="6">
        <f>Scores!$L$5*VLOOKUP(M11,Scores!$A$15:$B$18,2)+Scores!$M$5*VLOOKUP(N11,Scores!$A$15:$B$18,2)+Scores!$N$5*VLOOKUP(O11,Scores!$A$15:$B$18,2)+Scores!$O$5*VLOOKUP(P11,Scores!$A$15:$B$18,2)</f>
        <v>0</v>
      </c>
      <c r="P12" s="7"/>
      <c r="Q12" s="7"/>
      <c r="R12" s="6">
        <f>Scores!$B$6*VLOOKUP(R11,Scores!$A$15:$B$18,2)+Scores!$C$6*VLOOKUP(S11,Scores!$A$15:$B$18,2)+Scores!$D$6*VLOOKUP(T11,Scores!$A$15:$B$18,2)+Scores!$E$6*VLOOKUP(U11,Scores!$A$15:$B$18,2)</f>
        <v>62</v>
      </c>
      <c r="S12" s="6">
        <f>Scores!$G$6*VLOOKUP(R11,Scores!$A$15:$B$18,2)+Scores!$H$6*VLOOKUP(S11,Scores!$A$15:$B$18,2)+Scores!$I$6*VLOOKUP(T11,Scores!$A$15:$B$18,2)+Scores!$J$6*VLOOKUP(U11,Scores!$A$15:$B$18,2)</f>
        <v>57</v>
      </c>
      <c r="T12" s="6">
        <f>Scores!$L$6*VLOOKUP(R11,Scores!$A$15:$B$18,2)+Scores!$M$6*VLOOKUP(S11,Scores!$A$15:$B$18,2)+Scores!$N$6*VLOOKUP(T11,Scores!$A$15:$B$18,2)+Scores!$O$6*VLOOKUP(U11,Scores!$A$15:$B$18,2)</f>
        <v>48</v>
      </c>
      <c r="U12" s="7"/>
      <c r="V12" s="7"/>
      <c r="W12" s="6">
        <f>Scores!$B$7*VLOOKUP(W11,Scores!$A$15:$B$18,2)+Scores!$C$7*VLOOKUP(X11,Scores!$A$15:$B$18,2)+Scores!$D$7*VLOOKUP(Y11,Scores!$A$15:$B$18,2)+Scores!$E$7*VLOOKUP(Z11,Scores!$A$15:$B$18,2)</f>
        <v>60</v>
      </c>
      <c r="X12" s="6">
        <f>Scores!$G$7*VLOOKUP(W11,Scores!$A$15:$B$18,2)+Scores!$H$7*VLOOKUP(X11,Scores!$A$15:$B$18,2)+Scores!$I$7*VLOOKUP(Y11,Scores!$A$15:$B$18,2)+Scores!$J$7*VLOOKUP(Z11,Scores!$A$15:$B$18,2)</f>
        <v>60</v>
      </c>
      <c r="Y12" s="6">
        <f>Scores!$L$7*VLOOKUP(W11,Scores!$A$15:$B$18,2)+Scores!$M$7*VLOOKUP(X11,Scores!$A$15:$B$18,2)+Scores!$N$7*VLOOKUP(Y11,Scores!$A$15:$B$18,2)+Scores!$O$7*VLOOKUP(Z11,Scores!$A$15:$B$18,2)</f>
        <v>48</v>
      </c>
      <c r="Z12" s="7"/>
      <c r="AA12" s="7"/>
      <c r="AB12" s="6">
        <f>Scores!$B$8*VLOOKUP(AB11,Scores!$A$15:$B$18,2)+Scores!$C$8*VLOOKUP(AC11,Scores!$A$15:$B$18,2)+Scores!$D$8*VLOOKUP(AD11,Scores!$A$15:$B$18,2)+Scores!$E$8*VLOOKUP(AE11,Scores!$A$15:$B$18,2)</f>
        <v>62</v>
      </c>
      <c r="AC12" s="6">
        <f>Scores!$G$8*VLOOKUP(AB11,Scores!$A$15:$B$18,2)+Scores!$H$8*VLOOKUP(AC11,Scores!$A$15:$B$18,2)+Scores!$I$8*VLOOKUP(AD11,Scores!$A$15:$B$18,2)+Scores!$J$8*VLOOKUP(AE11,Scores!$A$15:$B$18,2)</f>
        <v>60</v>
      </c>
      <c r="AD12" s="6">
        <f>Scores!$L$8*VLOOKUP(AB11,Scores!$A$15:$B$18,2)+Scores!$M$8*VLOOKUP(AC11,Scores!$A$15:$B$18,2)+Scores!$N$8*VLOOKUP(AD11,Scores!$A$15:$B$18,2)+Scores!$O$8*VLOOKUP(AE11,Scores!$A$15:$B$18,2)</f>
        <v>48</v>
      </c>
      <c r="AE12" s="7"/>
      <c r="AF12" s="7"/>
      <c r="AG12" s="6">
        <f>Scores!$B$9*VLOOKUP(AG11,Scores!$A$15:$B$18,2)+Scores!$C$9*VLOOKUP(AH11,Scores!$A$15:$B$18,2)+Scores!$D$9*VLOOKUP(AI11,Scores!$A$15:$B$18,2)+Scores!$E$9*VLOOKUP(AJ11,Scores!$A$15:$B$18,2)</f>
        <v>0</v>
      </c>
      <c r="AH12" s="6">
        <f>Scores!$G$9*VLOOKUP(AG11,Scores!$A$15:$B$18,2)+Scores!$H$9*VLOOKUP(AH11,Scores!$A$15:$B$18,2)+Scores!$I$9*VLOOKUP(AI11,Scores!$A$15:$B$18,2)+Scores!$J$9*VLOOKUP(AJ11,Scores!$A$15:$B$18,2)</f>
        <v>62</v>
      </c>
      <c r="AI12" s="6">
        <f>Scores!$L$9*VLOOKUP(AG11,Scores!$A$15:$B$18,2)+Scores!$M$9*VLOOKUP(AH11,Scores!$A$15:$B$18,2)+Scores!$N$9*VLOOKUP(AI11,Scores!$A$15:$B$18,2)+Scores!$O$9*VLOOKUP(AJ11,Scores!$A$15:$B$18,2)</f>
        <v>0</v>
      </c>
      <c r="AJ12" s="7"/>
      <c r="AK12" s="7"/>
      <c r="AL12" s="6">
        <f>Scores!$B$10*VLOOKUP(AL11,Scores!$A$15:$B$18,2)+Scores!$C$10*VLOOKUP(AM11,Scores!$A$15:$B$18,2)+Scores!$D$10*VLOOKUP(AN11,Scores!$A$15:$B$18,2)+Scores!$E$10*VLOOKUP(AO11,Scores!$A$15:$B$18,2)</f>
        <v>0</v>
      </c>
      <c r="AM12" s="6">
        <f>Scores!$G$10*VLOOKUP(AL11,Scores!$A$15:$B$18,2)+Scores!$H$10*VLOOKUP(AM11,Scores!$A$15:$B$18,2)+Scores!$I$10*VLOOKUP(AN11,Scores!$A$15:$B$18,2)+Scores!$J$10*VLOOKUP(AO11,Scores!$A$15:$B$18,2)</f>
        <v>0</v>
      </c>
      <c r="AN12" s="6">
        <f>Scores!$L$10*VLOOKUP(AL11,Scores!$A$15:$B$18,2)+Scores!$M$10*VLOOKUP(AM11,Scores!$A$15:$B$18,2)+Scores!$N$10*VLOOKUP(AN11,Scores!$A$15:$B$18,2)+Scores!$O$10*VLOOKUP(AO11,Scores!$A$15:$B$18,2)</f>
        <v>0</v>
      </c>
      <c r="AO12" s="7"/>
    </row>
    <row r="13" spans="1:49" x14ac:dyDescent="0.25">
      <c r="A13" t="s">
        <v>41</v>
      </c>
      <c r="B13" t="s">
        <v>26</v>
      </c>
      <c r="C13">
        <v>1</v>
      </c>
      <c r="D13">
        <v>4</v>
      </c>
      <c r="E13">
        <v>3</v>
      </c>
      <c r="F13">
        <v>2</v>
      </c>
      <c r="H13">
        <v>4</v>
      </c>
      <c r="I13">
        <v>1</v>
      </c>
      <c r="J13">
        <v>3</v>
      </c>
      <c r="K13">
        <v>2</v>
      </c>
      <c r="M13">
        <v>2</v>
      </c>
      <c r="N13">
        <v>4</v>
      </c>
      <c r="O13">
        <v>3</v>
      </c>
      <c r="P13">
        <v>1</v>
      </c>
      <c r="R13">
        <v>2</v>
      </c>
      <c r="S13">
        <v>4</v>
      </c>
      <c r="T13">
        <v>1</v>
      </c>
      <c r="U13">
        <v>3</v>
      </c>
      <c r="W13">
        <v>2</v>
      </c>
      <c r="X13">
        <v>3</v>
      </c>
      <c r="Y13">
        <v>1</v>
      </c>
      <c r="Z13">
        <v>4</v>
      </c>
      <c r="AB13">
        <v>1</v>
      </c>
      <c r="AC13">
        <v>2</v>
      </c>
      <c r="AD13">
        <v>4</v>
      </c>
      <c r="AE13">
        <v>3</v>
      </c>
      <c r="AG13">
        <v>2</v>
      </c>
      <c r="AH13">
        <v>4</v>
      </c>
      <c r="AI13">
        <v>3</v>
      </c>
      <c r="AJ13">
        <v>1</v>
      </c>
      <c r="AL13">
        <v>5</v>
      </c>
      <c r="AM13">
        <v>5</v>
      </c>
      <c r="AN13">
        <v>5</v>
      </c>
      <c r="AO13">
        <v>5</v>
      </c>
      <c r="AQ13" s="9">
        <f>((C14+H14+M14+R14+W14)-Scores!$E$15)/(Scores!$I$15-Scores!$E$15)</f>
        <v>0.73275862068965514</v>
      </c>
      <c r="AR13" s="9">
        <f>((D14+I14+N14+S14+X14)-Scores!$E$16)/(Scores!$I$16-Scores!$E$16)</f>
        <v>0.69655172413793098</v>
      </c>
      <c r="AS13" s="9">
        <f>((E14+J14+O14+T14+Y14)-Scores!$E$17)/(Scores!$I$17-Scores!$E$17)</f>
        <v>0.7931034482758621</v>
      </c>
      <c r="AT13" s="9"/>
      <c r="AU13" s="9">
        <f>((AB14+AG14+AL14)-Scores!$F$15)/(Scores!$J$15-Scores!$F$15)</f>
        <v>1</v>
      </c>
      <c r="AV13" s="9">
        <f>((AC14+AH14+AM14)-Scores!$F$16)/(Scores!$J$16-Scores!$F$16)</f>
        <v>0.93103448275862066</v>
      </c>
      <c r="AW13" s="9">
        <f>((AD14+AI14+AN14)-Scores!$F$17)/(Scores!$J$17-Scores!$F$17)</f>
        <v>0.51724137931034486</v>
      </c>
    </row>
    <row r="14" spans="1:49" s="5" customFormat="1" ht="11.25" x14ac:dyDescent="0.2">
      <c r="C14" s="6">
        <f>Scores!$B$3*VLOOKUP(C13,Scores!$A$15:$B$18,2)+Scores!$C$3*VLOOKUP(D13,Scores!$A$15:$B$18,2)+Scores!$D$3*VLOOKUP(E13,Scores!$A$15:$B$18,2)+Scores!$E$3*VLOOKUP(F13,Scores!$A$15:$B$18,2)</f>
        <v>0</v>
      </c>
      <c r="D14" s="6">
        <f>Scores!$G$3*VLOOKUP(C13,Scores!$A$15:$B$18,2)+Scores!$H$3*VLOOKUP(D13,Scores!$A$15:$B$18,2)+Scores!$I$3*VLOOKUP(E13,Scores!$A$15:$B$18,2)+Scores!$J$3*VLOOKUP(F13,Scores!$A$15:$B$18,2)</f>
        <v>62</v>
      </c>
      <c r="E14" s="6">
        <f>Scores!$L$3*VLOOKUP(C13,Scores!$A$15:$B$18,2)+Scores!$M$3*VLOOKUP(D13,Scores!$A$15:$B$18,2)+Scores!$N$3*VLOOKUP(E13,Scores!$A$15:$B$18,2)+Scores!$O$3*VLOOKUP(F13,Scores!$A$15:$B$18,2)</f>
        <v>0</v>
      </c>
      <c r="F14" s="7"/>
      <c r="G14" s="7"/>
      <c r="H14" s="6">
        <f>Scores!$B$4*VLOOKUP(H13,Scores!$A$15:$B$18,2)+Scores!$C$4*VLOOKUP(I13,Scores!$A$15:$B$18,2)+Scores!$D$4*VLOOKUP(J13,Scores!$A$15:$B$18,2)+Scores!$E$4*VLOOKUP(K13,Scores!$A$15:$B$18,2)</f>
        <v>60</v>
      </c>
      <c r="I14" s="6">
        <f>Scores!$G$4*VLOOKUP(H13,Scores!$A$15:$B$18,2)+Scores!$H$4*VLOOKUP(I13,Scores!$A$15:$B$18,2)+Scores!$I$4*VLOOKUP(J13,Scores!$A$15:$B$18,2)+Scores!$J$4*VLOOKUP(K13,Scores!$A$15:$B$18,2)</f>
        <v>35</v>
      </c>
      <c r="J14" s="6">
        <f>Scores!$L$4*VLOOKUP(H13,Scores!$A$15:$B$18,2)+Scores!$M$4*VLOOKUP(I13,Scores!$A$15:$B$18,2)+Scores!$N$4*VLOOKUP(J13,Scores!$A$15:$B$18,2)+Scores!$O$4*VLOOKUP(K13,Scores!$A$15:$B$18,2)</f>
        <v>0</v>
      </c>
      <c r="K14" s="7"/>
      <c r="L14" s="7"/>
      <c r="M14" s="6">
        <f>Scores!$B$5*VLOOKUP(M13,Scores!$A$15:$B$18,2)+Scores!$C$5*VLOOKUP(N13,Scores!$A$15:$B$18,2)+Scores!$D$5*VLOOKUP(O13,Scores!$A$15:$B$18,2)+Scores!$E$5*VLOOKUP(P13,Scores!$A$15:$B$18,2)</f>
        <v>47</v>
      </c>
      <c r="N14" s="6">
        <f>Scores!$G$5*VLOOKUP(M13,Scores!$A$15:$B$18,2)+Scores!$H$5*VLOOKUP(N13,Scores!$A$15:$B$18,2)+Scores!$I$5*VLOOKUP(O13,Scores!$A$15:$B$18,2)+Scores!$J$5*VLOOKUP(P13,Scores!$A$15:$B$18,2)</f>
        <v>57</v>
      </c>
      <c r="O14" s="6">
        <f>Scores!$L$5*VLOOKUP(M13,Scores!$A$15:$B$18,2)+Scores!$M$5*VLOOKUP(N13,Scores!$A$15:$B$18,2)+Scores!$N$5*VLOOKUP(O13,Scores!$A$15:$B$18,2)+Scores!$O$5*VLOOKUP(P13,Scores!$A$15:$B$18,2)</f>
        <v>0</v>
      </c>
      <c r="P14" s="7"/>
      <c r="Q14" s="7"/>
      <c r="R14" s="6">
        <f>Scores!$B$6*VLOOKUP(R13,Scores!$A$15:$B$18,2)+Scores!$C$6*VLOOKUP(S13,Scores!$A$15:$B$18,2)+Scores!$D$6*VLOOKUP(T13,Scores!$A$15:$B$18,2)+Scores!$E$6*VLOOKUP(U13,Scores!$A$15:$B$18,2)</f>
        <v>48</v>
      </c>
      <c r="S14" s="6">
        <f>Scores!$G$6*VLOOKUP(R13,Scores!$A$15:$B$18,2)+Scores!$H$6*VLOOKUP(S13,Scores!$A$15:$B$18,2)+Scores!$I$6*VLOOKUP(T13,Scores!$A$15:$B$18,2)+Scores!$J$6*VLOOKUP(U13,Scores!$A$15:$B$18,2)</f>
        <v>50</v>
      </c>
      <c r="T14" s="6">
        <f>Scores!$L$6*VLOOKUP(R13,Scores!$A$15:$B$18,2)+Scores!$M$6*VLOOKUP(S13,Scores!$A$15:$B$18,2)+Scores!$N$6*VLOOKUP(T13,Scores!$A$15:$B$18,2)+Scores!$O$6*VLOOKUP(U13,Scores!$A$15:$B$18,2)</f>
        <v>62</v>
      </c>
      <c r="U14" s="7"/>
      <c r="V14" s="7"/>
      <c r="W14" s="6">
        <f>Scores!$B$7*VLOOKUP(W13,Scores!$A$15:$B$18,2)+Scores!$C$7*VLOOKUP(X13,Scores!$A$15:$B$18,2)+Scores!$D$7*VLOOKUP(Y13,Scores!$A$15:$B$18,2)+Scores!$E$7*VLOOKUP(Z13,Scores!$A$15:$B$18,2)</f>
        <v>62</v>
      </c>
      <c r="X14" s="6">
        <f>Scores!$G$7*VLOOKUP(W13,Scores!$A$15:$B$18,2)+Scores!$H$7*VLOOKUP(X13,Scores!$A$15:$B$18,2)+Scores!$I$7*VLOOKUP(Y13,Scores!$A$15:$B$18,2)+Scores!$J$7*VLOOKUP(Z13,Scores!$A$15:$B$18,2)</f>
        <v>62</v>
      </c>
      <c r="Y14" s="6">
        <f>Scores!$L$7*VLOOKUP(W13,Scores!$A$15:$B$18,2)+Scores!$M$7*VLOOKUP(X13,Scores!$A$15:$B$18,2)+Scores!$N$7*VLOOKUP(Y13,Scores!$A$15:$B$18,2)+Scores!$O$7*VLOOKUP(Z13,Scores!$A$15:$B$18,2)</f>
        <v>50</v>
      </c>
      <c r="Z14" s="7"/>
      <c r="AA14" s="7"/>
      <c r="AB14" s="6">
        <f>Scores!$B$8*VLOOKUP(AB13,Scores!$A$15:$B$18,2)+Scores!$C$8*VLOOKUP(AC13,Scores!$A$15:$B$18,2)+Scores!$D$8*VLOOKUP(AD13,Scores!$A$15:$B$18,2)+Scores!$E$8*VLOOKUP(AE13,Scores!$A$15:$B$18,2)</f>
        <v>62</v>
      </c>
      <c r="AC14" s="6">
        <f>Scores!$G$8*VLOOKUP(AB13,Scores!$A$15:$B$18,2)+Scores!$H$8*VLOOKUP(AC13,Scores!$A$15:$B$18,2)+Scores!$I$8*VLOOKUP(AD13,Scores!$A$15:$B$18,2)+Scores!$J$8*VLOOKUP(AE13,Scores!$A$15:$B$18,2)</f>
        <v>60</v>
      </c>
      <c r="AD14" s="6">
        <f>Scores!$L$8*VLOOKUP(AB13,Scores!$A$15:$B$18,2)+Scores!$M$8*VLOOKUP(AC13,Scores!$A$15:$B$18,2)+Scores!$N$8*VLOOKUP(AD13,Scores!$A$15:$B$18,2)+Scores!$O$8*VLOOKUP(AE13,Scores!$A$15:$B$18,2)</f>
        <v>48</v>
      </c>
      <c r="AE14" s="7"/>
      <c r="AF14" s="7"/>
      <c r="AG14" s="6">
        <f>Scores!$B$9*VLOOKUP(AG13,Scores!$A$15:$B$18,2)+Scores!$C$9*VLOOKUP(AH13,Scores!$A$15:$B$18,2)+Scores!$D$9*VLOOKUP(AI13,Scores!$A$15:$B$18,2)+Scores!$E$9*VLOOKUP(AJ13,Scores!$A$15:$B$18,2)</f>
        <v>0</v>
      </c>
      <c r="AH14" s="6">
        <f>Scores!$G$9*VLOOKUP(AG13,Scores!$A$15:$B$18,2)+Scores!$H$9*VLOOKUP(AH13,Scores!$A$15:$B$18,2)+Scores!$I$9*VLOOKUP(AI13,Scores!$A$15:$B$18,2)+Scores!$J$9*VLOOKUP(AJ13,Scores!$A$15:$B$18,2)</f>
        <v>60</v>
      </c>
      <c r="AI14" s="6">
        <f>Scores!$L$9*VLOOKUP(AG13,Scores!$A$15:$B$18,2)+Scores!$M$9*VLOOKUP(AH13,Scores!$A$15:$B$18,2)+Scores!$N$9*VLOOKUP(AI13,Scores!$A$15:$B$18,2)+Scores!$O$9*VLOOKUP(AJ13,Scores!$A$15:$B$18,2)</f>
        <v>0</v>
      </c>
      <c r="AJ14" s="7"/>
      <c r="AK14" s="7"/>
      <c r="AL14" s="6">
        <f>Scores!$B$10*VLOOKUP(AL13,Scores!$A$15:$B$18,2)+Scores!$C$10*VLOOKUP(AM13,Scores!$A$15:$B$18,2)+Scores!$D$10*VLOOKUP(AN13,Scores!$A$15:$B$18,2)+Scores!$E$10*VLOOKUP(AO13,Scores!$A$15:$B$18,2)</f>
        <v>0</v>
      </c>
      <c r="AM14" s="6">
        <f>Scores!$G$10*VLOOKUP(AL13,Scores!$A$15:$B$18,2)+Scores!$H$10*VLOOKUP(AM13,Scores!$A$15:$B$18,2)+Scores!$I$10*VLOOKUP(AN13,Scores!$A$15:$B$18,2)+Scores!$J$10*VLOOKUP(AO13,Scores!$A$15:$B$18,2)</f>
        <v>0</v>
      </c>
      <c r="AN14" s="6">
        <f>Scores!$L$10*VLOOKUP(AL13,Scores!$A$15:$B$18,2)+Scores!$M$10*VLOOKUP(AM13,Scores!$A$15:$B$18,2)+Scores!$N$10*VLOOKUP(AN13,Scores!$A$15:$B$18,2)+Scores!$O$10*VLOOKUP(AO13,Scores!$A$15:$B$18,2)</f>
        <v>0</v>
      </c>
      <c r="AO14" s="7"/>
    </row>
    <row r="15" spans="1:49" x14ac:dyDescent="0.25">
      <c r="A15" t="s">
        <v>42</v>
      </c>
      <c r="B15" t="s">
        <v>15</v>
      </c>
      <c r="C15">
        <v>1</v>
      </c>
      <c r="D15">
        <v>4</v>
      </c>
      <c r="E15">
        <v>3</v>
      </c>
      <c r="F15">
        <v>2</v>
      </c>
      <c r="H15">
        <v>2</v>
      </c>
      <c r="I15">
        <v>3</v>
      </c>
      <c r="J15">
        <v>4</v>
      </c>
      <c r="K15">
        <v>1</v>
      </c>
      <c r="M15">
        <v>2</v>
      </c>
      <c r="N15">
        <v>3</v>
      </c>
      <c r="O15">
        <v>4</v>
      </c>
      <c r="P15">
        <v>1</v>
      </c>
      <c r="R15">
        <v>2</v>
      </c>
      <c r="S15">
        <v>3</v>
      </c>
      <c r="T15">
        <v>1</v>
      </c>
      <c r="U15">
        <v>4</v>
      </c>
      <c r="W15">
        <v>2</v>
      </c>
      <c r="X15">
        <v>3</v>
      </c>
      <c r="Y15">
        <v>1</v>
      </c>
      <c r="Z15">
        <v>4</v>
      </c>
      <c r="AB15">
        <v>2</v>
      </c>
      <c r="AC15">
        <v>3</v>
      </c>
      <c r="AD15">
        <v>4</v>
      </c>
      <c r="AE15">
        <v>1</v>
      </c>
      <c r="AG15">
        <v>3</v>
      </c>
      <c r="AH15">
        <v>4</v>
      </c>
      <c r="AI15">
        <v>2</v>
      </c>
      <c r="AJ15">
        <v>1</v>
      </c>
      <c r="AL15">
        <v>2</v>
      </c>
      <c r="AM15">
        <v>1</v>
      </c>
      <c r="AN15">
        <v>3</v>
      </c>
      <c r="AO15">
        <v>4</v>
      </c>
      <c r="AQ15" s="9">
        <f>((C16+H16+M16+R16+W16)-Scores!$E$15)/(Scores!$I$15-Scores!$E$15)</f>
        <v>0.56034482758620685</v>
      </c>
      <c r="AR15" s="9">
        <f>((D16+I16+N16+S16+X16)-Scores!$E$16)/(Scores!$I$16-Scores!$E$16)</f>
        <v>0.7931034482758621</v>
      </c>
      <c r="AS15" s="9">
        <f>((E16+J16+O16+T16+Y16)-Scores!$E$17)/(Scores!$I$17-Scores!$E$17)</f>
        <v>0.75862068965517238</v>
      </c>
      <c r="AT15" s="9"/>
      <c r="AU15" s="9">
        <f>((AB16+AG16+AL16)-Scores!$F$15)/(Scores!$J$15-Scores!$F$15)</f>
        <v>0.58620689655172409</v>
      </c>
      <c r="AV15" s="9">
        <f>((AC16+AH16+AM16)-Scores!$F$16)/(Scores!$J$16-Scores!$F$16)</f>
        <v>0.91379310344827591</v>
      </c>
      <c r="AW15" s="9">
        <f>((AD16+AI16+AN16)-Scores!$F$17)/(Scores!$J$17-Scores!$F$17)</f>
        <v>0.93103448275862066</v>
      </c>
    </row>
    <row r="16" spans="1:49" s="5" customFormat="1" ht="11.25" x14ac:dyDescent="0.2">
      <c r="C16" s="6">
        <f>Scores!$B$3*VLOOKUP(C15,Scores!$A$15:$B$18,2)+Scores!$C$3*VLOOKUP(D15,Scores!$A$15:$B$18,2)+Scores!$D$3*VLOOKUP(E15,Scores!$A$15:$B$18,2)+Scores!$E$3*VLOOKUP(F15,Scores!$A$15:$B$18,2)</f>
        <v>0</v>
      </c>
      <c r="D16" s="6">
        <f>Scores!$G$3*VLOOKUP(C15,Scores!$A$15:$B$18,2)+Scores!$H$3*VLOOKUP(D15,Scores!$A$15:$B$18,2)+Scores!$I$3*VLOOKUP(E15,Scores!$A$15:$B$18,2)+Scores!$J$3*VLOOKUP(F15,Scores!$A$15:$B$18,2)</f>
        <v>62</v>
      </c>
      <c r="E16" s="6">
        <f>Scores!$L$3*VLOOKUP(C15,Scores!$A$15:$B$18,2)+Scores!$M$3*VLOOKUP(D15,Scores!$A$15:$B$18,2)+Scores!$N$3*VLOOKUP(E15,Scores!$A$15:$B$18,2)+Scores!$O$3*VLOOKUP(F15,Scores!$A$15:$B$18,2)</f>
        <v>0</v>
      </c>
      <c r="F16" s="7"/>
      <c r="G16" s="7"/>
      <c r="H16" s="6">
        <f>Scores!$B$4*VLOOKUP(H15,Scores!$A$15:$B$18,2)+Scores!$C$4*VLOOKUP(I15,Scores!$A$15:$B$18,2)+Scores!$D$4*VLOOKUP(J15,Scores!$A$15:$B$18,2)+Scores!$E$4*VLOOKUP(K15,Scores!$A$15:$B$18,2)</f>
        <v>40</v>
      </c>
      <c r="I16" s="6">
        <f>Scores!$G$4*VLOOKUP(H15,Scores!$A$15:$B$18,2)+Scores!$H$4*VLOOKUP(I15,Scores!$A$15:$B$18,2)+Scores!$I$4*VLOOKUP(J15,Scores!$A$15:$B$18,2)+Scores!$J$4*VLOOKUP(K15,Scores!$A$15:$B$18,2)</f>
        <v>55</v>
      </c>
      <c r="J16" s="6">
        <f>Scores!$L$4*VLOOKUP(H15,Scores!$A$15:$B$18,2)+Scores!$M$4*VLOOKUP(I15,Scores!$A$15:$B$18,2)+Scores!$N$4*VLOOKUP(J15,Scores!$A$15:$B$18,2)+Scores!$O$4*VLOOKUP(K15,Scores!$A$15:$B$18,2)</f>
        <v>0</v>
      </c>
      <c r="K16" s="7"/>
      <c r="L16" s="7"/>
      <c r="M16" s="6">
        <f>Scores!$B$5*VLOOKUP(M15,Scores!$A$15:$B$18,2)+Scores!$C$5*VLOOKUP(N15,Scores!$A$15:$B$18,2)+Scores!$D$5*VLOOKUP(O15,Scores!$A$15:$B$18,2)+Scores!$E$5*VLOOKUP(P15,Scores!$A$15:$B$18,2)</f>
        <v>53</v>
      </c>
      <c r="N16" s="6">
        <f>Scores!$G$5*VLOOKUP(M15,Scores!$A$15:$B$18,2)+Scores!$H$5*VLOOKUP(N15,Scores!$A$15:$B$18,2)+Scores!$I$5*VLOOKUP(O15,Scores!$A$15:$B$18,2)+Scores!$J$5*VLOOKUP(P15,Scores!$A$15:$B$18,2)</f>
        <v>55</v>
      </c>
      <c r="O16" s="6">
        <f>Scores!$L$5*VLOOKUP(M15,Scores!$A$15:$B$18,2)+Scores!$M$5*VLOOKUP(N15,Scores!$A$15:$B$18,2)+Scores!$N$5*VLOOKUP(O15,Scores!$A$15:$B$18,2)+Scores!$O$5*VLOOKUP(P15,Scores!$A$15:$B$18,2)</f>
        <v>0</v>
      </c>
      <c r="P16" s="7"/>
      <c r="Q16" s="7"/>
      <c r="R16" s="6">
        <f>Scores!$B$6*VLOOKUP(R15,Scores!$A$15:$B$18,2)+Scores!$C$6*VLOOKUP(S15,Scores!$A$15:$B$18,2)+Scores!$D$6*VLOOKUP(T15,Scores!$A$15:$B$18,2)+Scores!$E$6*VLOOKUP(U15,Scores!$A$15:$B$18,2)</f>
        <v>42</v>
      </c>
      <c r="S16" s="6">
        <f>Scores!$G$6*VLOOKUP(R15,Scores!$A$15:$B$18,2)+Scores!$H$6*VLOOKUP(S15,Scores!$A$15:$B$18,2)+Scores!$I$6*VLOOKUP(T15,Scores!$A$15:$B$18,2)+Scores!$J$6*VLOOKUP(U15,Scores!$A$15:$B$18,2)</f>
        <v>46</v>
      </c>
      <c r="T16" s="6">
        <f>Scores!$L$6*VLOOKUP(R15,Scores!$A$15:$B$18,2)+Scores!$M$6*VLOOKUP(S15,Scores!$A$15:$B$18,2)+Scores!$N$6*VLOOKUP(T15,Scores!$A$15:$B$18,2)+Scores!$O$6*VLOOKUP(U15,Scores!$A$15:$B$18,2)</f>
        <v>60</v>
      </c>
      <c r="U16" s="7"/>
      <c r="V16" s="7"/>
      <c r="W16" s="6">
        <f>Scores!$B$7*VLOOKUP(W15,Scores!$A$15:$B$18,2)+Scores!$C$7*VLOOKUP(X15,Scores!$A$15:$B$18,2)+Scores!$D$7*VLOOKUP(Y15,Scores!$A$15:$B$18,2)+Scores!$E$7*VLOOKUP(Z15,Scores!$A$15:$B$18,2)</f>
        <v>62</v>
      </c>
      <c r="X16" s="6">
        <f>Scores!$G$7*VLOOKUP(W15,Scores!$A$15:$B$18,2)+Scores!$H$7*VLOOKUP(X15,Scores!$A$15:$B$18,2)+Scores!$I$7*VLOOKUP(Y15,Scores!$A$15:$B$18,2)+Scores!$J$7*VLOOKUP(Z15,Scores!$A$15:$B$18,2)</f>
        <v>62</v>
      </c>
      <c r="Y16" s="6">
        <f>Scores!$L$7*VLOOKUP(W15,Scores!$A$15:$B$18,2)+Scores!$M$7*VLOOKUP(X15,Scores!$A$15:$B$18,2)+Scores!$N$7*VLOOKUP(Y15,Scores!$A$15:$B$18,2)+Scores!$O$7*VLOOKUP(Z15,Scores!$A$15:$B$18,2)</f>
        <v>50</v>
      </c>
      <c r="Z16" s="7"/>
      <c r="AA16" s="7"/>
      <c r="AB16" s="6">
        <f>Scores!$B$8*VLOOKUP(AB15,Scores!$A$15:$B$18,2)+Scores!$C$8*VLOOKUP(AC15,Scores!$A$15:$B$18,2)+Scores!$D$8*VLOOKUP(AD15,Scores!$A$15:$B$18,2)+Scores!$E$8*VLOOKUP(AE15,Scores!$A$15:$B$18,2)</f>
        <v>50</v>
      </c>
      <c r="AC16" s="6">
        <f>Scores!$G$8*VLOOKUP(AB15,Scores!$A$15:$B$18,2)+Scores!$H$8*VLOOKUP(AC15,Scores!$A$15:$B$18,2)+Scores!$I$8*VLOOKUP(AD15,Scores!$A$15:$B$18,2)+Scores!$J$8*VLOOKUP(AE15,Scores!$A$15:$B$18,2)</f>
        <v>57</v>
      </c>
      <c r="AD16" s="6">
        <f>Scores!$L$8*VLOOKUP(AB15,Scores!$A$15:$B$18,2)+Scores!$M$8*VLOOKUP(AC15,Scores!$A$15:$B$18,2)+Scores!$N$8*VLOOKUP(AD15,Scores!$A$15:$B$18,2)+Scores!$O$8*VLOOKUP(AE15,Scores!$A$15:$B$18,2)</f>
        <v>60</v>
      </c>
      <c r="AE16" s="7"/>
      <c r="AF16" s="7"/>
      <c r="AG16" s="6">
        <f>Scores!$B$9*VLOOKUP(AG15,Scores!$A$15:$B$18,2)+Scores!$C$9*VLOOKUP(AH15,Scores!$A$15:$B$18,2)+Scores!$D$9*VLOOKUP(AI15,Scores!$A$15:$B$18,2)+Scores!$E$9*VLOOKUP(AJ15,Scores!$A$15:$B$18,2)</f>
        <v>0</v>
      </c>
      <c r="AH16" s="6">
        <f>Scores!$G$9*VLOOKUP(AG15,Scores!$A$15:$B$18,2)+Scores!$H$9*VLOOKUP(AH15,Scores!$A$15:$B$18,2)+Scores!$I$9*VLOOKUP(AI15,Scores!$A$15:$B$18,2)+Scores!$J$9*VLOOKUP(AJ15,Scores!$A$15:$B$18,2)</f>
        <v>62</v>
      </c>
      <c r="AI16" s="6">
        <f>Scores!$L$9*VLOOKUP(AG15,Scores!$A$15:$B$18,2)+Scores!$M$9*VLOOKUP(AH15,Scores!$A$15:$B$18,2)+Scores!$N$9*VLOOKUP(AI15,Scores!$A$15:$B$18,2)+Scores!$O$9*VLOOKUP(AJ15,Scores!$A$15:$B$18,2)</f>
        <v>0</v>
      </c>
      <c r="AJ16" s="7"/>
      <c r="AK16" s="7"/>
      <c r="AL16" s="6">
        <f>Scores!$B$10*VLOOKUP(AL15,Scores!$A$15:$B$18,2)+Scores!$C$10*VLOOKUP(AM15,Scores!$A$15:$B$18,2)+Scores!$D$10*VLOOKUP(AN15,Scores!$A$15:$B$18,2)+Scores!$E$10*VLOOKUP(AO15,Scores!$A$15:$B$18,2)</f>
        <v>0</v>
      </c>
      <c r="AM16" s="6">
        <f>Scores!$G$10*VLOOKUP(AL15,Scores!$A$15:$B$18,2)+Scores!$H$10*VLOOKUP(AM15,Scores!$A$15:$B$18,2)+Scores!$I$10*VLOOKUP(AN15,Scores!$A$15:$B$18,2)+Scores!$J$10*VLOOKUP(AO15,Scores!$A$15:$B$18,2)</f>
        <v>0</v>
      </c>
      <c r="AN16" s="6">
        <f>Scores!$L$10*VLOOKUP(AL15,Scores!$A$15:$B$18,2)+Scores!$M$10*VLOOKUP(AM15,Scores!$A$15:$B$18,2)+Scores!$N$10*VLOOKUP(AN15,Scores!$A$15:$B$18,2)+Scores!$O$10*VLOOKUP(AO15,Scores!$A$15:$B$18,2)</f>
        <v>0</v>
      </c>
      <c r="AO16" s="7"/>
    </row>
    <row r="17" spans="1:49" x14ac:dyDescent="0.25">
      <c r="A17" t="s">
        <v>44</v>
      </c>
      <c r="B17" t="s">
        <v>43</v>
      </c>
      <c r="C17">
        <v>1</v>
      </c>
      <c r="D17">
        <v>4</v>
      </c>
      <c r="E17">
        <v>3</v>
      </c>
      <c r="F17">
        <v>2</v>
      </c>
      <c r="H17">
        <v>1</v>
      </c>
      <c r="I17">
        <v>4</v>
      </c>
      <c r="J17">
        <v>3</v>
      </c>
      <c r="K17">
        <v>2</v>
      </c>
      <c r="M17">
        <v>1</v>
      </c>
      <c r="N17">
        <v>4</v>
      </c>
      <c r="O17">
        <v>3</v>
      </c>
      <c r="P17">
        <v>2</v>
      </c>
      <c r="R17">
        <v>1</v>
      </c>
      <c r="S17">
        <v>4</v>
      </c>
      <c r="T17">
        <v>3</v>
      </c>
      <c r="U17">
        <v>2</v>
      </c>
      <c r="W17">
        <v>2</v>
      </c>
      <c r="X17">
        <v>3</v>
      </c>
      <c r="Y17">
        <v>1</v>
      </c>
      <c r="Z17">
        <v>4</v>
      </c>
      <c r="AB17">
        <v>1</v>
      </c>
      <c r="AC17">
        <v>3</v>
      </c>
      <c r="AD17">
        <v>4</v>
      </c>
      <c r="AE17">
        <v>2</v>
      </c>
      <c r="AG17">
        <v>2</v>
      </c>
      <c r="AH17">
        <v>4</v>
      </c>
      <c r="AI17">
        <v>3</v>
      </c>
      <c r="AJ17">
        <v>1</v>
      </c>
      <c r="AL17">
        <v>2</v>
      </c>
      <c r="AM17">
        <v>1</v>
      </c>
      <c r="AN17">
        <v>3</v>
      </c>
      <c r="AO17">
        <v>4</v>
      </c>
      <c r="AQ17" s="9">
        <f>((C18+H18+M18+R18+W18)-Scores!$E$15)/(Scores!$I$15-Scores!$E$15)</f>
        <v>0.53448275862068961</v>
      </c>
      <c r="AR17" s="9">
        <f>((D18+I18+N18+S18+X18)-Scores!$E$16)/(Scores!$I$16-Scores!$E$16)</f>
        <v>1</v>
      </c>
      <c r="AS17" s="9">
        <f>((E18+J18+O18+T18+Y18)-Scores!$E$17)/(Scores!$I$17-Scores!$E$17)</f>
        <v>0.63793103448275867</v>
      </c>
      <c r="AT17" s="9"/>
      <c r="AU17" s="9">
        <f>((AB18+AG18+AL18)-Scores!$F$15)/(Scores!$J$15-Scores!$F$15)</f>
        <v>0.93103448275862066</v>
      </c>
      <c r="AV17" s="9">
        <f>((AC18+AH18+AM18)-Scores!$F$16)/(Scores!$J$16-Scores!$F$16)</f>
        <v>0.96551724137931039</v>
      </c>
      <c r="AW17" s="9">
        <f>((AD18+AI18+AN18)-Scores!$F$17)/(Scores!$J$17-Scores!$F$17)</f>
        <v>0.58620689655172409</v>
      </c>
    </row>
    <row r="18" spans="1:49" s="5" customFormat="1" ht="11.25" x14ac:dyDescent="0.2">
      <c r="C18" s="6">
        <f>Scores!$B$3*VLOOKUP(C17,Scores!$A$15:$B$18,2)+Scores!$C$3*VLOOKUP(D17,Scores!$A$15:$B$18,2)+Scores!$D$3*VLOOKUP(E17,Scores!$A$15:$B$18,2)+Scores!$E$3*VLOOKUP(F17,Scores!$A$15:$B$18,2)</f>
        <v>0</v>
      </c>
      <c r="D18" s="6">
        <f>Scores!$G$3*VLOOKUP(C17,Scores!$A$15:$B$18,2)+Scores!$H$3*VLOOKUP(D17,Scores!$A$15:$B$18,2)+Scores!$I$3*VLOOKUP(E17,Scores!$A$15:$B$18,2)+Scores!$J$3*VLOOKUP(F17,Scores!$A$15:$B$18,2)</f>
        <v>62</v>
      </c>
      <c r="E18" s="6">
        <f>Scores!$L$3*VLOOKUP(C17,Scores!$A$15:$B$18,2)+Scores!$M$3*VLOOKUP(D17,Scores!$A$15:$B$18,2)+Scores!$N$3*VLOOKUP(E17,Scores!$A$15:$B$18,2)+Scores!$O$3*VLOOKUP(F17,Scores!$A$15:$B$18,2)</f>
        <v>0</v>
      </c>
      <c r="F18" s="7"/>
      <c r="G18" s="7"/>
      <c r="H18" s="6">
        <f>Scores!$B$4*VLOOKUP(H17,Scores!$A$15:$B$18,2)+Scores!$C$4*VLOOKUP(I17,Scores!$A$15:$B$18,2)+Scores!$D$4*VLOOKUP(J17,Scores!$A$15:$B$18,2)+Scores!$E$4*VLOOKUP(K17,Scores!$A$15:$B$18,2)</f>
        <v>33</v>
      </c>
      <c r="I18" s="6">
        <f>Scores!$G$4*VLOOKUP(H17,Scores!$A$15:$B$18,2)+Scores!$H$4*VLOOKUP(I17,Scores!$A$15:$B$18,2)+Scores!$I$4*VLOOKUP(J17,Scores!$A$15:$B$18,2)+Scores!$J$4*VLOOKUP(K17,Scores!$A$15:$B$18,2)</f>
        <v>62</v>
      </c>
      <c r="J18" s="6">
        <f>Scores!$L$4*VLOOKUP(H17,Scores!$A$15:$B$18,2)+Scores!$M$4*VLOOKUP(I17,Scores!$A$15:$B$18,2)+Scores!$N$4*VLOOKUP(J17,Scores!$A$15:$B$18,2)+Scores!$O$4*VLOOKUP(K17,Scores!$A$15:$B$18,2)</f>
        <v>0</v>
      </c>
      <c r="K18" s="7"/>
      <c r="L18" s="7"/>
      <c r="M18" s="6">
        <f>Scores!$B$5*VLOOKUP(M17,Scores!$A$15:$B$18,2)+Scores!$C$5*VLOOKUP(N17,Scores!$A$15:$B$18,2)+Scores!$D$5*VLOOKUP(O17,Scores!$A$15:$B$18,2)+Scores!$E$5*VLOOKUP(P17,Scores!$A$15:$B$18,2)</f>
        <v>42</v>
      </c>
      <c r="N18" s="6">
        <f>Scores!$G$5*VLOOKUP(M17,Scores!$A$15:$B$18,2)+Scores!$H$5*VLOOKUP(N17,Scores!$A$15:$B$18,2)+Scores!$I$5*VLOOKUP(O17,Scores!$A$15:$B$18,2)+Scores!$J$5*VLOOKUP(P17,Scores!$A$15:$B$18,2)</f>
        <v>62</v>
      </c>
      <c r="O18" s="6">
        <f>Scores!$L$5*VLOOKUP(M17,Scores!$A$15:$B$18,2)+Scores!$M$5*VLOOKUP(N17,Scores!$A$15:$B$18,2)+Scores!$N$5*VLOOKUP(O17,Scores!$A$15:$B$18,2)+Scores!$O$5*VLOOKUP(P17,Scores!$A$15:$B$18,2)</f>
        <v>0</v>
      </c>
      <c r="P18" s="7"/>
      <c r="Q18" s="7"/>
      <c r="R18" s="6">
        <f>Scores!$B$6*VLOOKUP(R17,Scores!$A$15:$B$18,2)+Scores!$C$6*VLOOKUP(S17,Scores!$A$15:$B$18,2)+Scores!$D$6*VLOOKUP(T17,Scores!$A$15:$B$18,2)+Scores!$E$6*VLOOKUP(U17,Scores!$A$15:$B$18,2)</f>
        <v>57</v>
      </c>
      <c r="S18" s="6">
        <f>Scores!$G$6*VLOOKUP(R17,Scores!$A$15:$B$18,2)+Scores!$H$6*VLOOKUP(S17,Scores!$A$15:$B$18,2)+Scores!$I$6*VLOOKUP(T17,Scores!$A$15:$B$18,2)+Scores!$J$6*VLOOKUP(U17,Scores!$A$15:$B$18,2)</f>
        <v>62</v>
      </c>
      <c r="T18" s="6">
        <f>Scores!$L$6*VLOOKUP(R17,Scores!$A$15:$B$18,2)+Scores!$M$6*VLOOKUP(S17,Scores!$A$15:$B$18,2)+Scores!$N$6*VLOOKUP(T17,Scores!$A$15:$B$18,2)+Scores!$O$6*VLOOKUP(U17,Scores!$A$15:$B$18,2)</f>
        <v>53</v>
      </c>
      <c r="U18" s="7"/>
      <c r="V18" s="7"/>
      <c r="W18" s="6">
        <f>Scores!$B$7*VLOOKUP(W17,Scores!$A$15:$B$18,2)+Scores!$C$7*VLOOKUP(X17,Scores!$A$15:$B$18,2)+Scores!$D$7*VLOOKUP(Y17,Scores!$A$15:$B$18,2)+Scores!$E$7*VLOOKUP(Z17,Scores!$A$15:$B$18,2)</f>
        <v>62</v>
      </c>
      <c r="X18" s="6">
        <f>Scores!$G$7*VLOOKUP(W17,Scores!$A$15:$B$18,2)+Scores!$H$7*VLOOKUP(X17,Scores!$A$15:$B$18,2)+Scores!$I$7*VLOOKUP(Y17,Scores!$A$15:$B$18,2)+Scores!$J$7*VLOOKUP(Z17,Scores!$A$15:$B$18,2)</f>
        <v>62</v>
      </c>
      <c r="Y18" s="6">
        <f>Scores!$L$7*VLOOKUP(W17,Scores!$A$15:$B$18,2)+Scores!$M$7*VLOOKUP(X17,Scores!$A$15:$B$18,2)+Scores!$N$7*VLOOKUP(Y17,Scores!$A$15:$B$18,2)+Scores!$O$7*VLOOKUP(Z17,Scores!$A$15:$B$18,2)</f>
        <v>50</v>
      </c>
      <c r="Z18" s="7"/>
      <c r="AA18" s="7"/>
      <c r="AB18" s="6">
        <f>Scores!$B$8*VLOOKUP(AB17,Scores!$A$15:$B$18,2)+Scores!$C$8*VLOOKUP(AC17,Scores!$A$15:$B$18,2)+Scores!$D$8*VLOOKUP(AD17,Scores!$A$15:$B$18,2)+Scores!$E$8*VLOOKUP(AE17,Scores!$A$15:$B$18,2)</f>
        <v>60</v>
      </c>
      <c r="AC18" s="6">
        <f>Scores!$G$8*VLOOKUP(AB17,Scores!$A$15:$B$18,2)+Scores!$H$8*VLOOKUP(AC17,Scores!$A$15:$B$18,2)+Scores!$I$8*VLOOKUP(AD17,Scores!$A$15:$B$18,2)+Scores!$J$8*VLOOKUP(AE17,Scores!$A$15:$B$18,2)</f>
        <v>62</v>
      </c>
      <c r="AD18" s="6">
        <f>Scores!$L$8*VLOOKUP(AB17,Scores!$A$15:$B$18,2)+Scores!$M$8*VLOOKUP(AC17,Scores!$A$15:$B$18,2)+Scores!$N$8*VLOOKUP(AD17,Scores!$A$15:$B$18,2)+Scores!$O$8*VLOOKUP(AE17,Scores!$A$15:$B$18,2)</f>
        <v>50</v>
      </c>
      <c r="AE18" s="7"/>
      <c r="AF18" s="7"/>
      <c r="AG18" s="6">
        <f>Scores!$B$9*VLOOKUP(AG17,Scores!$A$15:$B$18,2)+Scores!$C$9*VLOOKUP(AH17,Scores!$A$15:$B$18,2)+Scores!$D$9*VLOOKUP(AI17,Scores!$A$15:$B$18,2)+Scores!$E$9*VLOOKUP(AJ17,Scores!$A$15:$B$18,2)</f>
        <v>0</v>
      </c>
      <c r="AH18" s="6">
        <f>Scores!$G$9*VLOOKUP(AG17,Scores!$A$15:$B$18,2)+Scores!$H$9*VLOOKUP(AH17,Scores!$A$15:$B$18,2)+Scores!$I$9*VLOOKUP(AI17,Scores!$A$15:$B$18,2)+Scores!$J$9*VLOOKUP(AJ17,Scores!$A$15:$B$18,2)</f>
        <v>60</v>
      </c>
      <c r="AI18" s="6">
        <f>Scores!$L$9*VLOOKUP(AG17,Scores!$A$15:$B$18,2)+Scores!$M$9*VLOOKUP(AH17,Scores!$A$15:$B$18,2)+Scores!$N$9*VLOOKUP(AI17,Scores!$A$15:$B$18,2)+Scores!$O$9*VLOOKUP(AJ17,Scores!$A$15:$B$18,2)</f>
        <v>0</v>
      </c>
      <c r="AJ18" s="7"/>
      <c r="AK18" s="7"/>
      <c r="AL18" s="6">
        <f>Scores!$B$10*VLOOKUP(AL17,Scores!$A$15:$B$18,2)+Scores!$C$10*VLOOKUP(AM17,Scores!$A$15:$B$18,2)+Scores!$D$10*VLOOKUP(AN17,Scores!$A$15:$B$18,2)+Scores!$E$10*VLOOKUP(AO17,Scores!$A$15:$B$18,2)</f>
        <v>0</v>
      </c>
      <c r="AM18" s="6">
        <f>Scores!$G$10*VLOOKUP(AL17,Scores!$A$15:$B$18,2)+Scores!$H$10*VLOOKUP(AM17,Scores!$A$15:$B$18,2)+Scores!$I$10*VLOOKUP(AN17,Scores!$A$15:$B$18,2)+Scores!$J$10*VLOOKUP(AO17,Scores!$A$15:$B$18,2)</f>
        <v>0</v>
      </c>
      <c r="AN18" s="6">
        <f>Scores!$L$10*VLOOKUP(AL17,Scores!$A$15:$B$18,2)+Scores!$M$10*VLOOKUP(AM17,Scores!$A$15:$B$18,2)+Scores!$N$10*VLOOKUP(AN17,Scores!$A$15:$B$18,2)+Scores!$O$10*VLOOKUP(AO17,Scores!$A$15:$B$18,2)</f>
        <v>0</v>
      </c>
      <c r="AO18" s="7"/>
    </row>
    <row r="19" spans="1:49" x14ac:dyDescent="0.25">
      <c r="A19" t="s">
        <v>45</v>
      </c>
      <c r="B19" t="s">
        <v>43</v>
      </c>
      <c r="C19">
        <v>1</v>
      </c>
      <c r="D19">
        <v>4</v>
      </c>
      <c r="E19">
        <v>3</v>
      </c>
      <c r="F19">
        <v>2</v>
      </c>
      <c r="H19">
        <v>4</v>
      </c>
      <c r="I19">
        <v>1</v>
      </c>
      <c r="J19">
        <v>3</v>
      </c>
      <c r="K19">
        <v>2</v>
      </c>
      <c r="M19">
        <v>2</v>
      </c>
      <c r="N19">
        <v>3</v>
      </c>
      <c r="O19">
        <v>4</v>
      </c>
      <c r="P19">
        <v>1</v>
      </c>
      <c r="R19">
        <v>3</v>
      </c>
      <c r="S19">
        <v>4</v>
      </c>
      <c r="T19">
        <v>2</v>
      </c>
      <c r="U19">
        <v>1</v>
      </c>
      <c r="W19">
        <v>2</v>
      </c>
      <c r="X19">
        <v>3</v>
      </c>
      <c r="Y19">
        <v>1</v>
      </c>
      <c r="Z19">
        <v>4</v>
      </c>
      <c r="AB19">
        <v>1</v>
      </c>
      <c r="AC19">
        <v>3</v>
      </c>
      <c r="AD19">
        <v>4</v>
      </c>
      <c r="AE19">
        <v>2</v>
      </c>
      <c r="AG19">
        <v>2</v>
      </c>
      <c r="AH19">
        <v>4</v>
      </c>
      <c r="AI19">
        <v>3</v>
      </c>
      <c r="AJ19">
        <v>1</v>
      </c>
      <c r="AL19">
        <v>1</v>
      </c>
      <c r="AM19">
        <v>2</v>
      </c>
      <c r="AN19">
        <v>3</v>
      </c>
      <c r="AO19">
        <v>4</v>
      </c>
      <c r="AQ19" s="9">
        <f>((C20+H20+M20+R20+W20)-Scores!$E$15)/(Scores!$I$15-Scores!$E$15)</f>
        <v>0.88793103448275867</v>
      </c>
      <c r="AR19" s="9">
        <f>((D20+I20+N20+S20+X20)-Scores!$E$16)/(Scores!$I$16-Scores!$E$16)</f>
        <v>0.70344827586206893</v>
      </c>
      <c r="AS19" s="9">
        <f>((E20+J20+O20+T20+Y20)-Scores!$E$17)/(Scores!$I$17-Scores!$E$17)</f>
        <v>0.58620689655172409</v>
      </c>
      <c r="AT19" s="9"/>
      <c r="AU19" s="9">
        <f>((AB20+AG20+AL20)-Scores!$F$15)/(Scores!$J$15-Scores!$F$15)</f>
        <v>0.93103448275862066</v>
      </c>
      <c r="AV19" s="9">
        <f>((AC20+AH20+AM20)-Scores!$F$16)/(Scores!$J$16-Scores!$F$16)</f>
        <v>0.96551724137931039</v>
      </c>
      <c r="AW19" s="9">
        <f>((AD20+AI20+AN20)-Scores!$F$17)/(Scores!$J$17-Scores!$F$17)</f>
        <v>0.58620689655172409</v>
      </c>
    </row>
    <row r="20" spans="1:49" s="5" customFormat="1" ht="11.25" x14ac:dyDescent="0.2">
      <c r="C20" s="6">
        <f>Scores!$B$3*VLOOKUP(C19,Scores!$A$15:$B$18,2)+Scores!$C$3*VLOOKUP(D19,Scores!$A$15:$B$18,2)+Scores!$D$3*VLOOKUP(E19,Scores!$A$15:$B$18,2)+Scores!$E$3*VLOOKUP(F19,Scores!$A$15:$B$18,2)</f>
        <v>0</v>
      </c>
      <c r="D20" s="6">
        <f>Scores!$G$3*VLOOKUP(C19,Scores!$A$15:$B$18,2)+Scores!$H$3*VLOOKUP(D19,Scores!$A$15:$B$18,2)+Scores!$I$3*VLOOKUP(E19,Scores!$A$15:$B$18,2)+Scores!$J$3*VLOOKUP(F19,Scores!$A$15:$B$18,2)</f>
        <v>62</v>
      </c>
      <c r="E20" s="6">
        <f>Scores!$L$3*VLOOKUP(C19,Scores!$A$15:$B$18,2)+Scores!$M$3*VLOOKUP(D19,Scores!$A$15:$B$18,2)+Scores!$N$3*VLOOKUP(E19,Scores!$A$15:$B$18,2)+Scores!$O$3*VLOOKUP(F19,Scores!$A$15:$B$18,2)</f>
        <v>0</v>
      </c>
      <c r="F20" s="7"/>
      <c r="G20" s="7"/>
      <c r="H20" s="6">
        <f>Scores!$B$4*VLOOKUP(H19,Scores!$A$15:$B$18,2)+Scores!$C$4*VLOOKUP(I19,Scores!$A$15:$B$18,2)+Scores!$D$4*VLOOKUP(J19,Scores!$A$15:$B$18,2)+Scores!$E$4*VLOOKUP(K19,Scores!$A$15:$B$18,2)</f>
        <v>60</v>
      </c>
      <c r="I20" s="6">
        <f>Scores!$G$4*VLOOKUP(H19,Scores!$A$15:$B$18,2)+Scores!$H$4*VLOOKUP(I19,Scores!$A$15:$B$18,2)+Scores!$I$4*VLOOKUP(J19,Scores!$A$15:$B$18,2)+Scores!$J$4*VLOOKUP(K19,Scores!$A$15:$B$18,2)</f>
        <v>35</v>
      </c>
      <c r="J20" s="6">
        <f>Scores!$L$4*VLOOKUP(H19,Scores!$A$15:$B$18,2)+Scores!$M$4*VLOOKUP(I19,Scores!$A$15:$B$18,2)+Scores!$N$4*VLOOKUP(J19,Scores!$A$15:$B$18,2)+Scores!$O$4*VLOOKUP(K19,Scores!$A$15:$B$18,2)</f>
        <v>0</v>
      </c>
      <c r="K20" s="7"/>
      <c r="L20" s="7"/>
      <c r="M20" s="6">
        <f>Scores!$B$5*VLOOKUP(M19,Scores!$A$15:$B$18,2)+Scores!$C$5*VLOOKUP(N19,Scores!$A$15:$B$18,2)+Scores!$D$5*VLOOKUP(O19,Scores!$A$15:$B$18,2)+Scores!$E$5*VLOOKUP(P19,Scores!$A$15:$B$18,2)</f>
        <v>53</v>
      </c>
      <c r="N20" s="6">
        <f>Scores!$G$5*VLOOKUP(M19,Scores!$A$15:$B$18,2)+Scores!$H$5*VLOOKUP(N19,Scores!$A$15:$B$18,2)+Scores!$I$5*VLOOKUP(O19,Scores!$A$15:$B$18,2)+Scores!$J$5*VLOOKUP(P19,Scores!$A$15:$B$18,2)</f>
        <v>55</v>
      </c>
      <c r="O20" s="6">
        <f>Scores!$L$5*VLOOKUP(M19,Scores!$A$15:$B$18,2)+Scores!$M$5*VLOOKUP(N19,Scores!$A$15:$B$18,2)+Scores!$N$5*VLOOKUP(O19,Scores!$A$15:$B$18,2)+Scores!$O$5*VLOOKUP(P19,Scores!$A$15:$B$18,2)</f>
        <v>0</v>
      </c>
      <c r="P20" s="7"/>
      <c r="Q20" s="7"/>
      <c r="R20" s="6">
        <f>Scores!$B$6*VLOOKUP(R19,Scores!$A$15:$B$18,2)+Scores!$C$6*VLOOKUP(S19,Scores!$A$15:$B$18,2)+Scores!$D$6*VLOOKUP(T19,Scores!$A$15:$B$18,2)+Scores!$E$6*VLOOKUP(U19,Scores!$A$15:$B$18,2)</f>
        <v>60</v>
      </c>
      <c r="S20" s="6">
        <f>Scores!$G$6*VLOOKUP(R19,Scores!$A$15:$B$18,2)+Scores!$H$6*VLOOKUP(S19,Scores!$A$15:$B$18,2)+Scores!$I$6*VLOOKUP(T19,Scores!$A$15:$B$18,2)+Scores!$J$6*VLOOKUP(U19,Scores!$A$15:$B$18,2)</f>
        <v>53</v>
      </c>
      <c r="T20" s="6">
        <f>Scores!$L$6*VLOOKUP(R19,Scores!$A$15:$B$18,2)+Scores!$M$6*VLOOKUP(S19,Scores!$A$15:$B$18,2)+Scores!$N$6*VLOOKUP(T19,Scores!$A$15:$B$18,2)+Scores!$O$6*VLOOKUP(U19,Scores!$A$15:$B$18,2)</f>
        <v>50</v>
      </c>
      <c r="U20" s="7"/>
      <c r="V20" s="7"/>
      <c r="W20" s="6">
        <f>Scores!$B$7*VLOOKUP(W19,Scores!$A$15:$B$18,2)+Scores!$C$7*VLOOKUP(X19,Scores!$A$15:$B$18,2)+Scores!$D$7*VLOOKUP(Y19,Scores!$A$15:$B$18,2)+Scores!$E$7*VLOOKUP(Z19,Scores!$A$15:$B$18,2)</f>
        <v>62</v>
      </c>
      <c r="X20" s="6">
        <f>Scores!$G$7*VLOOKUP(W19,Scores!$A$15:$B$18,2)+Scores!$H$7*VLOOKUP(X19,Scores!$A$15:$B$18,2)+Scores!$I$7*VLOOKUP(Y19,Scores!$A$15:$B$18,2)+Scores!$J$7*VLOOKUP(Z19,Scores!$A$15:$B$18,2)</f>
        <v>62</v>
      </c>
      <c r="Y20" s="6">
        <f>Scores!$L$7*VLOOKUP(W19,Scores!$A$15:$B$18,2)+Scores!$M$7*VLOOKUP(X19,Scores!$A$15:$B$18,2)+Scores!$N$7*VLOOKUP(Y19,Scores!$A$15:$B$18,2)+Scores!$O$7*VLOOKUP(Z19,Scores!$A$15:$B$18,2)</f>
        <v>50</v>
      </c>
      <c r="Z20" s="7"/>
      <c r="AA20" s="7"/>
      <c r="AB20" s="6">
        <f>Scores!$B$8*VLOOKUP(AB19,Scores!$A$15:$B$18,2)+Scores!$C$8*VLOOKUP(AC19,Scores!$A$15:$B$18,2)+Scores!$D$8*VLOOKUP(AD19,Scores!$A$15:$B$18,2)+Scores!$E$8*VLOOKUP(AE19,Scores!$A$15:$B$18,2)</f>
        <v>60</v>
      </c>
      <c r="AC20" s="6">
        <f>Scores!$G$8*VLOOKUP(AB19,Scores!$A$15:$B$18,2)+Scores!$H$8*VLOOKUP(AC19,Scores!$A$15:$B$18,2)+Scores!$I$8*VLOOKUP(AD19,Scores!$A$15:$B$18,2)+Scores!$J$8*VLOOKUP(AE19,Scores!$A$15:$B$18,2)</f>
        <v>62</v>
      </c>
      <c r="AD20" s="6">
        <f>Scores!$L$8*VLOOKUP(AB19,Scores!$A$15:$B$18,2)+Scores!$M$8*VLOOKUP(AC19,Scores!$A$15:$B$18,2)+Scores!$N$8*VLOOKUP(AD19,Scores!$A$15:$B$18,2)+Scores!$O$8*VLOOKUP(AE19,Scores!$A$15:$B$18,2)</f>
        <v>50</v>
      </c>
      <c r="AE20" s="7"/>
      <c r="AF20" s="7"/>
      <c r="AG20" s="6">
        <f>Scores!$B$9*VLOOKUP(AG19,Scores!$A$15:$B$18,2)+Scores!$C$9*VLOOKUP(AH19,Scores!$A$15:$B$18,2)+Scores!$D$9*VLOOKUP(AI19,Scores!$A$15:$B$18,2)+Scores!$E$9*VLOOKUP(AJ19,Scores!$A$15:$B$18,2)</f>
        <v>0</v>
      </c>
      <c r="AH20" s="6">
        <f>Scores!$G$9*VLOOKUP(AG19,Scores!$A$15:$B$18,2)+Scores!$H$9*VLOOKUP(AH19,Scores!$A$15:$B$18,2)+Scores!$I$9*VLOOKUP(AI19,Scores!$A$15:$B$18,2)+Scores!$J$9*VLOOKUP(AJ19,Scores!$A$15:$B$18,2)</f>
        <v>60</v>
      </c>
      <c r="AI20" s="6">
        <f>Scores!$L$9*VLOOKUP(AG19,Scores!$A$15:$B$18,2)+Scores!$M$9*VLOOKUP(AH19,Scores!$A$15:$B$18,2)+Scores!$N$9*VLOOKUP(AI19,Scores!$A$15:$B$18,2)+Scores!$O$9*VLOOKUP(AJ19,Scores!$A$15:$B$18,2)</f>
        <v>0</v>
      </c>
      <c r="AJ20" s="7"/>
      <c r="AK20" s="7"/>
      <c r="AL20" s="6">
        <f>Scores!$B$10*VLOOKUP(AL19,Scores!$A$15:$B$18,2)+Scores!$C$10*VLOOKUP(AM19,Scores!$A$15:$B$18,2)+Scores!$D$10*VLOOKUP(AN19,Scores!$A$15:$B$18,2)+Scores!$E$10*VLOOKUP(AO19,Scores!$A$15:$B$18,2)</f>
        <v>0</v>
      </c>
      <c r="AM20" s="6">
        <f>Scores!$G$10*VLOOKUP(AL19,Scores!$A$15:$B$18,2)+Scores!$H$10*VLOOKUP(AM19,Scores!$A$15:$B$18,2)+Scores!$I$10*VLOOKUP(AN19,Scores!$A$15:$B$18,2)+Scores!$J$10*VLOOKUP(AO19,Scores!$A$15:$B$18,2)</f>
        <v>0</v>
      </c>
      <c r="AN20" s="6">
        <f>Scores!$L$10*VLOOKUP(AL19,Scores!$A$15:$B$18,2)+Scores!$M$10*VLOOKUP(AM19,Scores!$A$15:$B$18,2)+Scores!$N$10*VLOOKUP(AN19,Scores!$A$15:$B$18,2)+Scores!$O$10*VLOOKUP(AO19,Scores!$A$15:$B$18,2)</f>
        <v>0</v>
      </c>
      <c r="AO20" s="7"/>
    </row>
    <row r="22" spans="1:49" x14ac:dyDescent="0.25">
      <c r="A22" s="8" t="s">
        <v>97</v>
      </c>
      <c r="C22">
        <f>BordaCOunt((C3:F3,C5:F5,C7:F7,C9:F9,C11:F11,C13:F13,C15:F15,C17:F17,C19:F19),1)</f>
        <v>1</v>
      </c>
      <c r="D22">
        <f>BordaCOunt((C3:F3,C5:F5,C7:F7,C9:F9,C11:F11,C13:F13,C15:F15,C17:F17,C19:F19),2)</f>
        <v>4</v>
      </c>
      <c r="E22">
        <f>BordaCOunt((C3:F3,C5:F5,C7:F7,C9:F9,C11:F11,C13:F13,C15:F15,C17:F17,C19:F19),3)</f>
        <v>3</v>
      </c>
      <c r="F22">
        <f>BordaCOunt((C3:F3,C5:F5,C7:F7,C9:F9,C11:F11,C13:F13,C15:F15,C17:F17,C19:F19),4)</f>
        <v>2</v>
      </c>
      <c r="H22">
        <f>BordaCOunt((H3:K3,H5:K5,H7:K7,H9:K9,H11:K11,H13:K13,H15:K15,H17:K17,H19:K19),1)</f>
        <v>4</v>
      </c>
      <c r="I22">
        <f>BordaCOunt((H3:K3,H5:K5,H7:K7,H9:K9,H11:K11,H13:K13,H15:K15,H17:K17,H19:K19),2)</f>
        <v>2</v>
      </c>
      <c r="J22">
        <f>BordaCOunt((H3:K3,H5:K5,H7:K7,H9:K9,H11:K11,H13:K13,H15:K15,H17:K17,H19:K19),3)</f>
        <v>3</v>
      </c>
      <c r="K22">
        <f>BordaCOunt((H3:K3,H5:K5,H7:K7,H9:K9,H11:K11,H13:K13,H15:K15,H17:K17,H19:K19),4)</f>
        <v>1</v>
      </c>
      <c r="M22">
        <f>BordaCOunt((M3:P3,M5:P5,M7:P7,M9:P9,M11:P11,M13:P13,M15:P15,M17:P17,M19:P19),1)</f>
        <v>2</v>
      </c>
      <c r="N22">
        <f>BordaCOunt((M3:P3,M5:P5,M7:P7,M9:P9,M11:P11,M13:P13,M15:P15,M17:P17,M19:P19),2)</f>
        <v>3</v>
      </c>
      <c r="O22">
        <f>BordaCOunt((M3:P3,M5:P5,M7:P7,M9:P9,M11:P11,M13:P13,M15:P15,M17:P17,M19:P19),3)</f>
        <v>4</v>
      </c>
      <c r="P22">
        <f>BordaCOunt((M3:P3,M5:P5,M7:P7,M9:P9,M11:P11,M13:P13,M15:P15,M17:P17,M19:P19),4)</f>
        <v>1</v>
      </c>
      <c r="R22">
        <f>BordaCOunt((R3:U3,R5:U5,R7:U7,R9:U9,R11:U11,R13:U13,R15:U15,R17:U17,R19:U19),1)</f>
        <v>2</v>
      </c>
      <c r="S22">
        <f>BordaCOunt((R3:U3,R5:U5,R7:U7,R9:U9,R11:U11,R13:U13,R15:U15,R17:U17,R19:U19),2)</f>
        <v>3</v>
      </c>
      <c r="T22">
        <f>BordaCOunt((R3:U3,R5:U5,R7:U7,R9:U9,R11:U11,R13:U13,R15:U15,R17:U17,R19:U19),3)</f>
        <v>4</v>
      </c>
      <c r="U22">
        <f>BordaCOunt((R3:U3,R5:U5,R7:U7,R9:U9,R11:U11,R13:U13,R15:U15,R17:U17,R19:U19),4)</f>
        <v>1</v>
      </c>
      <c r="W22">
        <f>BordaCOunt((W3:Z3,W5:Z5,W7:Z7,W9:Z9,W11:Z11,W13:Z13,W15:Z15,W17:Z17,W19:Z19),1)</f>
        <v>2</v>
      </c>
      <c r="X22">
        <f>BordaCOunt((W3:Z3,W5:Z5,W7:Z7,W9:Z9,W11:Z11,W13:Z13,W15:Z15,W17:Z17,W19:Z19),2)</f>
        <v>3</v>
      </c>
      <c r="Y22">
        <f>BordaCOunt((W3:Z3,W5:Z5,W7:Z7,W9:Z9,W11:Z11,W13:Z13,W15:Z15,W17:Z17,W19:Z19),3)</f>
        <v>1</v>
      </c>
      <c r="Z22">
        <f>BordaCOunt((W3:Z3,W5:Z5,W7:Z7,W9:Z9,W11:Z11,W13:Z13,W15:Z15,W17:Z17,W19:Z19),4)</f>
        <v>4</v>
      </c>
      <c r="AB22">
        <f>BordaCOunt((AB3:AE3,AB5:AE5,AB7:AE7,AB9:AE9,AB11:AE11,AB13:AE13,AB15:AE15,AB17:AE17,AB19:AE19),1)</f>
        <v>1</v>
      </c>
      <c r="AC22">
        <f>BordaCOunt((AB3:AE3,AB5:AE5,AB7:AE7,AB9:AE9,AB11:AE11,AB13:AE13,AB15:AE15,AB17:AE17,AB19:AE19),2)</f>
        <v>3</v>
      </c>
      <c r="AD22">
        <f>BordaCOunt((AB3:AE3,AB5:AE5,AB7:AE7,AB9:AE9,AB11:AE11,AB13:AE13,AB15:AE15,AB17:AE17,AB19:AE19),3)</f>
        <v>2</v>
      </c>
      <c r="AE22">
        <f>BordaCOunt((AB3:AE3,AB5:AE5,AB7:AE7,AB9:AE9,AB11:AE11,AB13:AE13,AB15:AE15,AB17:AE17,AB19:AE19),4)</f>
        <v>4</v>
      </c>
      <c r="AG22">
        <f>BordaCOunt((AG3:AJ3,AG5:AJ5,AG7:AJ7,AG9:AJ9,AG11:AJ11,AG13:AJ13,AG15:AJ15,AG17:AJ17,AG19:AJ19),1)</f>
        <v>2</v>
      </c>
      <c r="AH22">
        <f>BordaCOunt((AG3:AJ3,AG5:AJ5,AG7:AJ7,AG9:AJ9,AG11:AJ11,AG13:AJ13,AG15:AJ15,AG17:AJ17,AG19:AJ19),2)</f>
        <v>3</v>
      </c>
      <c r="AI22">
        <f>BordaCOunt((AG3:AJ3,AG5:AJ5,AG7:AJ7,AG9:AJ9,AG11:AJ11,AG13:AJ13,AG15:AJ15,AG17:AJ17,AG19:AJ19),3)</f>
        <v>4</v>
      </c>
      <c r="AJ22">
        <f>BordaCOunt((AG3:AJ3,AG5:AJ5,AG7:AJ7,AG9:AJ9,AG11:AJ11,AG13:AJ13,AG15:AJ15,AG17:AJ17,AG19:AJ19),4)</f>
        <v>1</v>
      </c>
      <c r="AL22">
        <f>BordaCOunt((AL3:AO3,AL5:AO5,AL7:AO7,AL9:AO9,AL11:AO11,AL13:AO13,AL15:AO15,AL17:AO17,AL19:AO19),1)</f>
        <v>2</v>
      </c>
      <c r="AM22">
        <f>BordaCOunt((AL3:AO3,AL5:AO5,AL7:AO7,AL9:AO9,AL11:AO11,AL13:AO13,AL15:AO15,AL17:AO17,AL19:AO19),2)</f>
        <v>1</v>
      </c>
      <c r="AN22">
        <f>BordaCOunt((AL3:AO3,AL5:AO5,AL7:AO7,AL9:AO9,AL11:AO11,AL13:AO13,AL15:AO15,AL17:AO17,AL19:AO19),3)</f>
        <v>3</v>
      </c>
      <c r="AO22">
        <f>BordaCOunt((AL3:AO3,AL5:AO5,AL7:AO7,AL9:AO9,AL11:AO11,AL13:AO13,AL15:AO15,AL17:AO17,AL19:AO19),4)</f>
        <v>4</v>
      </c>
      <c r="AP22" s="1"/>
      <c r="AQ22" s="9">
        <f>((C23+H23+M23+R23+W23)-Scores!$E$15)/(Scores!$I$15-Scores!$E$15)</f>
        <v>0.80172413793103448</v>
      </c>
      <c r="AR22" s="9">
        <f>((D23+I23+N23+S23+X23)-Scores!$E$16)/(Scores!$I$16-Scores!$E$16)</f>
        <v>0.78620689655172415</v>
      </c>
      <c r="AS22" s="9">
        <f>((E23+J23+O23+T23+Y23)-Scores!$E$17)/(Scores!$I$17-Scores!$E$17)</f>
        <v>0.44827586206896552</v>
      </c>
      <c r="AU22" s="9">
        <f>((AB23+AG23+AL23)-Scores!$F$15)/(Scores!$J$15-Scores!$F$15)</f>
        <v>0.7931034482758621</v>
      </c>
      <c r="AV22" s="9">
        <f>((AC23+AH23+AM23)-Scores!$F$16)/(Scores!$J$16-Scores!$F$16)</f>
        <v>0.75862068965517238</v>
      </c>
      <c r="AW22" s="9">
        <f>((AD23+AI23+AN23)-Scores!$F$17)/(Scores!$J$17-Scores!$F$17)</f>
        <v>0.17241379310344829</v>
      </c>
    </row>
    <row r="23" spans="1:49" x14ac:dyDescent="0.25">
      <c r="C23" s="6">
        <f>Scores!$B$3*VLOOKUP(C22,Scores!$A$15:$B$18,2)+Scores!$C$3*VLOOKUP(D22,Scores!$A$15:$B$18,2)+Scores!$D$3*VLOOKUP(E22,Scores!$A$15:$B$18,2)+Scores!$E$3*VLOOKUP(F22,Scores!$A$15:$B$18,2)</f>
        <v>0</v>
      </c>
      <c r="D23" s="6">
        <f>Scores!$G$3*VLOOKUP(C22,Scores!$A$15:$B$18,2)+Scores!$H$3*VLOOKUP(D22,Scores!$A$15:$B$18,2)+Scores!$I$3*VLOOKUP(E22,Scores!$A$15:$B$18,2)+Scores!$J$3*VLOOKUP(F22,Scores!$A$15:$B$18,2)</f>
        <v>62</v>
      </c>
      <c r="E23" s="6">
        <f>Scores!$L$3*VLOOKUP(C22,Scores!$A$15:$B$18,2)+Scores!$M$3*VLOOKUP(D22,Scores!$A$15:$B$18,2)+Scores!$N$3*VLOOKUP(E22,Scores!$A$15:$B$18,2)+Scores!$O$3*VLOOKUP(F22,Scores!$A$15:$B$18,2)</f>
        <v>0</v>
      </c>
      <c r="F23" s="7"/>
      <c r="H23" s="6">
        <f>Scores!$B$4*VLOOKUP(H22,Scores!$A$15:$B$18,2)+Scores!$C$4*VLOOKUP(I22,Scores!$A$15:$B$18,2)+Scores!$D$4*VLOOKUP(J22,Scores!$A$15:$B$18,2)+Scores!$E$4*VLOOKUP(K22,Scores!$A$15:$B$18,2)</f>
        <v>50</v>
      </c>
      <c r="I23" s="6">
        <f>Scores!$G$4*VLOOKUP(H22,Scores!$A$15:$B$18,2)+Scores!$H$4*VLOOKUP(I22,Scores!$A$15:$B$18,2)+Scores!$I$4*VLOOKUP(J22,Scores!$A$15:$B$18,2)+Scores!$J$4*VLOOKUP(K22,Scores!$A$15:$B$18,2)</f>
        <v>45</v>
      </c>
      <c r="J23" s="6">
        <f>Scores!$L$4*VLOOKUP(H22,Scores!$A$15:$B$18,2)+Scores!$M$4*VLOOKUP(I22,Scores!$A$15:$B$18,2)+Scores!$N$4*VLOOKUP(J22,Scores!$A$15:$B$18,2)+Scores!$O$4*VLOOKUP(K22,Scores!$A$15:$B$18,2)</f>
        <v>0</v>
      </c>
      <c r="K23" s="7"/>
      <c r="L23" s="7"/>
      <c r="M23" s="6">
        <f>Scores!$B$5*VLOOKUP(M22,Scores!$A$15:$B$18,2)+Scores!$C$5*VLOOKUP(N22,Scores!$A$15:$B$18,2)+Scores!$D$5*VLOOKUP(O22,Scores!$A$15:$B$18,2)+Scores!$E$5*VLOOKUP(P22,Scores!$A$15:$B$18,2)</f>
        <v>53</v>
      </c>
      <c r="N23" s="6">
        <f>Scores!$G$5*VLOOKUP(M22,Scores!$A$15:$B$18,2)+Scores!$H$5*VLOOKUP(N22,Scores!$A$15:$B$18,2)+Scores!$I$5*VLOOKUP(O22,Scores!$A$15:$B$18,2)+Scores!$J$5*VLOOKUP(P22,Scores!$A$15:$B$18,2)</f>
        <v>55</v>
      </c>
      <c r="O23" s="6">
        <f>Scores!$L$5*VLOOKUP(M22,Scores!$A$15:$B$18,2)+Scores!$M$5*VLOOKUP(N22,Scores!$A$15:$B$18,2)+Scores!$N$5*VLOOKUP(O22,Scores!$A$15:$B$18,2)+Scores!$O$5*VLOOKUP(P22,Scores!$A$15:$B$18,2)</f>
        <v>0</v>
      </c>
      <c r="P23" s="7"/>
      <c r="Q23" s="7"/>
      <c r="R23" s="6">
        <f>Scores!$B$6*VLOOKUP(R22,Scores!$A$15:$B$18,2)+Scores!$C$6*VLOOKUP(S22,Scores!$A$15:$B$18,2)+Scores!$D$6*VLOOKUP(T22,Scores!$A$15:$B$18,2)+Scores!$E$6*VLOOKUP(U22,Scores!$A$15:$B$18,2)</f>
        <v>60</v>
      </c>
      <c r="S23" s="6">
        <f>Scores!$G$6*VLOOKUP(R22,Scores!$A$15:$B$18,2)+Scores!$H$6*VLOOKUP(S22,Scores!$A$15:$B$18,2)+Scores!$I$6*VLOOKUP(T22,Scores!$A$15:$B$18,2)+Scores!$J$6*VLOOKUP(U22,Scores!$A$15:$B$18,2)</f>
        <v>55</v>
      </c>
      <c r="T23" s="6">
        <f>Scores!$L$6*VLOOKUP(R22,Scores!$A$15:$B$18,2)+Scores!$M$6*VLOOKUP(S22,Scores!$A$15:$B$18,2)+Scores!$N$6*VLOOKUP(T22,Scores!$A$15:$B$18,2)+Scores!$O$6*VLOOKUP(U22,Scores!$A$15:$B$18,2)</f>
        <v>42</v>
      </c>
      <c r="U23" s="7"/>
      <c r="V23" s="7"/>
      <c r="W23" s="6">
        <f>Scores!$B$7*VLOOKUP(W22,Scores!$A$15:$B$18,2)+Scores!$C$7*VLOOKUP(X22,Scores!$A$15:$B$18,2)+Scores!$D$7*VLOOKUP(Y22,Scores!$A$15:$B$18,2)+Scores!$E$7*VLOOKUP(Z22,Scores!$A$15:$B$18,2)</f>
        <v>62</v>
      </c>
      <c r="X23" s="6">
        <f>Scores!$G$7*VLOOKUP(W22,Scores!$A$15:$B$18,2)+Scores!$H$7*VLOOKUP(X22,Scores!$A$15:$B$18,2)+Scores!$I$7*VLOOKUP(Y22,Scores!$A$15:$B$18,2)+Scores!$J$7*VLOOKUP(Z22,Scores!$A$15:$B$18,2)</f>
        <v>62</v>
      </c>
      <c r="Y23" s="6">
        <f>Scores!$L$7*VLOOKUP(W22,Scores!$A$15:$B$18,2)+Scores!$M$7*VLOOKUP(X22,Scores!$A$15:$B$18,2)+Scores!$N$7*VLOOKUP(Y22,Scores!$A$15:$B$18,2)+Scores!$O$7*VLOOKUP(Z22,Scores!$A$15:$B$18,2)</f>
        <v>50</v>
      </c>
      <c r="Z23" s="7"/>
      <c r="AA23" s="7"/>
      <c r="AB23" s="6">
        <f>Scores!$B$8*VLOOKUP(AB22,Scores!$A$15:$B$18,2)+Scores!$C$8*VLOOKUP(AC22,Scores!$A$15:$B$18,2)+Scores!$D$8*VLOOKUP(AD22,Scores!$A$15:$B$18,2)+Scores!$E$8*VLOOKUP(AE22,Scores!$A$15:$B$18,2)</f>
        <v>56</v>
      </c>
      <c r="AC23" s="6">
        <f>Scores!$G$8*VLOOKUP(AB22,Scores!$A$15:$B$18,2)+Scores!$H$8*VLOOKUP(AC22,Scores!$A$15:$B$18,2)+Scores!$I$8*VLOOKUP(AD22,Scores!$A$15:$B$18,2)+Scores!$J$8*VLOOKUP(AE22,Scores!$A$15:$B$18,2)</f>
        <v>54</v>
      </c>
      <c r="AD23" s="6">
        <f>Scores!$L$8*VLOOKUP(AB22,Scores!$A$15:$B$18,2)+Scores!$M$8*VLOOKUP(AC22,Scores!$A$15:$B$18,2)+Scores!$N$8*VLOOKUP(AD22,Scores!$A$15:$B$18,2)+Scores!$O$8*VLOOKUP(AE22,Scores!$A$15:$B$18,2)</f>
        <v>38</v>
      </c>
      <c r="AE23" s="7"/>
      <c r="AF23" s="7"/>
      <c r="AG23" s="6">
        <f>Scores!$B$9*VLOOKUP(AG22,Scores!$A$15:$B$18,2)+Scores!$C$9*VLOOKUP(AH22,Scores!$A$15:$B$18,2)+Scores!$D$9*VLOOKUP(AI22,Scores!$A$15:$B$18,2)+Scores!$E$9*VLOOKUP(AJ22,Scores!$A$15:$B$18,2)</f>
        <v>0</v>
      </c>
      <c r="AH23" s="6">
        <f>Scores!$G$9*VLOOKUP(AG22,Scores!$A$15:$B$18,2)+Scores!$H$9*VLOOKUP(AH22,Scores!$A$15:$B$18,2)+Scores!$I$9*VLOOKUP(AI22,Scores!$A$15:$B$18,2)+Scores!$J$9*VLOOKUP(AJ22,Scores!$A$15:$B$18,2)</f>
        <v>56</v>
      </c>
      <c r="AI23" s="6">
        <f>Scores!$L$9*VLOOKUP(AG22,Scores!$A$15:$B$18,2)+Scores!$M$9*VLOOKUP(AH22,Scores!$A$15:$B$18,2)+Scores!$N$9*VLOOKUP(AI22,Scores!$A$15:$B$18,2)+Scores!$O$9*VLOOKUP(AJ22,Scores!$A$15:$B$18,2)</f>
        <v>0</v>
      </c>
      <c r="AJ23" s="7"/>
      <c r="AK23" s="7"/>
      <c r="AL23" s="6">
        <f>Scores!$B$10*VLOOKUP(AL22,Scores!$A$15:$B$18,2)+Scores!$C$10*VLOOKUP(AM22,Scores!$A$15:$B$18,2)+Scores!$D$10*VLOOKUP(AN22,Scores!$A$15:$B$18,2)+Scores!$E$10*VLOOKUP(AO22,Scores!$A$15:$B$18,2)</f>
        <v>0</v>
      </c>
      <c r="AM23" s="6">
        <f>Scores!$G$10*VLOOKUP(AL22,Scores!$A$15:$B$18,2)+Scores!$H$10*VLOOKUP(AM22,Scores!$A$15:$B$18,2)+Scores!$I$10*VLOOKUP(AN22,Scores!$A$15:$B$18,2)+Scores!$J$10*VLOOKUP(AO22,Scores!$A$15:$B$18,2)</f>
        <v>0</v>
      </c>
      <c r="AN23" s="6">
        <f>Scores!$L$10*VLOOKUP(AL22,Scores!$A$15:$B$18,2)+Scores!$M$10*VLOOKUP(AM22,Scores!$A$15:$B$18,2)+Scores!$N$10*VLOOKUP(AN22,Scores!$A$15:$B$18,2)+Scores!$O$10*VLOOKUP(AO22,Scores!$A$15:$B$18,2)</f>
        <v>0</v>
      </c>
      <c r="AO23" s="7"/>
    </row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"/>
  <sheetViews>
    <sheetView workbookViewId="0">
      <selection activeCell="K28" sqref="K28"/>
    </sheetView>
  </sheetViews>
  <sheetFormatPr defaultRowHeight="15" x14ac:dyDescent="0.25"/>
  <cols>
    <col min="5" max="5" width="11.5703125" customWidth="1"/>
    <col min="9" max="10" width="9.5703125" bestFit="1" customWidth="1"/>
  </cols>
  <sheetData>
    <row r="1" spans="1:15" x14ac:dyDescent="0.25">
      <c r="A1" s="1"/>
      <c r="B1" s="1" t="s">
        <v>7</v>
      </c>
      <c r="G1" s="1" t="s">
        <v>8</v>
      </c>
      <c r="L1" s="1" t="s">
        <v>12</v>
      </c>
    </row>
    <row r="2" spans="1:15" x14ac:dyDescent="0.25">
      <c r="A2" s="1" t="s">
        <v>0</v>
      </c>
      <c r="B2" s="3" t="s">
        <v>1</v>
      </c>
      <c r="C2" s="3" t="s">
        <v>4</v>
      </c>
      <c r="D2" s="3" t="s">
        <v>5</v>
      </c>
      <c r="E2" s="3" t="s">
        <v>6</v>
      </c>
      <c r="F2" s="1"/>
      <c r="G2" s="3" t="s">
        <v>1</v>
      </c>
      <c r="H2" s="3" t="s">
        <v>4</v>
      </c>
      <c r="I2" s="3" t="s">
        <v>5</v>
      </c>
      <c r="J2" s="3" t="s">
        <v>6</v>
      </c>
      <c r="L2" s="3" t="s">
        <v>1</v>
      </c>
      <c r="M2" s="3" t="s">
        <v>4</v>
      </c>
      <c r="N2" s="3" t="s">
        <v>5</v>
      </c>
      <c r="O2" s="3" t="s">
        <v>6</v>
      </c>
    </row>
    <row r="3" spans="1:15" x14ac:dyDescent="0.25">
      <c r="A3" s="1">
        <v>1</v>
      </c>
      <c r="B3">
        <v>0</v>
      </c>
      <c r="C3">
        <v>0</v>
      </c>
      <c r="D3">
        <v>0</v>
      </c>
      <c r="E3">
        <v>0</v>
      </c>
      <c r="G3">
        <v>4</v>
      </c>
      <c r="H3">
        <v>1</v>
      </c>
      <c r="I3">
        <v>2</v>
      </c>
      <c r="J3">
        <v>3</v>
      </c>
      <c r="L3">
        <v>0</v>
      </c>
      <c r="M3">
        <v>0</v>
      </c>
      <c r="N3">
        <v>0</v>
      </c>
      <c r="O3">
        <v>0</v>
      </c>
    </row>
    <row r="4" spans="1:15" x14ac:dyDescent="0.25">
      <c r="A4" s="1">
        <v>2</v>
      </c>
      <c r="B4">
        <v>1</v>
      </c>
      <c r="C4">
        <v>4</v>
      </c>
      <c r="D4">
        <v>3</v>
      </c>
      <c r="E4">
        <v>2</v>
      </c>
      <c r="G4">
        <v>4</v>
      </c>
      <c r="H4">
        <v>1</v>
      </c>
      <c r="I4">
        <v>2</v>
      </c>
      <c r="J4">
        <v>3</v>
      </c>
      <c r="L4">
        <v>0</v>
      </c>
      <c r="M4">
        <v>0</v>
      </c>
      <c r="N4">
        <v>0</v>
      </c>
      <c r="O4">
        <v>0</v>
      </c>
    </row>
    <row r="5" spans="1:15" x14ac:dyDescent="0.25">
      <c r="A5" s="1">
        <v>3</v>
      </c>
      <c r="B5">
        <v>2</v>
      </c>
      <c r="C5">
        <v>4</v>
      </c>
      <c r="D5">
        <v>1</v>
      </c>
      <c r="E5">
        <v>3</v>
      </c>
      <c r="G5">
        <v>4</v>
      </c>
      <c r="H5">
        <v>1</v>
      </c>
      <c r="I5">
        <v>2</v>
      </c>
      <c r="J5">
        <v>3</v>
      </c>
      <c r="L5">
        <v>0</v>
      </c>
      <c r="M5">
        <v>0</v>
      </c>
      <c r="N5">
        <v>0</v>
      </c>
      <c r="O5">
        <v>0</v>
      </c>
    </row>
    <row r="6" spans="1:15" x14ac:dyDescent="0.25">
      <c r="A6" s="1">
        <v>4</v>
      </c>
      <c r="B6">
        <v>3</v>
      </c>
      <c r="C6">
        <v>1</v>
      </c>
      <c r="D6">
        <v>2</v>
      </c>
      <c r="E6">
        <v>4</v>
      </c>
      <c r="G6">
        <v>4</v>
      </c>
      <c r="H6">
        <v>1</v>
      </c>
      <c r="I6">
        <v>2</v>
      </c>
      <c r="J6">
        <v>3</v>
      </c>
      <c r="L6">
        <v>3</v>
      </c>
      <c r="M6">
        <v>1</v>
      </c>
      <c r="N6">
        <v>4</v>
      </c>
      <c r="O6">
        <v>2</v>
      </c>
    </row>
    <row r="7" spans="1:15" x14ac:dyDescent="0.25">
      <c r="A7" s="1">
        <v>5</v>
      </c>
      <c r="B7">
        <v>3</v>
      </c>
      <c r="C7">
        <v>2</v>
      </c>
      <c r="D7">
        <v>4</v>
      </c>
      <c r="E7">
        <v>1</v>
      </c>
      <c r="G7">
        <v>3</v>
      </c>
      <c r="H7">
        <v>2</v>
      </c>
      <c r="I7">
        <v>4</v>
      </c>
      <c r="J7">
        <v>1</v>
      </c>
      <c r="L7">
        <v>4</v>
      </c>
      <c r="M7">
        <v>3</v>
      </c>
      <c r="N7">
        <v>2</v>
      </c>
      <c r="O7">
        <v>1</v>
      </c>
    </row>
    <row r="8" spans="1:15" x14ac:dyDescent="0.25">
      <c r="A8" s="1">
        <v>6</v>
      </c>
      <c r="B8">
        <v>4</v>
      </c>
      <c r="C8">
        <v>3</v>
      </c>
      <c r="D8">
        <v>1</v>
      </c>
      <c r="E8">
        <v>2</v>
      </c>
      <c r="G8">
        <v>4</v>
      </c>
      <c r="H8">
        <v>2</v>
      </c>
      <c r="I8">
        <v>1</v>
      </c>
      <c r="J8">
        <v>3</v>
      </c>
      <c r="L8">
        <v>2</v>
      </c>
      <c r="M8">
        <v>3</v>
      </c>
      <c r="N8">
        <v>1</v>
      </c>
      <c r="O8">
        <v>4</v>
      </c>
    </row>
    <row r="9" spans="1:15" x14ac:dyDescent="0.25">
      <c r="A9" s="1">
        <v>7</v>
      </c>
      <c r="B9">
        <v>0</v>
      </c>
      <c r="C9">
        <v>0</v>
      </c>
      <c r="D9">
        <v>0</v>
      </c>
      <c r="E9">
        <v>0</v>
      </c>
      <c r="G9">
        <v>2</v>
      </c>
      <c r="H9">
        <v>1</v>
      </c>
      <c r="I9">
        <v>3</v>
      </c>
      <c r="J9">
        <v>4</v>
      </c>
      <c r="L9">
        <v>0</v>
      </c>
      <c r="M9">
        <v>0</v>
      </c>
      <c r="N9">
        <v>0</v>
      </c>
      <c r="O9">
        <v>0</v>
      </c>
    </row>
    <row r="10" spans="1:15" x14ac:dyDescent="0.25">
      <c r="A10" s="1">
        <v>8</v>
      </c>
      <c r="B10">
        <v>0</v>
      </c>
      <c r="C10">
        <v>0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L10">
        <v>0</v>
      </c>
      <c r="M10">
        <v>0</v>
      </c>
      <c r="N10">
        <v>0</v>
      </c>
      <c r="O10">
        <v>0</v>
      </c>
    </row>
    <row r="11" spans="1:15" x14ac:dyDescent="0.25">
      <c r="A11" s="1"/>
    </row>
    <row r="12" spans="1:15" x14ac:dyDescent="0.25">
      <c r="A12" s="1">
        <v>9</v>
      </c>
      <c r="B12">
        <v>0</v>
      </c>
      <c r="C12">
        <v>0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E13" s="4"/>
      <c r="F13" s="4"/>
    </row>
    <row r="14" spans="1:15" x14ac:dyDescent="0.25">
      <c r="A14" s="1" t="s">
        <v>22</v>
      </c>
      <c r="D14" s="1" t="s">
        <v>95</v>
      </c>
      <c r="E14" s="8" t="s">
        <v>71</v>
      </c>
      <c r="F14" s="8" t="s">
        <v>72</v>
      </c>
      <c r="H14" s="1" t="s">
        <v>70</v>
      </c>
      <c r="I14" s="8" t="s">
        <v>71</v>
      </c>
      <c r="J14" s="8" t="s">
        <v>72</v>
      </c>
    </row>
    <row r="15" spans="1:15" x14ac:dyDescent="0.25">
      <c r="A15" s="1">
        <v>1</v>
      </c>
      <c r="B15" s="9">
        <v>10</v>
      </c>
      <c r="D15" t="s">
        <v>10</v>
      </c>
      <c r="E15">
        <f>(1*$B$15+2*$B$16+3*$B$17+4*$B$18)*COUNTIF($B$3:$B$7,"&gt;0")</f>
        <v>132</v>
      </c>
      <c r="F15">
        <f>(1*$B$15+2*$B$16+3*$B$17+4*$B$18)*COUNTIF($B$8:$B$10,"&gt;0")</f>
        <v>33</v>
      </c>
      <c r="H15" t="s">
        <v>10</v>
      </c>
      <c r="I15" s="9">
        <f>(4*$B$15+3*$B$16+2*$B$17+1*$B$18)*COUNTIF($B$3:$B$7,"&gt;0")</f>
        <v>248</v>
      </c>
      <c r="J15" s="9">
        <f>(4*$B$15+3*$B$16+2*$B$17+1*$B$18)*COUNTIF($B$8:$B$10,"&gt;0")</f>
        <v>62</v>
      </c>
    </row>
    <row r="16" spans="1:15" x14ac:dyDescent="0.25">
      <c r="A16" s="1">
        <v>2</v>
      </c>
      <c r="B16" s="9">
        <v>5</v>
      </c>
      <c r="D16" t="s">
        <v>11</v>
      </c>
      <c r="E16">
        <f>(1*$B$15+2*$B$16+3*$B$17+4*$B$18)*COUNTIF($G$3:$G$7,"&gt;0")</f>
        <v>165</v>
      </c>
      <c r="F16">
        <f>(1*$B$15+2*$B$16+3*$B$17+4*$B$18)*COUNTIF($G$8:$G$10,"&gt;0")</f>
        <v>66</v>
      </c>
      <c r="H16" t="s">
        <v>11</v>
      </c>
      <c r="I16" s="9">
        <f>(4*$B$15+3*$B$16+2*$B$17+1*$B$18)*COUNTIF($G$3:$G$7,"&gt;0")</f>
        <v>310</v>
      </c>
      <c r="J16" s="9">
        <f>(4*$B$15+3*$B$16+2*$B$17+1*$B$18)*COUNTIF($G$8:$G$10,"&gt;0")</f>
        <v>124</v>
      </c>
    </row>
    <row r="17" spans="1:10" x14ac:dyDescent="0.25">
      <c r="A17" s="1">
        <v>3</v>
      </c>
      <c r="B17" s="9">
        <v>3</v>
      </c>
      <c r="D17" t="s">
        <v>21</v>
      </c>
      <c r="E17">
        <f>(1*$B$15+2*$B$16+3*$B$17+4*$B$18)*COUNTIF($L$3:$L$7,"&gt;0")</f>
        <v>66</v>
      </c>
      <c r="F17">
        <f>(1*$B$15+2*$B$16+3*$B$17+4*$B$18)*COUNTIF($L$8:$L$10,"&gt;0")</f>
        <v>33</v>
      </c>
      <c r="H17" t="s">
        <v>21</v>
      </c>
      <c r="I17" s="9">
        <f>(4*$B$15+3*$B$16+2*$B$17+1*$B$18)*COUNTIF($L$3:$L$7,"&gt;0")</f>
        <v>124</v>
      </c>
      <c r="J17" s="9">
        <f>(4*$B$15+3*$B$16+2*$B$17+1*$B$18)*COUNTIF($L$8:$L$10,"&gt;0")</f>
        <v>62</v>
      </c>
    </row>
    <row r="18" spans="1:10" x14ac:dyDescent="0.25">
      <c r="A18" s="1">
        <v>4</v>
      </c>
      <c r="B18" s="9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3"/>
  <sheetViews>
    <sheetView tabSelected="1" workbookViewId="0">
      <selection activeCell="P11" sqref="P11"/>
    </sheetView>
  </sheetViews>
  <sheetFormatPr defaultRowHeight="15" x14ac:dyDescent="0.25"/>
  <cols>
    <col min="1" max="1" width="25.42578125" customWidth="1"/>
    <col min="2" max="4" width="12.7109375" customWidth="1"/>
    <col min="5" max="5" width="4.7109375" customWidth="1"/>
    <col min="10" max="10" width="3.7109375" customWidth="1"/>
  </cols>
  <sheetData>
    <row r="1" spans="1:13" x14ac:dyDescent="0.25">
      <c r="B1" s="1" t="s">
        <v>71</v>
      </c>
      <c r="F1" s="1" t="s">
        <v>72</v>
      </c>
      <c r="K1" s="1" t="s">
        <v>98</v>
      </c>
    </row>
    <row r="2" spans="1:13" x14ac:dyDescent="0.25">
      <c r="A2" s="8" t="s">
        <v>96</v>
      </c>
      <c r="B2" s="1" t="s">
        <v>10</v>
      </c>
      <c r="C2" s="1" t="s">
        <v>11</v>
      </c>
      <c r="D2" s="1" t="s">
        <v>21</v>
      </c>
      <c r="F2" s="1" t="s">
        <v>10</v>
      </c>
      <c r="G2" s="1" t="s">
        <v>11</v>
      </c>
      <c r="H2" s="1" t="s">
        <v>21</v>
      </c>
      <c r="K2" s="1" t="s">
        <v>10</v>
      </c>
      <c r="L2" s="1" t="s">
        <v>11</v>
      </c>
      <c r="M2" s="1" t="s">
        <v>21</v>
      </c>
    </row>
    <row r="3" spans="1:13" x14ac:dyDescent="0.25">
      <c r="A3" t="s">
        <v>63</v>
      </c>
      <c r="B3" s="9">
        <f ca="1">AVERAGE(INDIRECT("'" &amp; $A3 &amp; "'!AQ:AQ"))</f>
        <v>0.74310344827586206</v>
      </c>
      <c r="C3" s="9">
        <f ca="1">AVERAGE(INDIRECT("'" &amp; $A3 &amp; "'!AR:AR"))</f>
        <v>0.55655172413793097</v>
      </c>
      <c r="D3" s="9">
        <f ca="1">AVERAGE(INDIRECT("'" &amp; $A3 &amp; "'!AS:AS"))</f>
        <v>0.41896551724137937</v>
      </c>
      <c r="F3" s="9">
        <f t="shared" ref="F3:F8" ca="1" si="0">AVERAGE(INDIRECT("'" &amp; $A3 &amp; "'!AU:AU"))</f>
        <v>0.85862068965517246</v>
      </c>
      <c r="G3" s="9">
        <f t="shared" ref="G3:G8" ca="1" si="1">AVERAGE(INDIRECT("'" &amp; $A3 &amp; "'!AV:AV"))</f>
        <v>0.83103448275862069</v>
      </c>
      <c r="H3" s="9">
        <f t="shared" ref="H3:H8" ca="1" si="2">AVERAGE(INDIRECT("'" &amp; $A3 &amp; "'!AW:AW"))</f>
        <v>0.50689655172413794</v>
      </c>
      <c r="K3" s="9">
        <f ca="1">(B3*COUNTIF(Scores!$B$3:$B$7,"&gt;0")+F3*COUNTIF(Scores!$B$8:$B$10,"&gt;0"))/COUNTIF(Scores!$B$3:$B$10,"&gt;0")</f>
        <v>0.76620689655172414</v>
      </c>
      <c r="L3" s="9">
        <f ca="1">(C3*COUNTIF(Scores!$G$3:$G$7,"&gt;0")+G3*COUNTIF(Scores!$G$8:$G$10,"&gt;0"))/COUNTIF(Scores!$G$3:$G$10,"&gt;0")</f>
        <v>0.63497536945812805</v>
      </c>
      <c r="M3" s="9">
        <f ca="1">(D3*COUNTIF(Scores!$L$3:$L$7,"&gt;0")+H3*COUNTIF(Scores!$L$8:$L$10,"&gt;0"))/COUNTIF(Scores!$L$3:$L$10,"&gt;0")</f>
        <v>0.44827586206896558</v>
      </c>
    </row>
    <row r="4" spans="1:13" x14ac:dyDescent="0.25">
      <c r="A4" t="s">
        <v>64</v>
      </c>
      <c r="B4" s="9">
        <f t="shared" ref="B4:B9" ca="1" si="3">AVERAGE(INDIRECT("'" &amp; $A4 &amp; "'!AQ:AQ"))</f>
        <v>0.62413793103448278</v>
      </c>
      <c r="C4" s="9">
        <f t="shared" ref="C4:C9" ca="1" si="4">AVERAGE(INDIRECT("'" &amp; $A4 &amp; "'!AR:AR"))</f>
        <v>0.75862068965517238</v>
      </c>
      <c r="D4" s="9">
        <f t="shared" ref="D4:D9" ca="1" si="5">AVERAGE(INDIRECT("'" &amp; $A4 &amp; "'!AS:AS"))</f>
        <v>0.6</v>
      </c>
      <c r="F4" s="9">
        <f t="shared" ca="1" si="0"/>
        <v>0.89310344827586208</v>
      </c>
      <c r="G4" s="9">
        <f t="shared" ca="1" si="1"/>
        <v>0.80172413793103448</v>
      </c>
      <c r="H4" s="9">
        <f t="shared" ca="1" si="2"/>
        <v>0.47241379310344833</v>
      </c>
      <c r="K4" s="9">
        <f ca="1">(B4*COUNTIF(Scores!$B$3:$B$7,"&gt;0")+F4*COUNTIF(Scores!$B$8:$B$10,"&gt;0"))/COUNTIF(Scores!$B$3:$B$10,"&gt;0")</f>
        <v>0.67793103448275871</v>
      </c>
      <c r="L4" s="9">
        <f ca="1">(C4*COUNTIF(Scores!$G$3:$G$7,"&gt;0")+G4*COUNTIF(Scores!$G$8:$G$10,"&gt;0"))/COUNTIF(Scores!$G$3:$G$10,"&gt;0")</f>
        <v>0.7709359605911329</v>
      </c>
      <c r="M4" s="9">
        <f ca="1">(D4*COUNTIF(Scores!$L$3:$L$7,"&gt;0")+H4*COUNTIF(Scores!$L$8:$L$10,"&gt;0"))/COUNTIF(Scores!$L$3:$L$10,"&gt;0")</f>
        <v>0.55747126436781613</v>
      </c>
    </row>
    <row r="5" spans="1:13" x14ac:dyDescent="0.25">
      <c r="A5" t="s">
        <v>67</v>
      </c>
      <c r="B5" s="9">
        <f ca="1">AVERAGE(INDIRECT("'" &amp; $A5 &amp; "'!AQ:AQ"))</f>
        <v>0.7693965517241379</v>
      </c>
      <c r="C5" s="9">
        <f ca="1">AVERAGE(INDIRECT("'" &amp; $A5 &amp; "'!AR:AR"))</f>
        <v>0.66379310344827591</v>
      </c>
      <c r="D5" s="9">
        <f ca="1">AVERAGE(INDIRECT("'" &amp; $A5 &amp; "'!AS:AS"))</f>
        <v>0.53017241379310343</v>
      </c>
      <c r="F5" s="9">
        <f ca="1">AVERAGE(INDIRECT("'" &amp; $A5 &amp; "'!AU:AU"))</f>
        <v>0.86206896551724133</v>
      </c>
      <c r="G5" s="9">
        <f ca="1">AVERAGE(INDIRECT("'" &amp; $A5 &amp; "'!AV:AV"))</f>
        <v>0.86637931034482762</v>
      </c>
      <c r="H5" s="9">
        <f ca="1">AVERAGE(INDIRECT("'" &amp; $A5 &amp; "'!AW:AW"))</f>
        <v>0.58620689655172409</v>
      </c>
      <c r="K5" s="9">
        <f ca="1">(B5*COUNTIF(Scores!$B$3:$B$7,"&gt;0")+F5*COUNTIF(Scores!$B$8:$B$10,"&gt;0"))/COUNTIF(Scores!$B$3:$B$10,"&gt;0")</f>
        <v>0.78793103448275859</v>
      </c>
      <c r="L5" s="9">
        <f ca="1">(C5*COUNTIF(Scores!$G$3:$G$7,"&gt;0")+G5*COUNTIF(Scores!$G$8:$G$10,"&gt;0"))/COUNTIF(Scores!$G$3:$G$10,"&gt;0")</f>
        <v>0.7216748768472907</v>
      </c>
      <c r="M5" s="9">
        <f ca="1">(D5*COUNTIF(Scores!$L$3:$L$7,"&gt;0")+H5*COUNTIF(Scores!$L$8:$L$10,"&gt;0"))/COUNTIF(Scores!$L$3:$L$10,"&gt;0")</f>
        <v>0.54885057471264365</v>
      </c>
    </row>
    <row r="6" spans="1:13" x14ac:dyDescent="0.25">
      <c r="A6" t="s">
        <v>65</v>
      </c>
      <c r="B6" s="9">
        <f ca="1">AVERAGE(INDIRECT("'" &amp; $A6 &amp; "'!AQ:AQ"))</f>
        <v>0.69371196754563891</v>
      </c>
      <c r="C6" s="9">
        <f ca="1">AVERAGE(INDIRECT("'" &amp; $A6 &amp; "'!AR:AR"))</f>
        <v>0.70182555780933054</v>
      </c>
      <c r="D6" s="9">
        <f ca="1">AVERAGE(INDIRECT("'" &amp; $A6 &amp; "'!AS:AS"))</f>
        <v>0.54665314401622722</v>
      </c>
      <c r="F6" s="9">
        <f ca="1">AVERAGE(INDIRECT("'" &amp; $A6 &amp; "'!AU:AU"))</f>
        <v>0.81338742393509134</v>
      </c>
      <c r="G6" s="9">
        <f ca="1">AVERAGE(INDIRECT("'" &amp; $A6 &amp; "'!AV:AV"))</f>
        <v>0.75963488843813376</v>
      </c>
      <c r="H6" s="9">
        <f ca="1">AVERAGE(INDIRECT("'" &amp; $A6 &amp; "'!AW:AW"))</f>
        <v>0.50507099391480725</v>
      </c>
      <c r="K6" s="9">
        <f ca="1">(B6*COUNTIF(Scores!$B$3:$B$7,"&gt;0")+F6*COUNTIF(Scores!$B$8:$B$10,"&gt;0"))/COUNTIF(Scores!$B$3:$B$10,"&gt;0")</f>
        <v>0.7176470588235293</v>
      </c>
      <c r="L6" s="9">
        <f ca="1">(C6*COUNTIF(Scores!$G$3:$G$7,"&gt;0")+G6*COUNTIF(Scores!$G$8:$G$10,"&gt;0"))/COUNTIF(Scores!$G$3:$G$10,"&gt;0")</f>
        <v>0.71834250941756006</v>
      </c>
      <c r="M6" s="9">
        <f ca="1">(D6*COUNTIF(Scores!$L$3:$L$7,"&gt;0")+H6*COUNTIF(Scores!$L$8:$L$10,"&gt;0"))/COUNTIF(Scores!$L$3:$L$10,"&gt;0")</f>
        <v>0.53279242731575394</v>
      </c>
    </row>
    <row r="7" spans="1:13" x14ac:dyDescent="0.25">
      <c r="A7" t="s">
        <v>66</v>
      </c>
      <c r="B7" s="9">
        <f ca="1">AVERAGE(INDIRECT("'" &amp; $A7 &amp; "'!AQ:AQ"))</f>
        <v>0.83333333333333337</v>
      </c>
      <c r="C7" s="9">
        <f ca="1">AVERAGE(INDIRECT("'" &amp; $A7 &amp; "'!AR:AR"))</f>
        <v>0.5977011494252874</v>
      </c>
      <c r="D7" s="9">
        <f ca="1">AVERAGE(INDIRECT("'" &amp; $A7 &amp; "'!AS:AS"))</f>
        <v>0.45689655172413796</v>
      </c>
      <c r="F7" s="9">
        <f ca="1">AVERAGE(INDIRECT("'" &amp; $A7 &amp; "'!AU:AU"))</f>
        <v>0.94827586206896564</v>
      </c>
      <c r="G7" s="9">
        <f ca="1">AVERAGE(INDIRECT("'" &amp; $A7 &amp; "'!AV:AV"))</f>
        <v>0.83333333333333337</v>
      </c>
      <c r="H7" s="9">
        <f ca="1">AVERAGE(INDIRECT("'" &amp; $A7 &amp; "'!AW:AW"))</f>
        <v>0.56896551724137934</v>
      </c>
      <c r="K7" s="9">
        <f ca="1">(B7*COUNTIF(Scores!$B$3:$B$7,"&gt;0")+F7*COUNTIF(Scores!$B$8:$B$10,"&gt;0"))/COUNTIF(Scores!$B$3:$B$10,"&gt;0")</f>
        <v>0.85632183908045989</v>
      </c>
      <c r="L7" s="9">
        <f ca="1">(C7*COUNTIF(Scores!$G$3:$G$7,"&gt;0")+G7*COUNTIF(Scores!$G$8:$G$10,"&gt;0"))/COUNTIF(Scores!$G$3:$G$10,"&gt;0")</f>
        <v>0.665024630541872</v>
      </c>
      <c r="M7" s="9">
        <f ca="1">(D7*COUNTIF(Scores!$L$3:$L$7,"&gt;0")+H7*COUNTIF(Scores!$L$8:$L$10,"&gt;0"))/COUNTIF(Scores!$L$3:$L$10,"&gt;0")</f>
        <v>0.4942528735632184</v>
      </c>
    </row>
    <row r="8" spans="1:13" x14ac:dyDescent="0.25">
      <c r="A8" t="s">
        <v>14</v>
      </c>
      <c r="B8" s="9">
        <f t="shared" ca="1" si="3"/>
        <v>0.68965517241379304</v>
      </c>
      <c r="C8" s="9">
        <f t="shared" ca="1" si="4"/>
        <v>0.66000000000000014</v>
      </c>
      <c r="D8" s="9">
        <f t="shared" ca="1" si="5"/>
        <v>0.50172413793103454</v>
      </c>
      <c r="F8" s="9">
        <f t="shared" ca="1" si="0"/>
        <v>0.78275862068965529</v>
      </c>
      <c r="G8" s="9">
        <f t="shared" ca="1" si="1"/>
        <v>0.76379310344827589</v>
      </c>
      <c r="H8" s="9">
        <f t="shared" ca="1" si="2"/>
        <v>0.44482758620689655</v>
      </c>
      <c r="K8" s="9">
        <f ca="1">(B8*COUNTIF(Scores!$B$3:$B$7,"&gt;0")+F8*COUNTIF(Scores!$B$8:$B$10,"&gt;0"))/COUNTIF(Scores!$B$3:$B$10,"&gt;0")</f>
        <v>0.70827586206896542</v>
      </c>
      <c r="L8" s="9">
        <f ca="1">(C8*COUNTIF(Scores!$G$3:$G$7,"&gt;0")+G8*COUNTIF(Scores!$G$8:$G$10,"&gt;0"))/COUNTIF(Scores!$G$3:$G$10,"&gt;0")</f>
        <v>0.68965517241379326</v>
      </c>
      <c r="M8" s="9">
        <f ca="1">(D8*COUNTIF(Scores!$L$3:$L$7,"&gt;0")+H8*COUNTIF(Scores!$L$8:$L$10,"&gt;0"))/COUNTIF(Scores!$L$3:$L$10,"&gt;0")</f>
        <v>0.48275862068965525</v>
      </c>
    </row>
    <row r="9" spans="1:13" x14ac:dyDescent="0.25">
      <c r="A9" t="s">
        <v>68</v>
      </c>
      <c r="B9" s="9">
        <f t="shared" ca="1" si="3"/>
        <v>0.70258620689655171</v>
      </c>
      <c r="C9" s="9">
        <f t="shared" ca="1" si="4"/>
        <v>0.78482758620689652</v>
      </c>
      <c r="D9" s="9">
        <f t="shared" ca="1" si="5"/>
        <v>0.57241379310344831</v>
      </c>
      <c r="F9" s="9">
        <f ca="1">AVERAGE(INDIRECT("'" &amp; $A9 &amp; "'!AU:AU"))</f>
        <v>0.90344827586206899</v>
      </c>
      <c r="G9" s="9">
        <f ca="1">AVERAGE(INDIRECT("'" &amp; $A9 &amp; "'!AV:AV"))</f>
        <v>0.83965517241379306</v>
      </c>
      <c r="H9" s="9">
        <f ca="1">AVERAGE(INDIRECT("'" &amp; $A9 &amp; "'!AW:AW"))</f>
        <v>0.55862068965517242</v>
      </c>
      <c r="K9" s="9">
        <f ca="1">(B9*COUNTIF(Scores!$B$3:$B$7,"&gt;0")+F9*COUNTIF(Scores!$B$8:$B$10,"&gt;0"))/COUNTIF(Scores!$B$3:$B$10,"&gt;0")</f>
        <v>0.74275862068965515</v>
      </c>
      <c r="L9" s="9">
        <f ca="1">(C9*COUNTIF(Scores!$G$3:$G$7,"&gt;0")+G9*COUNTIF(Scores!$G$8:$G$10,"&gt;0"))/COUNTIF(Scores!$G$3:$G$10,"&gt;0")</f>
        <v>0.80049261083743839</v>
      </c>
      <c r="M9" s="9">
        <f ca="1">(D9*COUNTIF(Scores!$L$3:$L$7,"&gt;0")+H9*COUNTIF(Scores!$L$8:$L$10,"&gt;0"))/COUNTIF(Scores!$L$3:$L$10,"&gt;0")</f>
        <v>0.56781609195402305</v>
      </c>
    </row>
    <row r="10" spans="1:13" x14ac:dyDescent="0.25">
      <c r="B10" s="9"/>
      <c r="C10" s="9"/>
      <c r="D10" s="9"/>
    </row>
    <row r="11" spans="1:13" x14ac:dyDescent="0.25">
      <c r="B11" s="1" t="s">
        <v>71</v>
      </c>
      <c r="F11" s="1" t="s">
        <v>72</v>
      </c>
      <c r="K11" s="1" t="s">
        <v>98</v>
      </c>
    </row>
    <row r="12" spans="1:13" x14ac:dyDescent="0.25">
      <c r="A12" s="8" t="s">
        <v>97</v>
      </c>
      <c r="B12" s="1" t="s">
        <v>10</v>
      </c>
      <c r="C12" s="1" t="s">
        <v>11</v>
      </c>
      <c r="D12" s="1" t="s">
        <v>21</v>
      </c>
      <c r="F12" s="1" t="s">
        <v>10</v>
      </c>
      <c r="G12" s="1" t="s">
        <v>11</v>
      </c>
      <c r="H12" s="1" t="s">
        <v>21</v>
      </c>
      <c r="K12" s="1" t="s">
        <v>10</v>
      </c>
      <c r="L12" s="1" t="s">
        <v>11</v>
      </c>
      <c r="M12" s="1" t="s">
        <v>21</v>
      </c>
    </row>
    <row r="13" spans="1:13" x14ac:dyDescent="0.25">
      <c r="A13" t="s">
        <v>63</v>
      </c>
      <c r="B13" s="9">
        <f ca="1">VLOOKUP("Borda",INDIRECT("'" &amp; $A13 &amp; "'!A:AW"),43,FALSE)</f>
        <v>0.84482758620689657</v>
      </c>
      <c r="C13" s="9">
        <f ca="1">VLOOKUP("Borda",INDIRECT("'" &amp; $A13 &amp; "'!A:AW"),44,FALSE)</f>
        <v>0.51724137931034486</v>
      </c>
      <c r="D13" s="9">
        <f ca="1">VLOOKUP("Borda",INDIRECT("'" &amp; $A13 &amp; "'!A:AW"),45,FALSE)</f>
        <v>0.68965517241379315</v>
      </c>
      <c r="F13" s="9">
        <f ca="1">VLOOKUP("Borda",INDIRECT("'" &amp; $A13 &amp; "'!A:AW"),47,FALSE)</f>
        <v>0.93103448275862066</v>
      </c>
      <c r="G13" s="9">
        <f ca="1">VLOOKUP("Borda",INDIRECT("'" &amp; $A13 &amp; "'!A:AW"),48,FALSE)</f>
        <v>1</v>
      </c>
      <c r="H13" s="9">
        <f ca="1">VLOOKUP("Borda",INDIRECT("'" &amp; $A13 &amp; "'!A:AW"),49,FALSE)</f>
        <v>0.58620689655172409</v>
      </c>
      <c r="K13" s="9">
        <f ca="1">(B13*COUNTIF(Scores!$B$3:$B$7,"&gt;0")+F13*COUNTIF(Scores!$B$8:$B$10,"&gt;0"))/COUNTIF(Scores!$B$3:$B$10,"&gt;0")</f>
        <v>0.86206896551724144</v>
      </c>
      <c r="L13" s="9">
        <f ca="1">(C13*COUNTIF(Scores!$G$3:$G$7,"&gt;0")+G13*COUNTIF(Scores!$G$8:$G$10,"&gt;0"))/COUNTIF(Scores!$G$3:$G$10,"&gt;0")</f>
        <v>0.65517241379310343</v>
      </c>
      <c r="M13" s="9">
        <f ca="1">(D13*COUNTIF(Scores!$L$3:$L$7,"&gt;0")+H13*COUNTIF(Scores!$L$8:$L$10,"&gt;0"))/COUNTIF(Scores!$L$3:$L$10,"&gt;0")</f>
        <v>0.65517241379310354</v>
      </c>
    </row>
    <row r="14" spans="1:13" x14ac:dyDescent="0.25">
      <c r="A14" t="s">
        <v>64</v>
      </c>
      <c r="B14" s="9">
        <f t="shared" ref="B14:B18" ca="1" si="6">VLOOKUP("Borda",INDIRECT("'" &amp; $A14 &amp; "'!A:AW"),43,FALSE)</f>
        <v>0.68965517241379315</v>
      </c>
      <c r="C14" s="9">
        <f t="shared" ref="C14:C19" ca="1" si="7">VLOOKUP("Borda",INDIRECT("'" &amp; $A14 &amp; "'!A:AW"),44,FALSE)</f>
        <v>0.62068965517241381</v>
      </c>
      <c r="D14" s="9">
        <f t="shared" ref="D14:D19" ca="1" si="8">VLOOKUP("Borda",INDIRECT("'" &amp; $A14 &amp; "'!A:AW"),45,FALSE)</f>
        <v>0.65517241379310343</v>
      </c>
      <c r="F14" s="9">
        <f t="shared" ref="F14:F19" ca="1" si="9">VLOOKUP("Borda",INDIRECT("'" &amp; $A14 &amp; "'!A:AW"),47,FALSE)</f>
        <v>0.93103448275862066</v>
      </c>
      <c r="G14" s="9">
        <f t="shared" ref="G14:G19" ca="1" si="10">VLOOKUP("Borda",INDIRECT("'" &amp; $A14 &amp; "'!A:AW"),48,FALSE)</f>
        <v>0.75862068965517238</v>
      </c>
      <c r="H14" s="9">
        <f t="shared" ref="H14:H19" ca="1" si="11">VLOOKUP("Borda",INDIRECT("'" &amp; $A14 &amp; "'!A:AW"),49,FALSE)</f>
        <v>0.31034482758620691</v>
      </c>
      <c r="K14" s="9">
        <f ca="1">(B14*COUNTIF(Scores!$B$3:$B$7,"&gt;0")+F14*COUNTIF(Scores!$B$8:$B$10,"&gt;0"))/COUNTIF(Scores!$B$3:$B$10,"&gt;0")</f>
        <v>0.73793103448275865</v>
      </c>
      <c r="L14" s="9">
        <f ca="1">(C14*COUNTIF(Scores!$G$3:$G$7,"&gt;0")+G14*COUNTIF(Scores!$G$8:$G$10,"&gt;0"))/COUNTIF(Scores!$G$3:$G$10,"&gt;0")</f>
        <v>0.66009852216748766</v>
      </c>
      <c r="M14" s="9">
        <f ca="1">(D14*COUNTIF(Scores!$L$3:$L$7,"&gt;0")+H14*COUNTIF(Scores!$L$8:$L$10,"&gt;0"))/COUNTIF(Scores!$L$3:$L$10,"&gt;0")</f>
        <v>0.54022988505747127</v>
      </c>
    </row>
    <row r="15" spans="1:13" x14ac:dyDescent="0.25">
      <c r="A15" t="s">
        <v>67</v>
      </c>
      <c r="B15" s="9">
        <f t="shared" ca="1" si="6"/>
        <v>0.7931034482758621</v>
      </c>
      <c r="C15" s="9">
        <f t="shared" ca="1" si="7"/>
        <v>0.71724137931034482</v>
      </c>
      <c r="D15" s="9">
        <f t="shared" ca="1" si="8"/>
        <v>0.58620689655172409</v>
      </c>
      <c r="F15" s="9">
        <f t="shared" ca="1" si="9"/>
        <v>0.93103448275862066</v>
      </c>
      <c r="G15" s="9">
        <f t="shared" ca="1" si="10"/>
        <v>0.7931034482758621</v>
      </c>
      <c r="H15" s="9">
        <f t="shared" ca="1" si="11"/>
        <v>0.31034482758620691</v>
      </c>
      <c r="K15" s="9">
        <f ca="1">(B15*COUNTIF(Scores!$B$3:$B$7,"&gt;0")+F15*COUNTIF(Scores!$B$8:$B$10,"&gt;0"))/COUNTIF(Scores!$B$3:$B$10,"&gt;0")</f>
        <v>0.82068965517241388</v>
      </c>
      <c r="L15" s="9">
        <f ca="1">(C15*COUNTIF(Scores!$G$3:$G$7,"&gt;0")+G15*COUNTIF(Scores!$G$8:$G$10,"&gt;0"))/COUNTIF(Scores!$G$3:$G$10,"&gt;0")</f>
        <v>0.73891625615763545</v>
      </c>
      <c r="M15" s="9">
        <f ca="1">(D15*COUNTIF(Scores!$L$3:$L$7,"&gt;0")+H15*COUNTIF(Scores!$L$8:$L$10,"&gt;0"))/COUNTIF(Scores!$L$3:$L$10,"&gt;0")</f>
        <v>0.49425287356321834</v>
      </c>
    </row>
    <row r="16" spans="1:13" x14ac:dyDescent="0.25">
      <c r="A16" t="s">
        <v>65</v>
      </c>
      <c r="B16" s="9">
        <f t="shared" ca="1" si="6"/>
        <v>0.76724137931034486</v>
      </c>
      <c r="C16" s="9">
        <f t="shared" ca="1" si="7"/>
        <v>0.78620689655172415</v>
      </c>
      <c r="D16" s="9">
        <f t="shared" ca="1" si="8"/>
        <v>0.58620689655172409</v>
      </c>
      <c r="F16" s="9">
        <f t="shared" ca="1" si="9"/>
        <v>0.93103448275862066</v>
      </c>
      <c r="G16" s="9">
        <f t="shared" ca="1" si="10"/>
        <v>0.7931034482758621</v>
      </c>
      <c r="H16" s="9">
        <f t="shared" ca="1" si="11"/>
        <v>0.31034482758620691</v>
      </c>
      <c r="K16" s="9">
        <f ca="1">(B16*COUNTIF(Scores!$B$3:$B$7,"&gt;0")+F16*COUNTIF(Scores!$B$8:$B$10,"&gt;0"))/COUNTIF(Scores!$B$3:$B$10,"&gt;0")</f>
        <v>0.8</v>
      </c>
      <c r="L16" s="9">
        <f ca="1">(C16*COUNTIF(Scores!$G$3:$G$7,"&gt;0")+G16*COUNTIF(Scores!$G$8:$G$10,"&gt;0"))/COUNTIF(Scores!$G$3:$G$10,"&gt;0")</f>
        <v>0.78817733990147787</v>
      </c>
      <c r="M16" s="9">
        <f ca="1">(D16*COUNTIF(Scores!$L$3:$L$7,"&gt;0")+H16*COUNTIF(Scores!$L$8:$L$10,"&gt;0"))/COUNTIF(Scores!$L$3:$L$10,"&gt;0")</f>
        <v>0.49425287356321834</v>
      </c>
    </row>
    <row r="17" spans="1:13" x14ac:dyDescent="0.25">
      <c r="A17" t="s">
        <v>66</v>
      </c>
      <c r="B17" s="9">
        <f t="shared" ca="1" si="6"/>
        <v>0.85344827586206895</v>
      </c>
      <c r="C17" s="9">
        <f t="shared" ca="1" si="7"/>
        <v>0.58620689655172409</v>
      </c>
      <c r="D17" s="9">
        <f t="shared" ca="1" si="8"/>
        <v>0.41379310344827586</v>
      </c>
      <c r="F17" s="9">
        <f t="shared" ca="1" si="9"/>
        <v>1</v>
      </c>
      <c r="G17" s="9">
        <f t="shared" ca="1" si="10"/>
        <v>0.82758620689655171</v>
      </c>
      <c r="H17" s="9">
        <f t="shared" ca="1" si="11"/>
        <v>0.51724137931034486</v>
      </c>
      <c r="K17" s="9">
        <f ca="1">(B17*COUNTIF(Scores!$B$3:$B$7,"&gt;0")+F17*COUNTIF(Scores!$B$8:$B$10,"&gt;0"))/COUNTIF(Scores!$B$3:$B$10,"&gt;0")</f>
        <v>0.88275862068965516</v>
      </c>
      <c r="L17" s="9">
        <f ca="1">(C17*COUNTIF(Scores!$G$3:$G$7,"&gt;0")+G17*COUNTIF(Scores!$G$8:$G$10,"&gt;0"))/COUNTIF(Scores!$G$3:$G$10,"&gt;0")</f>
        <v>0.65517241379310343</v>
      </c>
      <c r="M17" s="9">
        <f ca="1">(D17*COUNTIF(Scores!$L$3:$L$7,"&gt;0")+H17*COUNTIF(Scores!$L$8:$L$10,"&gt;0"))/COUNTIF(Scores!$L$3:$L$10,"&gt;0")</f>
        <v>0.44827586206896552</v>
      </c>
    </row>
    <row r="18" spans="1:13" x14ac:dyDescent="0.25">
      <c r="A18" t="s">
        <v>14</v>
      </c>
      <c r="B18" s="9">
        <f t="shared" ca="1" si="6"/>
        <v>0.80172413793103448</v>
      </c>
      <c r="C18" s="9">
        <f t="shared" ca="1" si="7"/>
        <v>0.6344827586206897</v>
      </c>
      <c r="D18" s="9">
        <f t="shared" ca="1" si="8"/>
        <v>0.51724137931034486</v>
      </c>
      <c r="F18" s="9">
        <f t="shared" ca="1" si="9"/>
        <v>0.7931034482758621</v>
      </c>
      <c r="G18" s="9">
        <f t="shared" ca="1" si="10"/>
        <v>0.86206896551724133</v>
      </c>
      <c r="H18" s="9">
        <f t="shared" ca="1" si="11"/>
        <v>0.17241379310344829</v>
      </c>
      <c r="K18" s="9">
        <f ca="1">(B18*COUNTIF(Scores!$B$3:$B$7,"&gt;0")+F18*COUNTIF(Scores!$B$8:$B$10,"&gt;0"))/COUNTIF(Scores!$B$3:$B$10,"&gt;0")</f>
        <v>0.8</v>
      </c>
      <c r="L18" s="9">
        <f ca="1">(C18*COUNTIF(Scores!$G$3:$G$7,"&gt;0")+G18*COUNTIF(Scores!$G$8:$G$10,"&gt;0"))/COUNTIF(Scores!$G$3:$G$10,"&gt;0")</f>
        <v>0.6995073891625615</v>
      </c>
      <c r="M18" s="9">
        <f ca="1">(D18*COUNTIF(Scores!$L$3:$L$7,"&gt;0")+H18*COUNTIF(Scores!$L$8:$L$10,"&gt;0"))/COUNTIF(Scores!$L$3:$L$10,"&gt;0")</f>
        <v>0.40229885057471265</v>
      </c>
    </row>
    <row r="19" spans="1:13" x14ac:dyDescent="0.25">
      <c r="A19" t="s">
        <v>68</v>
      </c>
      <c r="B19" s="9">
        <f ca="1">VLOOKUP("Borda",INDIRECT("'" &amp; $A19 &amp; "'!A:AW"),43,FALSE)</f>
        <v>0.80172413793103448</v>
      </c>
      <c r="C19" s="9">
        <f t="shared" ca="1" si="7"/>
        <v>0.78620689655172415</v>
      </c>
      <c r="D19" s="9">
        <f t="shared" ca="1" si="8"/>
        <v>0.44827586206896552</v>
      </c>
      <c r="F19" s="9">
        <f t="shared" ca="1" si="9"/>
        <v>0.7931034482758621</v>
      </c>
      <c r="G19" s="9">
        <f t="shared" ca="1" si="10"/>
        <v>0.75862068965517238</v>
      </c>
      <c r="H19" s="9">
        <f t="shared" ca="1" si="11"/>
        <v>0.17241379310344829</v>
      </c>
      <c r="K19" s="9">
        <f ca="1">(B19*COUNTIF(Scores!$B$3:$B$7,"&gt;0")+F19*COUNTIF(Scores!$B$8:$B$10,"&gt;0"))/COUNTIF(Scores!$B$3:$B$10,"&gt;0")</f>
        <v>0.8</v>
      </c>
      <c r="L19" s="9">
        <f ca="1">(C19*COUNTIF(Scores!$G$3:$G$7,"&gt;0")+G19*COUNTIF(Scores!$G$8:$G$10,"&gt;0"))/COUNTIF(Scores!$G$3:$G$10,"&gt;0")</f>
        <v>0.77832512315270941</v>
      </c>
      <c r="M19" s="9">
        <f ca="1">(D19*COUNTIF(Scores!$L$3:$L$7,"&gt;0")+H19*COUNTIF(Scores!$L$8:$L$10,"&gt;0"))/COUNTIF(Scores!$L$3:$L$10,"&gt;0")</f>
        <v>0.35632183908045983</v>
      </c>
    </row>
    <row r="20" spans="1:13" x14ac:dyDescent="0.25">
      <c r="B20" s="9"/>
      <c r="C20" s="9"/>
      <c r="D20" s="9"/>
    </row>
    <row r="21" spans="1:13" x14ac:dyDescent="0.25">
      <c r="B21" s="9"/>
      <c r="C21" s="9"/>
      <c r="D21" s="9"/>
    </row>
    <row r="22" spans="1:13" x14ac:dyDescent="0.25">
      <c r="B22" s="9"/>
      <c r="C22" s="9"/>
      <c r="D22" s="9"/>
    </row>
    <row r="23" spans="1:13" x14ac:dyDescent="0.25">
      <c r="B23" s="9"/>
      <c r="C23" s="9"/>
      <c r="D23" s="9"/>
    </row>
    <row r="24" spans="1:13" x14ac:dyDescent="0.25">
      <c r="B24" s="9"/>
      <c r="C24" s="9"/>
      <c r="D24" s="9"/>
    </row>
    <row r="25" spans="1:13" x14ac:dyDescent="0.25">
      <c r="B25" s="9"/>
      <c r="C25" s="9"/>
      <c r="D25" s="9"/>
    </row>
    <row r="26" spans="1:13" x14ac:dyDescent="0.25">
      <c r="B26" s="9"/>
      <c r="C26" s="9"/>
      <c r="D26" s="9"/>
    </row>
    <row r="27" spans="1:13" x14ac:dyDescent="0.25">
      <c r="B27" s="9"/>
      <c r="C27" s="9"/>
      <c r="D27" s="9"/>
    </row>
    <row r="28" spans="1:13" x14ac:dyDescent="0.25">
      <c r="B28" s="9"/>
      <c r="C28" s="9"/>
      <c r="D28" s="9"/>
    </row>
    <row r="29" spans="1:13" x14ac:dyDescent="0.25">
      <c r="B29" s="9"/>
      <c r="C29" s="9"/>
      <c r="D29" s="9"/>
    </row>
    <row r="30" spans="1:13" x14ac:dyDescent="0.25">
      <c r="B30" s="9"/>
      <c r="C30" s="9"/>
      <c r="D30" s="9"/>
    </row>
    <row r="31" spans="1:13" x14ac:dyDescent="0.25">
      <c r="B31" s="9"/>
      <c r="C31" s="9"/>
      <c r="D31" s="9"/>
    </row>
    <row r="32" spans="1:13" x14ac:dyDescent="0.25">
      <c r="B32" s="9"/>
      <c r="C32" s="9"/>
      <c r="D32" s="9"/>
    </row>
    <row r="33" spans="2:4" x14ac:dyDescent="0.25">
      <c r="B33" s="9"/>
      <c r="C33" s="9"/>
      <c r="D33" s="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18"/>
  <sheetViews>
    <sheetView workbookViewId="0">
      <selection activeCell="E10" sqref="E10"/>
    </sheetView>
  </sheetViews>
  <sheetFormatPr defaultRowHeight="15" x14ac:dyDescent="0.25"/>
  <sheetData>
    <row r="1" spans="1:16" x14ac:dyDescent="0.25">
      <c r="A1" s="1" t="s">
        <v>9</v>
      </c>
      <c r="C1" s="1" t="s">
        <v>10</v>
      </c>
      <c r="H1" s="1" t="s">
        <v>11</v>
      </c>
      <c r="M1" s="1" t="s">
        <v>21</v>
      </c>
    </row>
    <row r="2" spans="1:16" x14ac:dyDescent="0.25">
      <c r="A2">
        <f>2/3</f>
        <v>0.66666666666666663</v>
      </c>
      <c r="C2">
        <v>1098</v>
      </c>
      <c r="D2">
        <v>1529</v>
      </c>
      <c r="E2">
        <v>1060</v>
      </c>
      <c r="F2">
        <v>1369</v>
      </c>
      <c r="H2">
        <v>352</v>
      </c>
      <c r="I2">
        <v>578</v>
      </c>
      <c r="J2">
        <v>440</v>
      </c>
      <c r="K2">
        <v>370</v>
      </c>
      <c r="M2">
        <f>C2-H2</f>
        <v>746</v>
      </c>
      <c r="N2">
        <f t="shared" ref="N2:P3" si="0">D2-I2</f>
        <v>951</v>
      </c>
      <c r="O2">
        <f t="shared" si="0"/>
        <v>620</v>
      </c>
      <c r="P2">
        <f t="shared" si="0"/>
        <v>999</v>
      </c>
    </row>
    <row r="3" spans="1:16" x14ac:dyDescent="0.25">
      <c r="A3">
        <f>1/3</f>
        <v>0.33333333333333331</v>
      </c>
      <c r="C3">
        <v>1006</v>
      </c>
      <c r="D3">
        <v>1223</v>
      </c>
      <c r="E3">
        <v>1060</v>
      </c>
      <c r="F3">
        <v>1236</v>
      </c>
      <c r="H3">
        <v>443</v>
      </c>
      <c r="I3">
        <v>885</v>
      </c>
      <c r="J3">
        <v>440</v>
      </c>
      <c r="K3">
        <v>503</v>
      </c>
      <c r="M3">
        <f>C3-H3</f>
        <v>563</v>
      </c>
      <c r="N3">
        <f t="shared" si="0"/>
        <v>338</v>
      </c>
      <c r="O3">
        <f t="shared" si="0"/>
        <v>620</v>
      </c>
      <c r="P3">
        <f t="shared" si="0"/>
        <v>733</v>
      </c>
    </row>
    <row r="4" spans="1:16" x14ac:dyDescent="0.25">
      <c r="C4" s="2">
        <f>C2*$A$2+C3*$A$3</f>
        <v>1067.3333333333333</v>
      </c>
      <c r="D4" s="2">
        <f>D2*$A$2+D3*$A$3</f>
        <v>1427</v>
      </c>
      <c r="E4" s="2">
        <f>E2*$A$2+E3*$A$3</f>
        <v>1060</v>
      </c>
      <c r="F4" s="2">
        <f>F2*$A$2+F3*$A$3</f>
        <v>1324.6666666666665</v>
      </c>
      <c r="H4" s="2">
        <f>H2*$A$2+H3*$A$3</f>
        <v>382.33333333333331</v>
      </c>
      <c r="I4" s="2">
        <f>I2*$A$2+I3*$A$3</f>
        <v>680.33333333333326</v>
      </c>
      <c r="J4" s="2">
        <f>J2*$A$2+J3*$A$3</f>
        <v>440</v>
      </c>
      <c r="K4" s="2">
        <f>K2*$A$2+K3*$A$3</f>
        <v>414.33333333333331</v>
      </c>
      <c r="M4" s="2">
        <f>M2-M3</f>
        <v>183</v>
      </c>
      <c r="N4" s="2">
        <f t="shared" ref="N4:P4" si="1">N2-N3</f>
        <v>613</v>
      </c>
      <c r="O4" s="2">
        <f t="shared" si="1"/>
        <v>0</v>
      </c>
      <c r="P4" s="2">
        <f t="shared" si="1"/>
        <v>266</v>
      </c>
    </row>
    <row r="7" spans="1:16" x14ac:dyDescent="0.25">
      <c r="A7" s="1" t="s">
        <v>13</v>
      </c>
      <c r="C7" s="1" t="s">
        <v>10</v>
      </c>
      <c r="H7" s="1" t="s">
        <v>11</v>
      </c>
      <c r="M7" s="1" t="s">
        <v>21</v>
      </c>
    </row>
    <row r="8" spans="1:16" x14ac:dyDescent="0.25">
      <c r="A8">
        <f>2/3</f>
        <v>0.66666666666666663</v>
      </c>
      <c r="C8">
        <v>1369</v>
      </c>
      <c r="D8">
        <v>1323</v>
      </c>
      <c r="E8">
        <v>1406</v>
      </c>
      <c r="F8">
        <v>1124</v>
      </c>
      <c r="H8">
        <v>370</v>
      </c>
      <c r="I8">
        <v>416</v>
      </c>
      <c r="J8">
        <v>333</v>
      </c>
      <c r="K8">
        <v>615</v>
      </c>
      <c r="M8">
        <f>C8-H8</f>
        <v>999</v>
      </c>
      <c r="N8">
        <f t="shared" ref="N8:N9" si="2">D8-I8</f>
        <v>907</v>
      </c>
      <c r="O8">
        <f t="shared" ref="O8:O9" si="3">E8-J8</f>
        <v>1073</v>
      </c>
      <c r="P8">
        <f t="shared" ref="P8:P9" si="4">F8-K8</f>
        <v>509</v>
      </c>
    </row>
    <row r="9" spans="1:16" x14ac:dyDescent="0.25">
      <c r="A9">
        <f>1/3</f>
        <v>0.33333333333333331</v>
      </c>
      <c r="C9">
        <v>1236</v>
      </c>
      <c r="D9">
        <v>1168</v>
      </c>
      <c r="E9">
        <v>1246</v>
      </c>
      <c r="F9">
        <v>930</v>
      </c>
      <c r="H9">
        <v>503</v>
      </c>
      <c r="I9">
        <v>571</v>
      </c>
      <c r="J9">
        <v>493</v>
      </c>
      <c r="K9">
        <v>809</v>
      </c>
      <c r="M9">
        <f>C9-H9</f>
        <v>733</v>
      </c>
      <c r="N9">
        <f t="shared" si="2"/>
        <v>597</v>
      </c>
      <c r="O9">
        <f t="shared" si="3"/>
        <v>753</v>
      </c>
      <c r="P9">
        <f t="shared" si="4"/>
        <v>121</v>
      </c>
    </row>
    <row r="10" spans="1:16" x14ac:dyDescent="0.25">
      <c r="C10" s="2">
        <f>C8*$A$8+C9*$A$9</f>
        <v>1324.6666666666665</v>
      </c>
      <c r="D10" s="2">
        <f>D8*$A$8+D9*$A$9</f>
        <v>1271.3333333333333</v>
      </c>
      <c r="E10" s="2">
        <f>E8*$A$8+E9*$A$9</f>
        <v>1352.6666666666665</v>
      </c>
      <c r="F10" s="2">
        <f>F8*$A$8+F9*$A$9</f>
        <v>1059.3333333333333</v>
      </c>
      <c r="H10" s="2">
        <f>H8*$A$8+H9*$A$9</f>
        <v>414.33333333333331</v>
      </c>
      <c r="I10" s="2">
        <f>I8*$A$8+I9*$A$9</f>
        <v>467.66666666666663</v>
      </c>
      <c r="J10" s="2">
        <f>J8*$A$8+J9*$A$9</f>
        <v>386.33333333333331</v>
      </c>
      <c r="K10" s="2">
        <f>K8*$A$8+K9*$A$9</f>
        <v>679.66666666666663</v>
      </c>
      <c r="M10" s="2">
        <f>M8-M9</f>
        <v>266</v>
      </c>
      <c r="N10" s="2">
        <f t="shared" ref="N10" si="5">N8-N9</f>
        <v>310</v>
      </c>
      <c r="O10" s="2">
        <f t="shared" ref="O10" si="6">O8-O9</f>
        <v>320</v>
      </c>
      <c r="P10" s="2">
        <f t="shared" ref="P10" si="7">P8-P9</f>
        <v>388</v>
      </c>
    </row>
    <row r="13" spans="1:16" x14ac:dyDescent="0.25">
      <c r="A13" s="1" t="s">
        <v>62</v>
      </c>
      <c r="C13" s="1" t="s">
        <v>10</v>
      </c>
      <c r="H13" s="1" t="s">
        <v>11</v>
      </c>
      <c r="M13" s="1" t="s">
        <v>21</v>
      </c>
    </row>
    <row r="14" spans="1:16" x14ac:dyDescent="0.25">
      <c r="A14">
        <f>2/3</f>
        <v>0.66666666666666663</v>
      </c>
      <c r="C14">
        <v>1171</v>
      </c>
      <c r="D14">
        <v>916</v>
      </c>
      <c r="E14">
        <v>613</v>
      </c>
      <c r="F14">
        <v>863</v>
      </c>
      <c r="H14">
        <v>370</v>
      </c>
      <c r="I14">
        <v>416</v>
      </c>
      <c r="J14">
        <v>333</v>
      </c>
      <c r="K14">
        <v>615</v>
      </c>
      <c r="M14">
        <f>C14-(H14+H15)</f>
        <v>-189</v>
      </c>
      <c r="N14">
        <f t="shared" ref="N14:P14" si="8">D14-(I14+I15)</f>
        <v>-1533</v>
      </c>
      <c r="O14">
        <f t="shared" si="8"/>
        <v>-3686</v>
      </c>
      <c r="P14">
        <f t="shared" si="8"/>
        <v>-1054</v>
      </c>
    </row>
    <row r="15" spans="1:16" x14ac:dyDescent="0.25">
      <c r="A15">
        <f>1/3</f>
        <v>0.33333333333333331</v>
      </c>
      <c r="C15">
        <v>919</v>
      </c>
      <c r="D15">
        <v>736</v>
      </c>
      <c r="E15">
        <v>24</v>
      </c>
      <c r="F15">
        <v>785</v>
      </c>
      <c r="H15">
        <v>990</v>
      </c>
      <c r="I15">
        <v>2033</v>
      </c>
      <c r="J15">
        <v>3966</v>
      </c>
      <c r="K15">
        <v>1302</v>
      </c>
      <c r="M15">
        <f>C15-(H16+H17)</f>
        <v>-1525</v>
      </c>
      <c r="N15">
        <f t="shared" ref="N15:P15" si="9">D15-(I16+I17)</f>
        <v>-2397</v>
      </c>
      <c r="O15">
        <f t="shared" si="9"/>
        <v>-6927</v>
      </c>
      <c r="P15">
        <f t="shared" si="9"/>
        <v>-1318</v>
      </c>
    </row>
    <row r="16" spans="1:16" x14ac:dyDescent="0.25">
      <c r="C16" s="2">
        <f>C14*$A$8+C15*$A$9</f>
        <v>1087</v>
      </c>
      <c r="D16" s="2">
        <f>D14*$A$8+D15*$A$9</f>
        <v>856</v>
      </c>
      <c r="E16" s="2">
        <f>E14*$A$8+E15*$A$9</f>
        <v>416.66666666666663</v>
      </c>
      <c r="F16" s="2">
        <f>F14*$A$8+F15*$A$9</f>
        <v>836.99999999999989</v>
      </c>
      <c r="H16">
        <v>414</v>
      </c>
      <c r="I16">
        <v>471</v>
      </c>
      <c r="J16">
        <v>406</v>
      </c>
      <c r="K16">
        <v>667</v>
      </c>
      <c r="M16" s="2">
        <f>M14-M15</f>
        <v>1336</v>
      </c>
      <c r="N16" s="2">
        <f t="shared" ref="N16" si="10">N14-N15</f>
        <v>864</v>
      </c>
      <c r="O16" s="2">
        <f t="shared" ref="O16" si="11">O14-O15</f>
        <v>3241</v>
      </c>
      <c r="P16" s="2">
        <f t="shared" ref="P16" si="12">P14-P15</f>
        <v>264</v>
      </c>
    </row>
    <row r="17" spans="8:11" x14ac:dyDescent="0.25">
      <c r="H17">
        <v>2030</v>
      </c>
      <c r="I17">
        <v>2662</v>
      </c>
      <c r="J17">
        <v>6545</v>
      </c>
      <c r="K17">
        <v>1436</v>
      </c>
    </row>
    <row r="18" spans="8:11" x14ac:dyDescent="0.25">
      <c r="H18" s="2">
        <f>(H14+H15)*$A$8+(H16+H17)*$A$9</f>
        <v>1721.3333333333333</v>
      </c>
      <c r="I18" s="2">
        <f t="shared" ref="I18:K18" si="13">(I14+I15)*$A$8+(I16+I17)*$A$9</f>
        <v>2677</v>
      </c>
      <c r="J18" s="2">
        <f t="shared" si="13"/>
        <v>5183</v>
      </c>
      <c r="K18" s="2">
        <f t="shared" si="13"/>
        <v>1979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TU</vt:lpstr>
      <vt:lpstr>Almende</vt:lpstr>
      <vt:lpstr>Eneco</vt:lpstr>
      <vt:lpstr>RWS 21-11</vt:lpstr>
      <vt:lpstr>RWS 18-12</vt:lpstr>
      <vt:lpstr>TopTech</vt:lpstr>
      <vt:lpstr>BdeBont</vt:lpstr>
      <vt:lpstr>Scores</vt:lpstr>
      <vt:lpstr>Sessiescores</vt:lpstr>
      <vt:lpstr>Verwachtingswaardes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Joris Scharpff</dc:creator>
  <cp:lastModifiedBy>Joris Scharpff</cp:lastModifiedBy>
  <dcterms:created xsi:type="dcterms:W3CDTF">2014-12-22T15:06:01Z</dcterms:created>
  <dcterms:modified xsi:type="dcterms:W3CDTF">2015-01-30T07:42:19Z</dcterms:modified>
</cp:coreProperties>
</file>