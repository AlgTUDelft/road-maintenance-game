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7"/>
  </bookViews>
  <sheets>
    <sheet name="TTL NORMAL" sheetId="1" state="visible" r:id="rId3"/>
    <sheet name="TASKS AND ROAD SEGMENT MATRIX" sheetId="2" state="visible" r:id="rId4"/>
    <sheet name="PORTFOLIO" sheetId="3" state="visible" r:id="rId5"/>
    <sheet name="Kosten herbekend" sheetId="4" state="visible" r:id="rId6"/>
    <sheet name="Network TTL Model" sheetId="5" state="visible" r:id="rId7"/>
    <sheet name="Network TTL Model_1" sheetId="6" state="visible" r:id="rId8"/>
    <sheet name="Network TTL Model_2" sheetId="7" state="visible" r:id="rId9"/>
    <sheet name="Network TTL Model_3" sheetId="8" state="visible" r:id="rId10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<sst xmlns="http://schemas.openxmlformats.org/spreadsheetml/2006/main" count="851" uniqueCount="143">
  <si>
    <t xml:space="preserve">Week 1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</si>
  <si>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</si>
  <si>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</si>
  <si>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</si>
  <si>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</si>
  <si>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</si>
  <si>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</si>
  <si>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</si>
  <si>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</si>
  <si>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</si>
  <si>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</si>
  <si>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</si>
  <si>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 xml:space="preserve">Week 13</t>
  </si>
  <si>
    <t xml:space="preserve">Week 14</t>
  </si>
  <si>
    <t xml:space="preserve">Week 15</t>
  </si>
  <si>
    <t xml:space="preserve">Week 16</t>
  </si>
  <si>
    <t xml:space="preserve">Week 17</t>
  </si>
  <si>
    <t xml:space="preserve">Week 18</t>
  </si>
  <si>
    <t xml:space="preserve">Week 19</t>
  </si>
  <si>
    <t xml:space="preserve">Week 20</t>
  </si>
  <si>
    <t xml:space="preserve">Week 21</t>
  </si>
  <si>
    <t xml:space="preserve">Week 22</t>
  </si>
  <si>
    <t xml:space="preserve">Week 23</t>
  </si>
  <si>
    <t xml:space="preserve">Week 24</t>
  </si>
  <si>
    <t xml:space="preserve">Week 25</t>
  </si>
  <si>
    <t xml:space="preserve">Week 26</t>
  </si>
  <si>
    <t xml:space="preserve">Week 27</t>
  </si>
  <si>
    <t xml:space="preserve">Week 28</t>
  </si>
  <si>
    <t xml:space="preserve">Week 29</t>
  </si>
  <si>
    <t xml:space="preserve">Week 30</t>
  </si>
  <si>
    <t xml:space="preserve">Week 31</t>
  </si>
  <si>
    <t xml:space="preserve">Week 32</t>
  </si>
  <si>
    <t xml:space="preserve">Week 33</t>
  </si>
  <si>
    <t xml:space="preserve">Week 34</t>
  </si>
  <si>
    <t xml:space="preserve">Week 35</t>
  </si>
  <si>
    <t xml:space="preserve">Week 36</t>
  </si>
  <si>
    <t xml:space="preserve">Week 37</t>
  </si>
  <si>
    <t xml:space="preserve">Week 38</t>
  </si>
  <si>
    <t xml:space="preserve">Week 39</t>
  </si>
  <si>
    <t xml:space="preserve">Week 40</t>
  </si>
  <si>
    <t xml:space="preserve">Week 41</t>
  </si>
  <si>
    <t xml:space="preserve">Week 42</t>
  </si>
  <si>
    <t xml:space="preserve">Week 43</t>
  </si>
  <si>
    <t xml:space="preserve">Week 44</t>
  </si>
  <si>
    <t xml:space="preserve">Week 45</t>
  </si>
  <si>
    <t xml:space="preserve">Week 46</t>
  </si>
  <si>
    <t xml:space="preserve">Week 47</t>
  </si>
  <si>
    <t xml:space="preserve">Week 48</t>
  </si>
  <si>
    <t xml:space="preserve">Week 49</t>
  </si>
  <si>
    <t xml:space="preserve">Week 50</t>
  </si>
  <si>
    <t xml:space="preserve">Week 51</t>
  </si>
  <si>
    <t xml:space="preserve">Week 52</t>
  </si>
  <si>
    <t xml:space="preserve">B1-A</t>
  </si>
  <si>
    <t xml:space="preserve">B1-B</t>
  </si>
  <si>
    <t xml:space="preserve">B1-C</t>
  </si>
  <si>
    <t xml:space="preserve">B1-D</t>
  </si>
  <si>
    <t xml:space="preserve">B1-E</t>
  </si>
  <si>
    <t xml:space="preserve">B2-A</t>
  </si>
  <si>
    <t xml:space="preserve">B2-B</t>
  </si>
  <si>
    <t xml:space="preserve">B3-A</t>
  </si>
  <si>
    <t xml:space="preserve">B3-B</t>
  </si>
  <si>
    <t xml:space="preserve">B4-A</t>
  </si>
  <si>
    <t xml:space="preserve">B4-B</t>
  </si>
  <si>
    <t xml:space="preserve">B5-A</t>
  </si>
  <si>
    <t xml:space="preserve">B5-B</t>
  </si>
  <si>
    <t xml:space="preserve">B6-A</t>
  </si>
  <si>
    <t xml:space="preserve">B6-B</t>
  </si>
  <si>
    <t xml:space="preserve">B11-A</t>
  </si>
  <si>
    <t xml:space="preserve">B11-B</t>
  </si>
  <si>
    <t xml:space="preserve">B11-C</t>
  </si>
  <si>
    <t xml:space="preserve">B12-A</t>
  </si>
  <si>
    <t xml:space="preserve">B12-B</t>
  </si>
  <si>
    <t xml:space="preserve">B12-C</t>
  </si>
  <si>
    <t xml:space="preserve">B13-A</t>
  </si>
  <si>
    <t xml:space="preserve">B13-B</t>
  </si>
  <si>
    <t xml:space="preserve">B13-C</t>
  </si>
  <si>
    <t xml:space="preserve">B14-A</t>
  </si>
  <si>
    <t xml:space="preserve">B14-B</t>
  </si>
  <si>
    <t xml:space="preserve">B14-C</t>
  </si>
  <si>
    <t xml:space="preserve">B15-A</t>
  </si>
  <si>
    <t xml:space="preserve">B15-B</t>
  </si>
  <si>
    <t xml:space="preserve">B15-C</t>
  </si>
  <si>
    <t xml:space="preserve">B21-A</t>
  </si>
  <si>
    <t xml:space="preserve">B21-B</t>
  </si>
  <si>
    <t xml:space="preserve">B22-A</t>
  </si>
  <si>
    <t xml:space="preserve">B22-B</t>
  </si>
  <si>
    <t xml:space="preserve">B23-A</t>
  </si>
  <si>
    <t xml:space="preserve">B23-B</t>
  </si>
  <si>
    <t xml:space="preserve">B24-A</t>
  </si>
  <si>
    <t xml:space="preserve">B24-B</t>
  </si>
  <si>
    <t xml:space="preserve">B25-A</t>
  </si>
  <si>
    <t xml:space="preserve">B25-B</t>
  </si>
  <si>
    <t xml:space="preserve">M1-A</t>
  </si>
  <si>
    <t xml:space="preserve">M2-A</t>
  </si>
  <si>
    <t xml:space="preserve">M3-A</t>
  </si>
  <si>
    <t xml:space="preserve">M4-A</t>
  </si>
  <si>
    <t xml:space="preserve">M5-A</t>
  </si>
  <si>
    <t xml:space="preserve">PROJECT NO</t>
  </si>
  <si>
    <t xml:space="preserve">NETWERKDEEL</t>
  </si>
  <si>
    <t xml:space="preserve">ALTERNATIEF NO</t>
  </si>
  <si>
    <t xml:space="preserve">ALTERNATIEF</t>
  </si>
  <si>
    <t xml:space="preserve">PROJECTOMSCHRIJVING</t>
  </si>
  <si>
    <t xml:space="preserve">ALTERNATIEFOMSCHRIJVING</t>
  </si>
  <si>
    <t xml:space="preserve">PROJECT VEROORZAAKT</t>
  </si>
  <si>
    <t xml:space="preserve">VVU GEMIDDELDE PER WEEK</t>
  </si>
  <si>
    <t xml:space="preserve">KOSTEN</t>
  </si>
  <si>
    <t xml:space="preserve">DUUR</t>
  </si>
  <si>
    <t xml:space="preserve">UITLOOPKANS</t>
  </si>
  <si>
    <t xml:space="preserve">UITLOOP</t>
  </si>
  <si>
    <t xml:space="preserve">OPBRENGST</t>
  </si>
  <si>
    <t xml:space="preserve">BOETE (voor een project niet inplannen; ze krijgen geen omzet + betalen ze voor het niet leveren volgens afspraak)</t>
  </si>
  <si>
    <t xml:space="preserve">BEGROTING</t>
  </si>
  <si>
    <t xml:space="preserve">MINDER HINDER</t>
  </si>
  <si>
    <t xml:space="preserve">OMSCHRIJVING VAN DIT ALTERNATIEF: - De gebruiker staat centraal. - Werkzaamheden beperken de hinder voor de weggebruiker. - Het project duurt langer dan andere projecten.  </t>
  </si>
  <si>
    <t xml:space="preserve">ERNSTIGE HINDER</t>
  </si>
  <si>
    <t xml:space="preserve">GOEDKOPER</t>
  </si>
  <si>
    <t xml:space="preserve">OMSCHRIJVING VAN ALTERNATIEF: - U bespaart op materiaal, materieel en manschappen. - U behaalt een hoge opbrengst. - Verkeersmaatregelen en projectbeheersing zijn weg bezuinigd.</t>
  </si>
  <si>
    <t xml:space="preserve">BEPERKTE RISICO'S</t>
  </si>
  <si>
    <t xml:space="preserve">OMSCHRIJVING VAN ALTERNATIEF: - Sterke projectbeheersing voorkomt ongewenst herwerk. - Er is geen risico op uitloop.</t>
  </si>
  <si>
    <t xml:space="preserve">SNELLER KLAAR</t>
  </si>
  <si>
    <t xml:space="preserve">OMSCHRIJVING VAN ALTERNATIEF: -U draait overuren om de weg snel open te stellen. - U krijgt een lichte besparing op de totale kosten - U bent korter aanwezigheid op de weg.</t>
  </si>
  <si>
    <t xml:space="preserve">MATIGE HINDER</t>
  </si>
  <si>
    <t xml:space="preserve">GROTE HINDER</t>
  </si>
  <si>
    <t xml:space="preserve">Portfolio nummer</t>
  </si>
  <si>
    <t xml:space="preserve">Naam</t>
  </si>
  <si>
    <t xml:space="preserve">Welkomsttekst</t>
  </si>
  <si>
    <t xml:space="preserve">Taaknummers</t>
  </si>
  <si>
    <t xml:space="preserve">Kleur</t>
  </si>
  <si>
    <t xml:space="preserve">Roze</t>
  </si>
  <si>
    <t xml:space="preserve">Welkom bij de Regio Roersteden! U bent partner van het grootschalige onderhoudsprogramma 'Netwerk op zijn Best' waarin u samen met uw netwerkpartners wordt gevraagd om de best mogelijke doorstroming  te realiseren bij het afronden van uw werkzaamheden.</t>
  </si>
  <si>
    <t xml:space="preserve">#FFAEC9</t>
  </si>
  <si>
    <t xml:space="preserve">Blauw</t>
  </si>
  <si>
    <t xml:space="preserve">#99D9EA</t>
  </si>
  <si>
    <t xml:space="preserve">Wit</t>
  </si>
  <si>
    <t xml:space="preserve">#D1D1D1</t>
  </si>
  <si>
    <t xml:space="preserve">Zwart</t>
  </si>
  <si>
    <t xml:space="preserve">#646464</t>
  </si>
  <si>
    <t xml:space="preserve">Rood</t>
  </si>
  <si>
    <t xml:space="preserve">#ED1C24</t>
  </si>
  <si>
    <t xml:space="preserve">\mTTL</t>
  </si>
  <si>
    <t xml:space="preserve">\mCost</t>
  </si>
  <si>
    <t xml:space="preserve">\mRisk</t>
  </si>
  <si>
    <t xml:space="preserve">\mFast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</si>
</sst>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"/>
    <numFmt numFmtId="166" formatCode="[$€-2]\ #,##0"/>
    <numFmt numFmtId="167" formatCode="0.0"/>
    <numFmt numFmtId="168" formatCode="[$$-409]#,##0.00"/>
    <numFmt numFmtId="169" formatCode="#,##0"/>
    <numFmt numFmtId="170" formatCode="0%"/>
    <numFmt numFmtId="171" formatCode="0.00%"/>
    <numFmt numFmtId="172" formatCode="#.00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D9D9D9"/>
        <bgColor rgb="FFDADADA"/>
      </patternFill>
    </fill>
    <fill>
      <patternFill patternType="solid">
        <fgColor rgb="FFFFC000"/>
        <bgColor rgb="FFFFFF00"/>
      </patternFill>
    </fill>
    <fill>
      <patternFill patternType="solid">
        <fgColor rgb="FFFFFF00"/>
        <bgColor rgb="FFFFC000"/>
      </patternFill>
    </fill>
    <fill>
      <patternFill patternType="solid">
        <fgColor rgb="FF92D050"/>
        <bgColor rgb="FFB0B0B0"/>
      </patternFill>
    </fill>
    <fill>
      <patternFill patternType="solid">
        <fgColor rgb="FF00B0F0"/>
        <bgColor rgb="FF828282"/>
      </patternFill>
    </fill>
    <fill>
      <patternFill patternType="solid">
        <fgColor rgb="FFFF0000"/>
        <bgColor rgb="FF8000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EAEAEA"/>
      <rgbColor rgb="FFFF0000"/>
      <rgbColor rgb="FF999999"/>
      <rgbColor rgb="FF0000FF"/>
      <rgbColor rgb="FFFFFF00"/>
      <rgbColor rgb="FFAEAEAE"/>
      <rgbColor rgb="FFB1B1B1"/>
      <rgbColor rgb="FF9A9A9A"/>
      <rgbColor rgb="FF7B7B7B"/>
      <rgbColor rgb="FF000080"/>
      <rgbColor rgb="FF737373"/>
      <rgbColor rgb="FF8B8B8B"/>
      <rgbColor rgb="FF646464"/>
      <rgbColor rgb="FFBFBFBF"/>
      <rgbColor rgb="FF828282"/>
      <rgbColor rgb="FFA5A5A5"/>
      <rgbColor rgb="FF585858"/>
      <rgbColor rgb="FFDADADA"/>
      <rgbColor rgb="FFDFDFDF"/>
      <rgbColor rgb="FF8F8F8F"/>
      <rgbColor rgb="FFA7A7A7"/>
      <rgbColor rgb="FF787878"/>
      <rgbColor rgb="FFD2D2D2"/>
      <rgbColor rgb="FF000080"/>
      <rgbColor rgb="FFFF00FF"/>
      <rgbColor rgb="FFCFCFCF"/>
      <rgbColor rgb="FFB0B0B0"/>
      <rgbColor rgb="FF8C8C8C"/>
      <rgbColor rgb="FF800000"/>
      <rgbColor rgb="FF686868"/>
      <rgbColor rgb="FF0000FF"/>
      <rgbColor rgb="FF00B0F0"/>
      <rgbColor rgb="FFDBDBDB"/>
      <rgbColor rgb="FFE4E4E4"/>
      <rgbColor rgb="FFD0D0D0"/>
      <rgbColor rgb="FFC2C2C2"/>
      <rgbColor rgb="FFB9B9B9"/>
      <rgbColor rgb="FFB4B4B4"/>
      <rgbColor rgb="FFD9D9D9"/>
      <rgbColor rgb="FF676767"/>
      <rgbColor rgb="FF9D9D9D"/>
      <rgbColor rgb="FF92D050"/>
      <rgbColor rgb="FFFFC000"/>
      <rgbColor rgb="FFACACAC"/>
      <rgbColor rgb="FF878787"/>
      <rgbColor rgb="FF6F6F6F"/>
      <rgbColor rgb="FF959595"/>
      <rgbColor rgb="FF424242"/>
      <rgbColor rgb="FF767676"/>
      <rgbColor rgb="FF484848"/>
      <rgbColor rgb="FF3C3C3C"/>
      <rgbColor rgb="FF4A4A4A"/>
      <rgbColor rgb="FF525252"/>
      <rgbColor rgb="FF414141"/>
      <rgbColor rgb="FF343434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varyColors val="0"/>
        <c:ser>
          <c:idx val="0"/>
          <c:order val="0"/>
          <c:tx>
            <c:strRef>
              <c:f>'TTL NORMAL'!$A$2:$B$2</c:f>
              <c:strCache>
                <c:ptCount val="1"/>
                <c:pt idx="0">
                  <c:v>B1-A 13267</c:v>
                </c:pt>
              </c:strCache>
            </c:strRef>
          </c:tx>
          <c:spPr>
            <a:solidFill>
              <a:srgbClr val="999999"/>
            </a:solidFill>
            <a:ln w="28440">
              <a:solidFill>
                <a:srgbClr val="999999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NORMAL'!$C$2:$BB$2</c:f>
              <c:numCache>
                <c:formatCode>General</c:formatCode>
                <c:ptCount val="52"/>
                <c:pt idx="0">
                  <c:v>9640.49020342906</c:v>
                </c:pt>
                <c:pt idx="1">
                  <c:v>9640.49020342906</c:v>
                </c:pt>
                <c:pt idx="2">
                  <c:v>9640.49020342906</c:v>
                </c:pt>
                <c:pt idx="3">
                  <c:v>9640.49020342906</c:v>
                </c:pt>
                <c:pt idx="4">
                  <c:v>11148.4998441889</c:v>
                </c:pt>
                <c:pt idx="5">
                  <c:v>11148.4998441889</c:v>
                </c:pt>
                <c:pt idx="6">
                  <c:v>11148.4998441889</c:v>
                </c:pt>
                <c:pt idx="7">
                  <c:v>11148.4998441889</c:v>
                </c:pt>
                <c:pt idx="8">
                  <c:v>14649.2365102386</c:v>
                </c:pt>
                <c:pt idx="9">
                  <c:v>14649.2365102386</c:v>
                </c:pt>
                <c:pt idx="10">
                  <c:v>14649.2365102386</c:v>
                </c:pt>
                <c:pt idx="11">
                  <c:v>14649.2365102386</c:v>
                </c:pt>
                <c:pt idx="12">
                  <c:v>15133.9538947685</c:v>
                </c:pt>
                <c:pt idx="13">
                  <c:v>15133.9538947685</c:v>
                </c:pt>
                <c:pt idx="14">
                  <c:v>15133.9538947685</c:v>
                </c:pt>
                <c:pt idx="15">
                  <c:v>15133.9538947685</c:v>
                </c:pt>
                <c:pt idx="16">
                  <c:v>15133.9538947685</c:v>
                </c:pt>
                <c:pt idx="17">
                  <c:v>8886.48538304914</c:v>
                </c:pt>
                <c:pt idx="18">
                  <c:v>8886.48538304914</c:v>
                </c:pt>
                <c:pt idx="19">
                  <c:v>8886.48538304914</c:v>
                </c:pt>
                <c:pt idx="20">
                  <c:v>8886.48538304914</c:v>
                </c:pt>
                <c:pt idx="21">
                  <c:v>15080.0964075985</c:v>
                </c:pt>
                <c:pt idx="22">
                  <c:v>15080.0964075985</c:v>
                </c:pt>
                <c:pt idx="23">
                  <c:v>15080.0964075985</c:v>
                </c:pt>
                <c:pt idx="24">
                  <c:v>15080.0964075985</c:v>
                </c:pt>
                <c:pt idx="25">
                  <c:v>15080.0964075985</c:v>
                </c:pt>
                <c:pt idx="26">
                  <c:v>8347.91051134919</c:v>
                </c:pt>
                <c:pt idx="27">
                  <c:v>8347.91051134919</c:v>
                </c:pt>
                <c:pt idx="28">
                  <c:v>8347.91051134919</c:v>
                </c:pt>
                <c:pt idx="29">
                  <c:v>8347.91051134919</c:v>
                </c:pt>
                <c:pt idx="30">
                  <c:v>8347.91051134919</c:v>
                </c:pt>
                <c:pt idx="31">
                  <c:v>8132.48056266921</c:v>
                </c:pt>
                <c:pt idx="32">
                  <c:v>8132.48056266921</c:v>
                </c:pt>
                <c:pt idx="33">
                  <c:v>8132.48056266921</c:v>
                </c:pt>
                <c:pt idx="34">
                  <c:v>8132.48056266921</c:v>
                </c:pt>
                <c:pt idx="35">
                  <c:v>15564.8137921285</c:v>
                </c:pt>
                <c:pt idx="36">
                  <c:v>15564.8137921285</c:v>
                </c:pt>
                <c:pt idx="37">
                  <c:v>15564.8137921285</c:v>
                </c:pt>
                <c:pt idx="38">
                  <c:v>15564.8137921285</c:v>
                </c:pt>
                <c:pt idx="39">
                  <c:v>15564.8137921285</c:v>
                </c:pt>
                <c:pt idx="40">
                  <c:v>14326.0915872186</c:v>
                </c:pt>
                <c:pt idx="41">
                  <c:v>14326.0915872186</c:v>
                </c:pt>
                <c:pt idx="42">
                  <c:v>14326.0915872186</c:v>
                </c:pt>
                <c:pt idx="43">
                  <c:v>14326.0915872186</c:v>
                </c:pt>
                <c:pt idx="44">
                  <c:v>19173.2654325181</c:v>
                </c:pt>
                <c:pt idx="45">
                  <c:v>19173.2654325181</c:v>
                </c:pt>
                <c:pt idx="46">
                  <c:v>19173.2654325181</c:v>
                </c:pt>
                <c:pt idx="47">
                  <c:v>19173.2654325181</c:v>
                </c:pt>
                <c:pt idx="48">
                  <c:v>18850.1205094982</c:v>
                </c:pt>
                <c:pt idx="49">
                  <c:v>18850.1205094982</c:v>
                </c:pt>
                <c:pt idx="50">
                  <c:v>18850.1205094982</c:v>
                </c:pt>
                <c:pt idx="51">
                  <c:v>18850.1205094982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'TTL NORMAL'!$A$3:$B$3</c:f>
              <c:strCache>
                <c:ptCount val="1"/>
                <c:pt idx="0">
                  <c:v>B1-B 13267</c:v>
                </c:pt>
              </c:strCache>
            </c:strRef>
          </c:tx>
          <c:spPr>
            <a:solidFill>
              <a:srgbClr val="7b7b7b"/>
            </a:solidFill>
            <a:ln w="28440">
              <a:solidFill>
                <a:srgbClr val="7b7b7b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NORMAL'!$C$3:$BB$3</c:f>
              <c:numCache>
                <c:formatCode>General</c:formatCode>
                <c:ptCount val="52"/>
                <c:pt idx="0">
                  <c:v>9640.49020342906</c:v>
                </c:pt>
                <c:pt idx="1">
                  <c:v>9640.49020342906</c:v>
                </c:pt>
                <c:pt idx="2">
                  <c:v>9640.49020342906</c:v>
                </c:pt>
                <c:pt idx="3">
                  <c:v>9640.49020342906</c:v>
                </c:pt>
                <c:pt idx="4">
                  <c:v>11148.4998441889</c:v>
                </c:pt>
                <c:pt idx="5">
                  <c:v>11148.4998441889</c:v>
                </c:pt>
                <c:pt idx="6">
                  <c:v>11148.4998441889</c:v>
                </c:pt>
                <c:pt idx="7">
                  <c:v>11148.4998441889</c:v>
                </c:pt>
                <c:pt idx="8">
                  <c:v>14649.2365102386</c:v>
                </c:pt>
                <c:pt idx="9">
                  <c:v>14649.2365102386</c:v>
                </c:pt>
                <c:pt idx="10">
                  <c:v>14649.2365102386</c:v>
                </c:pt>
                <c:pt idx="11">
                  <c:v>14649.2365102386</c:v>
                </c:pt>
                <c:pt idx="12">
                  <c:v>15133.9538947685</c:v>
                </c:pt>
                <c:pt idx="13">
                  <c:v>15133.9538947685</c:v>
                </c:pt>
                <c:pt idx="14">
                  <c:v>15133.9538947685</c:v>
                </c:pt>
                <c:pt idx="15">
                  <c:v>15133.9538947685</c:v>
                </c:pt>
                <c:pt idx="16">
                  <c:v>15133.9538947685</c:v>
                </c:pt>
                <c:pt idx="17">
                  <c:v>8886.48538304914</c:v>
                </c:pt>
                <c:pt idx="18">
                  <c:v>8886.48538304914</c:v>
                </c:pt>
                <c:pt idx="19">
                  <c:v>8886.48538304914</c:v>
                </c:pt>
                <c:pt idx="20">
                  <c:v>8886.48538304914</c:v>
                </c:pt>
                <c:pt idx="21">
                  <c:v>15080.0964075985</c:v>
                </c:pt>
                <c:pt idx="22">
                  <c:v>15080.0964075985</c:v>
                </c:pt>
                <c:pt idx="23">
                  <c:v>15080.0964075985</c:v>
                </c:pt>
                <c:pt idx="24">
                  <c:v>15080.0964075985</c:v>
                </c:pt>
                <c:pt idx="25">
                  <c:v>15080.0964075985</c:v>
                </c:pt>
                <c:pt idx="26">
                  <c:v>8347.91051134919</c:v>
                </c:pt>
                <c:pt idx="27">
                  <c:v>8347.91051134919</c:v>
                </c:pt>
                <c:pt idx="28">
                  <c:v>8347.91051134919</c:v>
                </c:pt>
                <c:pt idx="29">
                  <c:v>8347.91051134919</c:v>
                </c:pt>
                <c:pt idx="30">
                  <c:v>8347.91051134919</c:v>
                </c:pt>
                <c:pt idx="31">
                  <c:v>8132.48056266921</c:v>
                </c:pt>
                <c:pt idx="32">
                  <c:v>8132.48056266921</c:v>
                </c:pt>
                <c:pt idx="33">
                  <c:v>8132.48056266921</c:v>
                </c:pt>
                <c:pt idx="34">
                  <c:v>8132.48056266921</c:v>
                </c:pt>
                <c:pt idx="35">
                  <c:v>15564.8137921285</c:v>
                </c:pt>
                <c:pt idx="36">
                  <c:v>15564.8137921285</c:v>
                </c:pt>
                <c:pt idx="37">
                  <c:v>15564.8137921285</c:v>
                </c:pt>
                <c:pt idx="38">
                  <c:v>15564.8137921285</c:v>
                </c:pt>
                <c:pt idx="39">
                  <c:v>15564.8137921285</c:v>
                </c:pt>
                <c:pt idx="40">
                  <c:v>14326.0915872186</c:v>
                </c:pt>
                <c:pt idx="41">
                  <c:v>14326.0915872186</c:v>
                </c:pt>
                <c:pt idx="42">
                  <c:v>14326.0915872186</c:v>
                </c:pt>
                <c:pt idx="43">
                  <c:v>14326.0915872186</c:v>
                </c:pt>
                <c:pt idx="44">
                  <c:v>19173.2654325181</c:v>
                </c:pt>
                <c:pt idx="45">
                  <c:v>19173.2654325181</c:v>
                </c:pt>
                <c:pt idx="46">
                  <c:v>19173.2654325181</c:v>
                </c:pt>
                <c:pt idx="47">
                  <c:v>19173.2654325181</c:v>
                </c:pt>
                <c:pt idx="48">
                  <c:v>18850.1205094982</c:v>
                </c:pt>
                <c:pt idx="49">
                  <c:v>18850.1205094982</c:v>
                </c:pt>
                <c:pt idx="50">
                  <c:v>18850.1205094982</c:v>
                </c:pt>
                <c:pt idx="51">
                  <c:v>18850.1205094982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'TTL NORMAL'!$A$4:$B$4</c:f>
              <c:strCache>
                <c:ptCount val="1"/>
                <c:pt idx="0">
                  <c:v>B1-C 13267</c:v>
                </c:pt>
              </c:strCache>
            </c:strRef>
          </c:tx>
          <c:spPr>
            <a:solidFill>
              <a:srgbClr val="676767"/>
            </a:solidFill>
            <a:ln w="28440">
              <a:solidFill>
                <a:srgbClr val="676767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NORMAL'!$C$4:$BB$4</c:f>
              <c:numCache>
                <c:formatCode>General</c:formatCode>
                <c:ptCount val="52"/>
                <c:pt idx="0">
                  <c:v>9640.49020342906</c:v>
                </c:pt>
                <c:pt idx="1">
                  <c:v>9640.49020342906</c:v>
                </c:pt>
                <c:pt idx="2">
                  <c:v>9640.49020342906</c:v>
                </c:pt>
                <c:pt idx="3">
                  <c:v>9640.49020342906</c:v>
                </c:pt>
                <c:pt idx="4">
                  <c:v>11148.4998441889</c:v>
                </c:pt>
                <c:pt idx="5">
                  <c:v>11148.4998441889</c:v>
                </c:pt>
                <c:pt idx="6">
                  <c:v>11148.4998441889</c:v>
                </c:pt>
                <c:pt idx="7">
                  <c:v>11148.4998441889</c:v>
                </c:pt>
                <c:pt idx="8">
                  <c:v>14649.2365102386</c:v>
                </c:pt>
                <c:pt idx="9">
                  <c:v>14649.2365102386</c:v>
                </c:pt>
                <c:pt idx="10">
                  <c:v>14649.2365102386</c:v>
                </c:pt>
                <c:pt idx="11">
                  <c:v>14649.2365102386</c:v>
                </c:pt>
                <c:pt idx="12">
                  <c:v>15133.9538947685</c:v>
                </c:pt>
                <c:pt idx="13">
                  <c:v>15133.9538947685</c:v>
                </c:pt>
                <c:pt idx="14">
                  <c:v>15133.9538947685</c:v>
                </c:pt>
                <c:pt idx="15">
                  <c:v>15133.9538947685</c:v>
                </c:pt>
                <c:pt idx="16">
                  <c:v>15133.9538947685</c:v>
                </c:pt>
                <c:pt idx="17">
                  <c:v>8886.48538304914</c:v>
                </c:pt>
                <c:pt idx="18">
                  <c:v>8886.48538304914</c:v>
                </c:pt>
                <c:pt idx="19">
                  <c:v>8886.48538304914</c:v>
                </c:pt>
                <c:pt idx="20">
                  <c:v>8886.48538304914</c:v>
                </c:pt>
                <c:pt idx="21">
                  <c:v>15080.0964075985</c:v>
                </c:pt>
                <c:pt idx="22">
                  <c:v>15080.0964075985</c:v>
                </c:pt>
                <c:pt idx="23">
                  <c:v>15080.0964075985</c:v>
                </c:pt>
                <c:pt idx="24">
                  <c:v>15080.0964075985</c:v>
                </c:pt>
                <c:pt idx="25">
                  <c:v>15080.0964075985</c:v>
                </c:pt>
                <c:pt idx="26">
                  <c:v>8347.91051134919</c:v>
                </c:pt>
                <c:pt idx="27">
                  <c:v>8347.91051134919</c:v>
                </c:pt>
                <c:pt idx="28">
                  <c:v>8347.91051134919</c:v>
                </c:pt>
                <c:pt idx="29">
                  <c:v>8347.91051134919</c:v>
                </c:pt>
                <c:pt idx="30">
                  <c:v>8347.91051134919</c:v>
                </c:pt>
                <c:pt idx="31">
                  <c:v>8132.48056266921</c:v>
                </c:pt>
                <c:pt idx="32">
                  <c:v>8132.48056266921</c:v>
                </c:pt>
                <c:pt idx="33">
                  <c:v>8132.48056266921</c:v>
                </c:pt>
                <c:pt idx="34">
                  <c:v>8132.48056266921</c:v>
                </c:pt>
                <c:pt idx="35">
                  <c:v>15564.8137921285</c:v>
                </c:pt>
                <c:pt idx="36">
                  <c:v>15564.8137921285</c:v>
                </c:pt>
                <c:pt idx="37">
                  <c:v>15564.8137921285</c:v>
                </c:pt>
                <c:pt idx="38">
                  <c:v>15564.8137921285</c:v>
                </c:pt>
                <c:pt idx="39">
                  <c:v>15564.8137921285</c:v>
                </c:pt>
                <c:pt idx="40">
                  <c:v>14326.0915872186</c:v>
                </c:pt>
                <c:pt idx="41">
                  <c:v>14326.0915872186</c:v>
                </c:pt>
                <c:pt idx="42">
                  <c:v>14326.0915872186</c:v>
                </c:pt>
                <c:pt idx="43">
                  <c:v>14326.0915872186</c:v>
                </c:pt>
                <c:pt idx="44">
                  <c:v>19173.2654325181</c:v>
                </c:pt>
                <c:pt idx="45">
                  <c:v>19173.2654325181</c:v>
                </c:pt>
                <c:pt idx="46">
                  <c:v>19173.2654325181</c:v>
                </c:pt>
                <c:pt idx="47">
                  <c:v>19173.2654325181</c:v>
                </c:pt>
                <c:pt idx="48">
                  <c:v>18850.1205094982</c:v>
                </c:pt>
                <c:pt idx="49">
                  <c:v>18850.1205094982</c:v>
                </c:pt>
                <c:pt idx="50">
                  <c:v>18850.1205094982</c:v>
                </c:pt>
                <c:pt idx="51">
                  <c:v>18850.1205094982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'TTL NORMAL'!$A$5:$B$5</c:f>
              <c:strCache>
                <c:ptCount val="1"/>
                <c:pt idx="0">
                  <c:v>B1-D 13267</c:v>
                </c:pt>
              </c:strCache>
            </c:strRef>
          </c:tx>
          <c:spPr>
            <a:solidFill>
              <a:srgbClr val="585858"/>
            </a:solidFill>
            <a:ln w="28440">
              <a:solidFill>
                <a:srgbClr val="585858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NORMAL'!$C$5:$BB$5</c:f>
              <c:numCache>
                <c:formatCode>General</c:formatCode>
                <c:ptCount val="52"/>
                <c:pt idx="0">
                  <c:v>9640.49020342906</c:v>
                </c:pt>
                <c:pt idx="1">
                  <c:v>9640.49020342906</c:v>
                </c:pt>
                <c:pt idx="2">
                  <c:v>9640.49020342906</c:v>
                </c:pt>
                <c:pt idx="3">
                  <c:v>9640.49020342906</c:v>
                </c:pt>
                <c:pt idx="4">
                  <c:v>11148.4998441889</c:v>
                </c:pt>
                <c:pt idx="5">
                  <c:v>11148.4998441889</c:v>
                </c:pt>
                <c:pt idx="6">
                  <c:v>11148.4998441889</c:v>
                </c:pt>
                <c:pt idx="7">
                  <c:v>11148.4998441889</c:v>
                </c:pt>
                <c:pt idx="8">
                  <c:v>14649.2365102386</c:v>
                </c:pt>
                <c:pt idx="9">
                  <c:v>14649.2365102386</c:v>
                </c:pt>
                <c:pt idx="10">
                  <c:v>14649.2365102386</c:v>
                </c:pt>
                <c:pt idx="11">
                  <c:v>14649.2365102386</c:v>
                </c:pt>
                <c:pt idx="12">
                  <c:v>15133.9538947685</c:v>
                </c:pt>
                <c:pt idx="13">
                  <c:v>15133.9538947685</c:v>
                </c:pt>
                <c:pt idx="14">
                  <c:v>15133.9538947685</c:v>
                </c:pt>
                <c:pt idx="15">
                  <c:v>15133.9538947685</c:v>
                </c:pt>
                <c:pt idx="16">
                  <c:v>15133.9538947685</c:v>
                </c:pt>
                <c:pt idx="17">
                  <c:v>8886.48538304914</c:v>
                </c:pt>
                <c:pt idx="18">
                  <c:v>8886.48538304914</c:v>
                </c:pt>
                <c:pt idx="19">
                  <c:v>8886.48538304914</c:v>
                </c:pt>
                <c:pt idx="20">
                  <c:v>8886.48538304914</c:v>
                </c:pt>
                <c:pt idx="21">
                  <c:v>15080.0964075985</c:v>
                </c:pt>
                <c:pt idx="22">
                  <c:v>15080.0964075985</c:v>
                </c:pt>
                <c:pt idx="23">
                  <c:v>15080.0964075985</c:v>
                </c:pt>
                <c:pt idx="24">
                  <c:v>15080.0964075985</c:v>
                </c:pt>
                <c:pt idx="25">
                  <c:v>15080.0964075985</c:v>
                </c:pt>
                <c:pt idx="26">
                  <c:v>8347.91051134919</c:v>
                </c:pt>
                <c:pt idx="27">
                  <c:v>8347.91051134919</c:v>
                </c:pt>
                <c:pt idx="28">
                  <c:v>8347.91051134919</c:v>
                </c:pt>
                <c:pt idx="29">
                  <c:v>8347.91051134919</c:v>
                </c:pt>
                <c:pt idx="30">
                  <c:v>8347.91051134919</c:v>
                </c:pt>
                <c:pt idx="31">
                  <c:v>8132.48056266921</c:v>
                </c:pt>
                <c:pt idx="32">
                  <c:v>8132.48056266921</c:v>
                </c:pt>
                <c:pt idx="33">
                  <c:v>8132.48056266921</c:v>
                </c:pt>
                <c:pt idx="34">
                  <c:v>8132.48056266921</c:v>
                </c:pt>
                <c:pt idx="35">
                  <c:v>15564.8137921285</c:v>
                </c:pt>
                <c:pt idx="36">
                  <c:v>15564.8137921285</c:v>
                </c:pt>
                <c:pt idx="37">
                  <c:v>15564.8137921285</c:v>
                </c:pt>
                <c:pt idx="38">
                  <c:v>15564.8137921285</c:v>
                </c:pt>
                <c:pt idx="39">
                  <c:v>15564.8137921285</c:v>
                </c:pt>
                <c:pt idx="40">
                  <c:v>14326.0915872186</c:v>
                </c:pt>
                <c:pt idx="41">
                  <c:v>14326.0915872186</c:v>
                </c:pt>
                <c:pt idx="42">
                  <c:v>14326.0915872186</c:v>
                </c:pt>
                <c:pt idx="43">
                  <c:v>14326.0915872186</c:v>
                </c:pt>
                <c:pt idx="44">
                  <c:v>19173.2654325181</c:v>
                </c:pt>
                <c:pt idx="45">
                  <c:v>19173.2654325181</c:v>
                </c:pt>
                <c:pt idx="46">
                  <c:v>19173.2654325181</c:v>
                </c:pt>
                <c:pt idx="47">
                  <c:v>19173.2654325181</c:v>
                </c:pt>
                <c:pt idx="48">
                  <c:v>18850.1205094982</c:v>
                </c:pt>
                <c:pt idx="49">
                  <c:v>18850.1205094982</c:v>
                </c:pt>
                <c:pt idx="50">
                  <c:v>18850.1205094982</c:v>
                </c:pt>
                <c:pt idx="51">
                  <c:v>18850.1205094982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'TTL NORMAL'!$A$6:$B$6</c:f>
              <c:strCache>
                <c:ptCount val="1"/>
                <c:pt idx="0">
                  <c:v>B1-E 13267</c:v>
                </c:pt>
              </c:strCache>
            </c:strRef>
          </c:tx>
          <c:spPr>
            <a:solidFill>
              <a:srgbClr val="414141"/>
            </a:solidFill>
            <a:ln w="28440">
              <a:solidFill>
                <a:srgbClr val="414141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NORMAL'!$C$6:$BB$6</c:f>
              <c:numCache>
                <c:formatCode>General</c:formatCode>
                <c:ptCount val="52"/>
                <c:pt idx="0">
                  <c:v>9640.49020342906</c:v>
                </c:pt>
                <c:pt idx="1">
                  <c:v>9640.49020342906</c:v>
                </c:pt>
                <c:pt idx="2">
                  <c:v>9640.49020342906</c:v>
                </c:pt>
                <c:pt idx="3">
                  <c:v>9640.49020342906</c:v>
                </c:pt>
                <c:pt idx="4">
                  <c:v>11148.4998441889</c:v>
                </c:pt>
                <c:pt idx="5">
                  <c:v>11148.4998441889</c:v>
                </c:pt>
                <c:pt idx="6">
                  <c:v>11148.4998441889</c:v>
                </c:pt>
                <c:pt idx="7">
                  <c:v>11148.4998441889</c:v>
                </c:pt>
                <c:pt idx="8">
                  <c:v>14649.2365102386</c:v>
                </c:pt>
                <c:pt idx="9">
                  <c:v>14649.2365102386</c:v>
                </c:pt>
                <c:pt idx="10">
                  <c:v>14649.2365102386</c:v>
                </c:pt>
                <c:pt idx="11">
                  <c:v>14649.2365102386</c:v>
                </c:pt>
                <c:pt idx="12">
                  <c:v>15133.9538947685</c:v>
                </c:pt>
                <c:pt idx="13">
                  <c:v>15133.9538947685</c:v>
                </c:pt>
                <c:pt idx="14">
                  <c:v>15133.9538947685</c:v>
                </c:pt>
                <c:pt idx="15">
                  <c:v>15133.9538947685</c:v>
                </c:pt>
                <c:pt idx="16">
                  <c:v>15133.9538947685</c:v>
                </c:pt>
                <c:pt idx="17">
                  <c:v>8886.48538304914</c:v>
                </c:pt>
                <c:pt idx="18">
                  <c:v>8886.48538304914</c:v>
                </c:pt>
                <c:pt idx="19">
                  <c:v>8886.48538304914</c:v>
                </c:pt>
                <c:pt idx="20">
                  <c:v>8886.48538304914</c:v>
                </c:pt>
                <c:pt idx="21">
                  <c:v>15080.0964075985</c:v>
                </c:pt>
                <c:pt idx="22">
                  <c:v>15080.0964075985</c:v>
                </c:pt>
                <c:pt idx="23">
                  <c:v>15080.0964075985</c:v>
                </c:pt>
                <c:pt idx="24">
                  <c:v>15080.0964075985</c:v>
                </c:pt>
                <c:pt idx="25">
                  <c:v>15080.0964075985</c:v>
                </c:pt>
                <c:pt idx="26">
                  <c:v>8347.91051134919</c:v>
                </c:pt>
                <c:pt idx="27">
                  <c:v>8347.91051134919</c:v>
                </c:pt>
                <c:pt idx="28">
                  <c:v>8347.91051134919</c:v>
                </c:pt>
                <c:pt idx="29">
                  <c:v>8347.91051134919</c:v>
                </c:pt>
                <c:pt idx="30">
                  <c:v>8347.91051134919</c:v>
                </c:pt>
                <c:pt idx="31">
                  <c:v>8132.48056266921</c:v>
                </c:pt>
                <c:pt idx="32">
                  <c:v>8132.48056266921</c:v>
                </c:pt>
                <c:pt idx="33">
                  <c:v>8132.48056266921</c:v>
                </c:pt>
                <c:pt idx="34">
                  <c:v>8132.48056266921</c:v>
                </c:pt>
                <c:pt idx="35">
                  <c:v>15564.8137921285</c:v>
                </c:pt>
                <c:pt idx="36">
                  <c:v>15564.8137921285</c:v>
                </c:pt>
                <c:pt idx="37">
                  <c:v>15564.8137921285</c:v>
                </c:pt>
                <c:pt idx="38">
                  <c:v>15564.8137921285</c:v>
                </c:pt>
                <c:pt idx="39">
                  <c:v>15564.8137921285</c:v>
                </c:pt>
                <c:pt idx="40">
                  <c:v>14326.0915872186</c:v>
                </c:pt>
                <c:pt idx="41">
                  <c:v>14326.0915872186</c:v>
                </c:pt>
                <c:pt idx="42">
                  <c:v>14326.0915872186</c:v>
                </c:pt>
                <c:pt idx="43">
                  <c:v>14326.0915872186</c:v>
                </c:pt>
                <c:pt idx="44">
                  <c:v>19173.2654325181</c:v>
                </c:pt>
                <c:pt idx="45">
                  <c:v>19173.2654325181</c:v>
                </c:pt>
                <c:pt idx="46">
                  <c:v>19173.2654325181</c:v>
                </c:pt>
                <c:pt idx="47">
                  <c:v>19173.2654325181</c:v>
                </c:pt>
                <c:pt idx="48">
                  <c:v>18850.1205094982</c:v>
                </c:pt>
                <c:pt idx="49">
                  <c:v>18850.1205094982</c:v>
                </c:pt>
                <c:pt idx="50">
                  <c:v>18850.1205094982</c:v>
                </c:pt>
                <c:pt idx="51">
                  <c:v>18850.1205094982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'TTL NORMAL'!$A$7:$B$7</c:f>
              <c:strCache>
                <c:ptCount val="1"/>
                <c:pt idx="0">
                  <c:v>B2-A 2322</c:v>
                </c:pt>
              </c:strCache>
            </c:strRef>
          </c:tx>
          <c:spPr>
            <a:solidFill>
              <a:srgbClr val="343434"/>
            </a:solidFill>
            <a:ln w="28440">
              <a:solidFill>
                <a:srgbClr val="343434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NORMAL'!$C$7:$BB$7</c:f>
              <c:numCache>
                <c:formatCode>General</c:formatCode>
                <c:ptCount val="52"/>
                <c:pt idx="0">
                  <c:v>1687.08578560009</c:v>
                </c:pt>
                <c:pt idx="1">
                  <c:v>1687.08578560009</c:v>
                </c:pt>
                <c:pt idx="2">
                  <c:v>1687.08578560009</c:v>
                </c:pt>
                <c:pt idx="3">
                  <c:v>1687.08578560009</c:v>
                </c:pt>
                <c:pt idx="4">
                  <c:v>1950.98747273306</c:v>
                </c:pt>
                <c:pt idx="5">
                  <c:v>1950.98747273306</c:v>
                </c:pt>
                <c:pt idx="6">
                  <c:v>1950.98747273306</c:v>
                </c:pt>
                <c:pt idx="7">
                  <c:v>1950.98747273306</c:v>
                </c:pt>
                <c:pt idx="8">
                  <c:v>2563.61638929175</c:v>
                </c:pt>
                <c:pt idx="9">
                  <c:v>2563.61638929175</c:v>
                </c:pt>
                <c:pt idx="10">
                  <c:v>2563.61638929175</c:v>
                </c:pt>
                <c:pt idx="11">
                  <c:v>2563.61638929175</c:v>
                </c:pt>
                <c:pt idx="12">
                  <c:v>2648.44193158449</c:v>
                </c:pt>
                <c:pt idx="13">
                  <c:v>2648.44193158449</c:v>
                </c:pt>
                <c:pt idx="14">
                  <c:v>2648.44193158449</c:v>
                </c:pt>
                <c:pt idx="15">
                  <c:v>2648.44193158449</c:v>
                </c:pt>
                <c:pt idx="16">
                  <c:v>2648.44193158449</c:v>
                </c:pt>
                <c:pt idx="17">
                  <c:v>1555.1349420336</c:v>
                </c:pt>
                <c:pt idx="18">
                  <c:v>1555.1349420336</c:v>
                </c:pt>
                <c:pt idx="19">
                  <c:v>1555.1349420336</c:v>
                </c:pt>
                <c:pt idx="20">
                  <c:v>1555.1349420336</c:v>
                </c:pt>
                <c:pt idx="21">
                  <c:v>2639.01687132974</c:v>
                </c:pt>
                <c:pt idx="22">
                  <c:v>2639.01687132974</c:v>
                </c:pt>
                <c:pt idx="23">
                  <c:v>2639.01687132974</c:v>
                </c:pt>
                <c:pt idx="24">
                  <c:v>2639.01687132974</c:v>
                </c:pt>
                <c:pt idx="25">
                  <c:v>2639.01687132974</c:v>
                </c:pt>
                <c:pt idx="26">
                  <c:v>1460.88433948611</c:v>
                </c:pt>
                <c:pt idx="27">
                  <c:v>1460.88433948611</c:v>
                </c:pt>
                <c:pt idx="28">
                  <c:v>1460.88433948611</c:v>
                </c:pt>
                <c:pt idx="29">
                  <c:v>1460.88433948611</c:v>
                </c:pt>
                <c:pt idx="30">
                  <c:v>1460.88433948611</c:v>
                </c:pt>
                <c:pt idx="31">
                  <c:v>1423.18409846711</c:v>
                </c:pt>
                <c:pt idx="32">
                  <c:v>1423.18409846711</c:v>
                </c:pt>
                <c:pt idx="33">
                  <c:v>1423.18409846711</c:v>
                </c:pt>
                <c:pt idx="34">
                  <c:v>1423.18409846711</c:v>
                </c:pt>
                <c:pt idx="35">
                  <c:v>2723.84241362249</c:v>
                </c:pt>
                <c:pt idx="36">
                  <c:v>2723.84241362249</c:v>
                </c:pt>
                <c:pt idx="37">
                  <c:v>2723.84241362249</c:v>
                </c:pt>
                <c:pt idx="38">
                  <c:v>2723.84241362249</c:v>
                </c:pt>
                <c:pt idx="39">
                  <c:v>2723.84241362249</c:v>
                </c:pt>
                <c:pt idx="40">
                  <c:v>2507.06602776326</c:v>
                </c:pt>
                <c:pt idx="41">
                  <c:v>2507.06602776326</c:v>
                </c:pt>
                <c:pt idx="42">
                  <c:v>2507.06602776326</c:v>
                </c:pt>
                <c:pt idx="43">
                  <c:v>2507.06602776326</c:v>
                </c:pt>
                <c:pt idx="44">
                  <c:v>3355.32145069067</c:v>
                </c:pt>
                <c:pt idx="45">
                  <c:v>3355.32145069067</c:v>
                </c:pt>
                <c:pt idx="46">
                  <c:v>3355.32145069067</c:v>
                </c:pt>
                <c:pt idx="47">
                  <c:v>3355.32145069067</c:v>
                </c:pt>
                <c:pt idx="48">
                  <c:v>3298.77108916218</c:v>
                </c:pt>
                <c:pt idx="49">
                  <c:v>3298.77108916218</c:v>
                </c:pt>
                <c:pt idx="50">
                  <c:v>3298.77108916218</c:v>
                </c:pt>
                <c:pt idx="51">
                  <c:v>3298.77108916218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'TTL NORMAL'!$A$8:$B$8</c:f>
              <c:strCache>
                <c:ptCount val="1"/>
                <c:pt idx="0">
                  <c:v>B2-B 22885</c:v>
                </c:pt>
              </c:strCache>
            </c:strRef>
          </c:tx>
          <c:spPr>
            <a:solidFill>
              <a:srgbClr val="aeaeae"/>
            </a:solidFill>
            <a:ln w="28440">
              <a:solidFill>
                <a:srgbClr val="aeaeae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NORMAL'!$C$8:$BB$8</c:f>
              <c:numCache>
                <c:formatCode>General</c:formatCode>
                <c:ptCount val="52"/>
                <c:pt idx="0">
                  <c:v>16629.8456009151</c:v>
                </c:pt>
                <c:pt idx="1">
                  <c:v>16629.8456009151</c:v>
                </c:pt>
                <c:pt idx="2">
                  <c:v>16629.8456009151</c:v>
                </c:pt>
                <c:pt idx="3">
                  <c:v>16629.8456009151</c:v>
                </c:pt>
                <c:pt idx="4">
                  <c:v>19231.1622312259</c:v>
                </c:pt>
                <c:pt idx="5">
                  <c:v>19231.1622312259</c:v>
                </c:pt>
                <c:pt idx="6">
                  <c:v>19231.1622312259</c:v>
                </c:pt>
                <c:pt idx="7">
                  <c:v>19231.1622312259</c:v>
                </c:pt>
                <c:pt idx="8">
                  <c:v>25269.9329801615</c:v>
                </c:pt>
                <c:pt idx="9">
                  <c:v>25269.9329801615</c:v>
                </c:pt>
                <c:pt idx="10">
                  <c:v>25269.9329801615</c:v>
                </c:pt>
                <c:pt idx="11">
                  <c:v>25269.9329801615</c:v>
                </c:pt>
                <c:pt idx="12">
                  <c:v>26106.0704684757</c:v>
                </c:pt>
                <c:pt idx="13">
                  <c:v>26106.0704684757</c:v>
                </c:pt>
                <c:pt idx="14">
                  <c:v>26106.0704684757</c:v>
                </c:pt>
                <c:pt idx="15">
                  <c:v>26106.0704684757</c:v>
                </c:pt>
                <c:pt idx="16">
                  <c:v>26106.0704684757</c:v>
                </c:pt>
                <c:pt idx="17">
                  <c:v>15329.1872857598</c:v>
                </c:pt>
                <c:pt idx="18">
                  <c:v>15329.1872857598</c:v>
                </c:pt>
                <c:pt idx="19">
                  <c:v>15329.1872857598</c:v>
                </c:pt>
                <c:pt idx="20">
                  <c:v>15329.1872857598</c:v>
                </c:pt>
                <c:pt idx="21">
                  <c:v>26013.1663031075</c:v>
                </c:pt>
                <c:pt idx="22">
                  <c:v>26013.1663031075</c:v>
                </c:pt>
                <c:pt idx="23">
                  <c:v>26013.1663031075</c:v>
                </c:pt>
                <c:pt idx="24">
                  <c:v>26013.1663031075</c:v>
                </c:pt>
                <c:pt idx="25">
                  <c:v>26013.1663031075</c:v>
                </c:pt>
                <c:pt idx="26">
                  <c:v>14400.1456320774</c:v>
                </c:pt>
                <c:pt idx="27">
                  <c:v>14400.1456320774</c:v>
                </c:pt>
                <c:pt idx="28">
                  <c:v>14400.1456320774</c:v>
                </c:pt>
                <c:pt idx="29">
                  <c:v>14400.1456320774</c:v>
                </c:pt>
                <c:pt idx="30">
                  <c:v>14400.1456320774</c:v>
                </c:pt>
                <c:pt idx="31">
                  <c:v>14028.5289706044</c:v>
                </c:pt>
                <c:pt idx="32">
                  <c:v>14028.5289706044</c:v>
                </c:pt>
                <c:pt idx="33">
                  <c:v>14028.5289706044</c:v>
                </c:pt>
                <c:pt idx="34">
                  <c:v>14028.5289706044</c:v>
                </c:pt>
                <c:pt idx="35">
                  <c:v>26849.3037914217</c:v>
                </c:pt>
                <c:pt idx="36">
                  <c:v>26849.3037914217</c:v>
                </c:pt>
                <c:pt idx="37">
                  <c:v>26849.3037914217</c:v>
                </c:pt>
                <c:pt idx="38">
                  <c:v>26849.3037914217</c:v>
                </c:pt>
                <c:pt idx="39">
                  <c:v>26849.3037914217</c:v>
                </c:pt>
                <c:pt idx="40">
                  <c:v>24712.5079879521</c:v>
                </c:pt>
                <c:pt idx="41">
                  <c:v>24712.5079879521</c:v>
                </c:pt>
                <c:pt idx="42">
                  <c:v>24712.5079879521</c:v>
                </c:pt>
                <c:pt idx="43">
                  <c:v>24712.5079879521</c:v>
                </c:pt>
                <c:pt idx="44">
                  <c:v>33073.8828710938</c:v>
                </c:pt>
                <c:pt idx="45">
                  <c:v>33073.8828710938</c:v>
                </c:pt>
                <c:pt idx="46">
                  <c:v>33073.8828710938</c:v>
                </c:pt>
                <c:pt idx="47">
                  <c:v>33073.8828710938</c:v>
                </c:pt>
                <c:pt idx="48">
                  <c:v>32516.4578788843</c:v>
                </c:pt>
                <c:pt idx="49">
                  <c:v>32516.4578788843</c:v>
                </c:pt>
                <c:pt idx="50">
                  <c:v>32516.4578788843</c:v>
                </c:pt>
                <c:pt idx="51">
                  <c:v>32516.4578788843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'TTL NORMAL'!$A$9:$B$9</c:f>
              <c:strCache>
                <c:ptCount val="1"/>
                <c:pt idx="0">
                  <c:v>B3-A 2322</c:v>
                </c:pt>
              </c:strCache>
            </c:strRef>
          </c:tx>
          <c:spPr>
            <a:solidFill>
              <a:srgbClr val="8b8b8b"/>
            </a:solidFill>
            <a:ln w="28440">
              <a:solidFill>
                <a:srgbClr val="8b8b8b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NORMAL'!$C$9:$BB$9</c:f>
              <c:numCache>
                <c:formatCode>General</c:formatCode>
                <c:ptCount val="52"/>
                <c:pt idx="0">
                  <c:v>1687.08578560009</c:v>
                </c:pt>
                <c:pt idx="1">
                  <c:v>1687.08578560009</c:v>
                </c:pt>
                <c:pt idx="2">
                  <c:v>1687.08578560009</c:v>
                </c:pt>
                <c:pt idx="3">
                  <c:v>1687.08578560009</c:v>
                </c:pt>
                <c:pt idx="4">
                  <c:v>1950.98747273306</c:v>
                </c:pt>
                <c:pt idx="5">
                  <c:v>1950.98747273306</c:v>
                </c:pt>
                <c:pt idx="6">
                  <c:v>1950.98747273306</c:v>
                </c:pt>
                <c:pt idx="7">
                  <c:v>1950.98747273306</c:v>
                </c:pt>
                <c:pt idx="8">
                  <c:v>2563.61638929175</c:v>
                </c:pt>
                <c:pt idx="9">
                  <c:v>2563.61638929175</c:v>
                </c:pt>
                <c:pt idx="10">
                  <c:v>2563.61638929175</c:v>
                </c:pt>
                <c:pt idx="11">
                  <c:v>2563.61638929175</c:v>
                </c:pt>
                <c:pt idx="12">
                  <c:v>2648.44193158449</c:v>
                </c:pt>
                <c:pt idx="13">
                  <c:v>2648.44193158449</c:v>
                </c:pt>
                <c:pt idx="14">
                  <c:v>2648.44193158449</c:v>
                </c:pt>
                <c:pt idx="15">
                  <c:v>2648.44193158449</c:v>
                </c:pt>
                <c:pt idx="16">
                  <c:v>2648.44193158449</c:v>
                </c:pt>
                <c:pt idx="17">
                  <c:v>1555.1349420336</c:v>
                </c:pt>
                <c:pt idx="18">
                  <c:v>1555.1349420336</c:v>
                </c:pt>
                <c:pt idx="19">
                  <c:v>1555.1349420336</c:v>
                </c:pt>
                <c:pt idx="20">
                  <c:v>1555.1349420336</c:v>
                </c:pt>
                <c:pt idx="21">
                  <c:v>2639.01687132974</c:v>
                </c:pt>
                <c:pt idx="22">
                  <c:v>2639.01687132974</c:v>
                </c:pt>
                <c:pt idx="23">
                  <c:v>2639.01687132974</c:v>
                </c:pt>
                <c:pt idx="24">
                  <c:v>2639.01687132974</c:v>
                </c:pt>
                <c:pt idx="25">
                  <c:v>2639.01687132974</c:v>
                </c:pt>
                <c:pt idx="26">
                  <c:v>1460.88433948611</c:v>
                </c:pt>
                <c:pt idx="27">
                  <c:v>1460.88433948611</c:v>
                </c:pt>
                <c:pt idx="28">
                  <c:v>1460.88433948611</c:v>
                </c:pt>
                <c:pt idx="29">
                  <c:v>1460.88433948611</c:v>
                </c:pt>
                <c:pt idx="30">
                  <c:v>1460.88433948611</c:v>
                </c:pt>
                <c:pt idx="31">
                  <c:v>1423.18409846711</c:v>
                </c:pt>
                <c:pt idx="32">
                  <c:v>1423.18409846711</c:v>
                </c:pt>
                <c:pt idx="33">
                  <c:v>1423.18409846711</c:v>
                </c:pt>
                <c:pt idx="34">
                  <c:v>1423.18409846711</c:v>
                </c:pt>
                <c:pt idx="35">
                  <c:v>2723.84241362249</c:v>
                </c:pt>
                <c:pt idx="36">
                  <c:v>2723.84241362249</c:v>
                </c:pt>
                <c:pt idx="37">
                  <c:v>2723.84241362249</c:v>
                </c:pt>
                <c:pt idx="38">
                  <c:v>2723.84241362249</c:v>
                </c:pt>
                <c:pt idx="39">
                  <c:v>2723.84241362249</c:v>
                </c:pt>
                <c:pt idx="40">
                  <c:v>2507.06602776326</c:v>
                </c:pt>
                <c:pt idx="41">
                  <c:v>2507.06602776326</c:v>
                </c:pt>
                <c:pt idx="42">
                  <c:v>2507.06602776326</c:v>
                </c:pt>
                <c:pt idx="43">
                  <c:v>2507.06602776326</c:v>
                </c:pt>
                <c:pt idx="44">
                  <c:v>3355.32145069067</c:v>
                </c:pt>
                <c:pt idx="45">
                  <c:v>3355.32145069067</c:v>
                </c:pt>
                <c:pt idx="46">
                  <c:v>3355.32145069067</c:v>
                </c:pt>
                <c:pt idx="47">
                  <c:v>3355.32145069067</c:v>
                </c:pt>
                <c:pt idx="48">
                  <c:v>3298.77108916218</c:v>
                </c:pt>
                <c:pt idx="49">
                  <c:v>3298.77108916218</c:v>
                </c:pt>
                <c:pt idx="50">
                  <c:v>3298.77108916218</c:v>
                </c:pt>
                <c:pt idx="51">
                  <c:v>3298.77108916218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'TTL NORMAL'!$A$10:$B$10</c:f>
              <c:strCache>
                <c:ptCount val="1"/>
                <c:pt idx="0">
                  <c:v>B3-B 22885</c:v>
                </c:pt>
              </c:strCache>
            </c:strRef>
          </c:tx>
          <c:spPr>
            <a:solidFill>
              <a:srgbClr val="767676"/>
            </a:solidFill>
            <a:ln w="28440">
              <a:solidFill>
                <a:srgbClr val="767676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NORMAL'!$C$10:$BB$10</c:f>
              <c:numCache>
                <c:formatCode>General</c:formatCode>
                <c:ptCount val="52"/>
                <c:pt idx="0">
                  <c:v>16629.8456009151</c:v>
                </c:pt>
                <c:pt idx="1">
                  <c:v>16629.8456009151</c:v>
                </c:pt>
                <c:pt idx="2">
                  <c:v>16629.8456009151</c:v>
                </c:pt>
                <c:pt idx="3">
                  <c:v>16629.8456009151</c:v>
                </c:pt>
                <c:pt idx="4">
                  <c:v>19231.1622312259</c:v>
                </c:pt>
                <c:pt idx="5">
                  <c:v>19231.1622312259</c:v>
                </c:pt>
                <c:pt idx="6">
                  <c:v>19231.1622312259</c:v>
                </c:pt>
                <c:pt idx="7">
                  <c:v>19231.1622312259</c:v>
                </c:pt>
                <c:pt idx="8">
                  <c:v>25269.9329801615</c:v>
                </c:pt>
                <c:pt idx="9">
                  <c:v>25269.9329801615</c:v>
                </c:pt>
                <c:pt idx="10">
                  <c:v>25269.9329801615</c:v>
                </c:pt>
                <c:pt idx="11">
                  <c:v>25269.9329801615</c:v>
                </c:pt>
                <c:pt idx="12">
                  <c:v>26106.0704684757</c:v>
                </c:pt>
                <c:pt idx="13">
                  <c:v>26106.0704684757</c:v>
                </c:pt>
                <c:pt idx="14">
                  <c:v>26106.0704684757</c:v>
                </c:pt>
                <c:pt idx="15">
                  <c:v>26106.0704684757</c:v>
                </c:pt>
                <c:pt idx="16">
                  <c:v>26106.0704684757</c:v>
                </c:pt>
                <c:pt idx="17">
                  <c:v>15329.1872857598</c:v>
                </c:pt>
                <c:pt idx="18">
                  <c:v>15329.1872857598</c:v>
                </c:pt>
                <c:pt idx="19">
                  <c:v>15329.1872857598</c:v>
                </c:pt>
                <c:pt idx="20">
                  <c:v>15329.1872857598</c:v>
                </c:pt>
                <c:pt idx="21">
                  <c:v>26013.1663031075</c:v>
                </c:pt>
                <c:pt idx="22">
                  <c:v>26013.1663031075</c:v>
                </c:pt>
                <c:pt idx="23">
                  <c:v>26013.1663031075</c:v>
                </c:pt>
                <c:pt idx="24">
                  <c:v>26013.1663031075</c:v>
                </c:pt>
                <c:pt idx="25">
                  <c:v>26013.1663031075</c:v>
                </c:pt>
                <c:pt idx="26">
                  <c:v>14400.1456320774</c:v>
                </c:pt>
                <c:pt idx="27">
                  <c:v>14400.1456320774</c:v>
                </c:pt>
                <c:pt idx="28">
                  <c:v>14400.1456320774</c:v>
                </c:pt>
                <c:pt idx="29">
                  <c:v>14400.1456320774</c:v>
                </c:pt>
                <c:pt idx="30">
                  <c:v>14400.1456320774</c:v>
                </c:pt>
                <c:pt idx="31">
                  <c:v>14028.5289706044</c:v>
                </c:pt>
                <c:pt idx="32">
                  <c:v>14028.5289706044</c:v>
                </c:pt>
                <c:pt idx="33">
                  <c:v>14028.5289706044</c:v>
                </c:pt>
                <c:pt idx="34">
                  <c:v>14028.5289706044</c:v>
                </c:pt>
                <c:pt idx="35">
                  <c:v>26849.3037914217</c:v>
                </c:pt>
                <c:pt idx="36">
                  <c:v>26849.3037914217</c:v>
                </c:pt>
                <c:pt idx="37">
                  <c:v>26849.3037914217</c:v>
                </c:pt>
                <c:pt idx="38">
                  <c:v>26849.3037914217</c:v>
                </c:pt>
                <c:pt idx="39">
                  <c:v>26849.3037914217</c:v>
                </c:pt>
                <c:pt idx="40">
                  <c:v>24712.5079879521</c:v>
                </c:pt>
                <c:pt idx="41">
                  <c:v>24712.5079879521</c:v>
                </c:pt>
                <c:pt idx="42">
                  <c:v>24712.5079879521</c:v>
                </c:pt>
                <c:pt idx="43">
                  <c:v>24712.5079879521</c:v>
                </c:pt>
                <c:pt idx="44">
                  <c:v>33073.8828710938</c:v>
                </c:pt>
                <c:pt idx="45">
                  <c:v>33073.8828710938</c:v>
                </c:pt>
                <c:pt idx="46">
                  <c:v>33073.8828710938</c:v>
                </c:pt>
                <c:pt idx="47">
                  <c:v>33073.8828710938</c:v>
                </c:pt>
                <c:pt idx="48">
                  <c:v>32516.4578788843</c:v>
                </c:pt>
                <c:pt idx="49">
                  <c:v>32516.4578788843</c:v>
                </c:pt>
                <c:pt idx="50">
                  <c:v>32516.4578788843</c:v>
                </c:pt>
                <c:pt idx="51">
                  <c:v>32516.4578788843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'TTL NORMAL'!$A$11:$B$11</c:f>
              <c:strCache>
                <c:ptCount val="1"/>
                <c:pt idx="0">
                  <c:v>B4-A 2322</c:v>
                </c:pt>
              </c:strCache>
            </c:strRef>
          </c:tx>
          <c:spPr>
            <a:solidFill>
              <a:srgbClr val="646464"/>
            </a:solidFill>
            <a:ln w="28440">
              <a:solidFill>
                <a:srgbClr val="646464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NORMAL'!$C$11:$BB$11</c:f>
              <c:numCache>
                <c:formatCode>General</c:formatCode>
                <c:ptCount val="52"/>
                <c:pt idx="0">
                  <c:v>1687.08578560009</c:v>
                </c:pt>
                <c:pt idx="1">
                  <c:v>1687.08578560009</c:v>
                </c:pt>
                <c:pt idx="2">
                  <c:v>1687.08578560009</c:v>
                </c:pt>
                <c:pt idx="3">
                  <c:v>1687.08578560009</c:v>
                </c:pt>
                <c:pt idx="4">
                  <c:v>1950.98747273306</c:v>
                </c:pt>
                <c:pt idx="5">
                  <c:v>1950.98747273306</c:v>
                </c:pt>
                <c:pt idx="6">
                  <c:v>1950.98747273306</c:v>
                </c:pt>
                <c:pt idx="7">
                  <c:v>1950.98747273306</c:v>
                </c:pt>
                <c:pt idx="8">
                  <c:v>2563.61638929175</c:v>
                </c:pt>
                <c:pt idx="9">
                  <c:v>2563.61638929175</c:v>
                </c:pt>
                <c:pt idx="10">
                  <c:v>2563.61638929175</c:v>
                </c:pt>
                <c:pt idx="11">
                  <c:v>2563.61638929175</c:v>
                </c:pt>
                <c:pt idx="12">
                  <c:v>2648.44193158449</c:v>
                </c:pt>
                <c:pt idx="13">
                  <c:v>2648.44193158449</c:v>
                </c:pt>
                <c:pt idx="14">
                  <c:v>2648.44193158449</c:v>
                </c:pt>
                <c:pt idx="15">
                  <c:v>2648.44193158449</c:v>
                </c:pt>
                <c:pt idx="16">
                  <c:v>2648.44193158449</c:v>
                </c:pt>
                <c:pt idx="17">
                  <c:v>1555.1349420336</c:v>
                </c:pt>
                <c:pt idx="18">
                  <c:v>1555.1349420336</c:v>
                </c:pt>
                <c:pt idx="19">
                  <c:v>1555.1349420336</c:v>
                </c:pt>
                <c:pt idx="20">
                  <c:v>1555.1349420336</c:v>
                </c:pt>
                <c:pt idx="21">
                  <c:v>2639.01687132974</c:v>
                </c:pt>
                <c:pt idx="22">
                  <c:v>2639.01687132974</c:v>
                </c:pt>
                <c:pt idx="23">
                  <c:v>2639.01687132974</c:v>
                </c:pt>
                <c:pt idx="24">
                  <c:v>2639.01687132974</c:v>
                </c:pt>
                <c:pt idx="25">
                  <c:v>2639.01687132974</c:v>
                </c:pt>
                <c:pt idx="26">
                  <c:v>1460.88433948611</c:v>
                </c:pt>
                <c:pt idx="27">
                  <c:v>1460.88433948611</c:v>
                </c:pt>
                <c:pt idx="28">
                  <c:v>1460.88433948611</c:v>
                </c:pt>
                <c:pt idx="29">
                  <c:v>1460.88433948611</c:v>
                </c:pt>
                <c:pt idx="30">
                  <c:v>1460.88433948611</c:v>
                </c:pt>
                <c:pt idx="31">
                  <c:v>1423.18409846711</c:v>
                </c:pt>
                <c:pt idx="32">
                  <c:v>1423.18409846711</c:v>
                </c:pt>
                <c:pt idx="33">
                  <c:v>1423.18409846711</c:v>
                </c:pt>
                <c:pt idx="34">
                  <c:v>1423.18409846711</c:v>
                </c:pt>
                <c:pt idx="35">
                  <c:v>2723.84241362249</c:v>
                </c:pt>
                <c:pt idx="36">
                  <c:v>2723.84241362249</c:v>
                </c:pt>
                <c:pt idx="37">
                  <c:v>2723.84241362249</c:v>
                </c:pt>
                <c:pt idx="38">
                  <c:v>2723.84241362249</c:v>
                </c:pt>
                <c:pt idx="39">
                  <c:v>2723.84241362249</c:v>
                </c:pt>
                <c:pt idx="40">
                  <c:v>2507.06602776326</c:v>
                </c:pt>
                <c:pt idx="41">
                  <c:v>2507.06602776326</c:v>
                </c:pt>
                <c:pt idx="42">
                  <c:v>2507.06602776326</c:v>
                </c:pt>
                <c:pt idx="43">
                  <c:v>2507.06602776326</c:v>
                </c:pt>
                <c:pt idx="44">
                  <c:v>3355.32145069067</c:v>
                </c:pt>
                <c:pt idx="45">
                  <c:v>3355.32145069067</c:v>
                </c:pt>
                <c:pt idx="46">
                  <c:v>3355.32145069067</c:v>
                </c:pt>
                <c:pt idx="47">
                  <c:v>3355.32145069067</c:v>
                </c:pt>
                <c:pt idx="48">
                  <c:v>3298.77108916218</c:v>
                </c:pt>
                <c:pt idx="49">
                  <c:v>3298.77108916218</c:v>
                </c:pt>
                <c:pt idx="50">
                  <c:v>3298.77108916218</c:v>
                </c:pt>
                <c:pt idx="51">
                  <c:v>3298.77108916218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'TTL NORMAL'!$A$12:$B$12</c:f>
              <c:strCache>
                <c:ptCount val="1"/>
                <c:pt idx="0">
                  <c:v>B4-B 22885</c:v>
                </c:pt>
              </c:strCache>
            </c:strRef>
          </c:tx>
          <c:spPr>
            <a:solidFill>
              <a:srgbClr val="4a4a4a"/>
            </a:solidFill>
            <a:ln w="28440">
              <a:solidFill>
                <a:srgbClr val="4a4a4a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NORMAL'!$C$12:$BB$12</c:f>
              <c:numCache>
                <c:formatCode>General</c:formatCode>
                <c:ptCount val="52"/>
                <c:pt idx="0">
                  <c:v>16629.8456009151</c:v>
                </c:pt>
                <c:pt idx="1">
                  <c:v>16629.8456009151</c:v>
                </c:pt>
                <c:pt idx="2">
                  <c:v>16629.8456009151</c:v>
                </c:pt>
                <c:pt idx="3">
                  <c:v>16629.8456009151</c:v>
                </c:pt>
                <c:pt idx="4">
                  <c:v>19231.1622312259</c:v>
                </c:pt>
                <c:pt idx="5">
                  <c:v>19231.1622312259</c:v>
                </c:pt>
                <c:pt idx="6">
                  <c:v>19231.1622312259</c:v>
                </c:pt>
                <c:pt idx="7">
                  <c:v>19231.1622312259</c:v>
                </c:pt>
                <c:pt idx="8">
                  <c:v>25269.9329801615</c:v>
                </c:pt>
                <c:pt idx="9">
                  <c:v>25269.9329801615</c:v>
                </c:pt>
                <c:pt idx="10">
                  <c:v>25269.9329801615</c:v>
                </c:pt>
                <c:pt idx="11">
                  <c:v>25269.9329801615</c:v>
                </c:pt>
                <c:pt idx="12">
                  <c:v>26106.0704684757</c:v>
                </c:pt>
                <c:pt idx="13">
                  <c:v>26106.0704684757</c:v>
                </c:pt>
                <c:pt idx="14">
                  <c:v>26106.0704684757</c:v>
                </c:pt>
                <c:pt idx="15">
                  <c:v>26106.0704684757</c:v>
                </c:pt>
                <c:pt idx="16">
                  <c:v>26106.0704684757</c:v>
                </c:pt>
                <c:pt idx="17">
                  <c:v>15329.1872857598</c:v>
                </c:pt>
                <c:pt idx="18">
                  <c:v>15329.1872857598</c:v>
                </c:pt>
                <c:pt idx="19">
                  <c:v>15329.1872857598</c:v>
                </c:pt>
                <c:pt idx="20">
                  <c:v>15329.1872857598</c:v>
                </c:pt>
                <c:pt idx="21">
                  <c:v>26013.1663031075</c:v>
                </c:pt>
                <c:pt idx="22">
                  <c:v>26013.1663031075</c:v>
                </c:pt>
                <c:pt idx="23">
                  <c:v>26013.1663031075</c:v>
                </c:pt>
                <c:pt idx="24">
                  <c:v>26013.1663031075</c:v>
                </c:pt>
                <c:pt idx="25">
                  <c:v>26013.1663031075</c:v>
                </c:pt>
                <c:pt idx="26">
                  <c:v>14400.1456320774</c:v>
                </c:pt>
                <c:pt idx="27">
                  <c:v>14400.1456320774</c:v>
                </c:pt>
                <c:pt idx="28">
                  <c:v>14400.1456320774</c:v>
                </c:pt>
                <c:pt idx="29">
                  <c:v>14400.1456320774</c:v>
                </c:pt>
                <c:pt idx="30">
                  <c:v>14400.1456320774</c:v>
                </c:pt>
                <c:pt idx="31">
                  <c:v>14028.5289706044</c:v>
                </c:pt>
                <c:pt idx="32">
                  <c:v>14028.5289706044</c:v>
                </c:pt>
                <c:pt idx="33">
                  <c:v>14028.5289706044</c:v>
                </c:pt>
                <c:pt idx="34">
                  <c:v>14028.5289706044</c:v>
                </c:pt>
                <c:pt idx="35">
                  <c:v>26849.3037914217</c:v>
                </c:pt>
                <c:pt idx="36">
                  <c:v>26849.3037914217</c:v>
                </c:pt>
                <c:pt idx="37">
                  <c:v>26849.3037914217</c:v>
                </c:pt>
                <c:pt idx="38">
                  <c:v>26849.3037914217</c:v>
                </c:pt>
                <c:pt idx="39">
                  <c:v>26849.3037914217</c:v>
                </c:pt>
                <c:pt idx="40">
                  <c:v>24712.5079879521</c:v>
                </c:pt>
                <c:pt idx="41">
                  <c:v>24712.5079879521</c:v>
                </c:pt>
                <c:pt idx="42">
                  <c:v>24712.5079879521</c:v>
                </c:pt>
                <c:pt idx="43">
                  <c:v>24712.5079879521</c:v>
                </c:pt>
                <c:pt idx="44">
                  <c:v>33073.8828710938</c:v>
                </c:pt>
                <c:pt idx="45">
                  <c:v>33073.8828710938</c:v>
                </c:pt>
                <c:pt idx="46">
                  <c:v>33073.8828710938</c:v>
                </c:pt>
                <c:pt idx="47">
                  <c:v>33073.8828710938</c:v>
                </c:pt>
                <c:pt idx="48">
                  <c:v>32516.4578788843</c:v>
                </c:pt>
                <c:pt idx="49">
                  <c:v>32516.4578788843</c:v>
                </c:pt>
                <c:pt idx="50">
                  <c:v>32516.4578788843</c:v>
                </c:pt>
                <c:pt idx="51">
                  <c:v>32516.4578788843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'TTL NORMAL'!$A$13:$B$13</c:f>
              <c:strCache>
                <c:ptCount val="1"/>
                <c:pt idx="0">
                  <c:v>B5-A 2322</c:v>
                </c:pt>
              </c:strCache>
            </c:strRef>
          </c:tx>
          <c:spPr>
            <a:solidFill>
              <a:srgbClr val="3c3c3c"/>
            </a:solidFill>
            <a:ln w="28440">
              <a:solidFill>
                <a:srgbClr val="3c3c3c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NORMAL'!$C$13:$BB$13</c:f>
              <c:numCache>
                <c:formatCode>General</c:formatCode>
                <c:ptCount val="52"/>
                <c:pt idx="0">
                  <c:v>1687.08578560009</c:v>
                </c:pt>
                <c:pt idx="1">
                  <c:v>1687.08578560009</c:v>
                </c:pt>
                <c:pt idx="2">
                  <c:v>1687.08578560009</c:v>
                </c:pt>
                <c:pt idx="3">
                  <c:v>1687.08578560009</c:v>
                </c:pt>
                <c:pt idx="4">
                  <c:v>1950.98747273306</c:v>
                </c:pt>
                <c:pt idx="5">
                  <c:v>1950.98747273306</c:v>
                </c:pt>
                <c:pt idx="6">
                  <c:v>1950.98747273306</c:v>
                </c:pt>
                <c:pt idx="7">
                  <c:v>1950.98747273306</c:v>
                </c:pt>
                <c:pt idx="8">
                  <c:v>2563.61638929175</c:v>
                </c:pt>
                <c:pt idx="9">
                  <c:v>2563.61638929175</c:v>
                </c:pt>
                <c:pt idx="10">
                  <c:v>2563.61638929175</c:v>
                </c:pt>
                <c:pt idx="11">
                  <c:v>2563.61638929175</c:v>
                </c:pt>
                <c:pt idx="12">
                  <c:v>2648.44193158449</c:v>
                </c:pt>
                <c:pt idx="13">
                  <c:v>2648.44193158449</c:v>
                </c:pt>
                <c:pt idx="14">
                  <c:v>2648.44193158449</c:v>
                </c:pt>
                <c:pt idx="15">
                  <c:v>2648.44193158449</c:v>
                </c:pt>
                <c:pt idx="16">
                  <c:v>2648.44193158449</c:v>
                </c:pt>
                <c:pt idx="17">
                  <c:v>1555.1349420336</c:v>
                </c:pt>
                <c:pt idx="18">
                  <c:v>1555.1349420336</c:v>
                </c:pt>
                <c:pt idx="19">
                  <c:v>1555.1349420336</c:v>
                </c:pt>
                <c:pt idx="20">
                  <c:v>1555.1349420336</c:v>
                </c:pt>
                <c:pt idx="21">
                  <c:v>2639.01687132974</c:v>
                </c:pt>
                <c:pt idx="22">
                  <c:v>2639.01687132974</c:v>
                </c:pt>
                <c:pt idx="23">
                  <c:v>2639.01687132974</c:v>
                </c:pt>
                <c:pt idx="24">
                  <c:v>2639.01687132974</c:v>
                </c:pt>
                <c:pt idx="25">
                  <c:v>2639.01687132974</c:v>
                </c:pt>
                <c:pt idx="26">
                  <c:v>1460.88433948611</c:v>
                </c:pt>
                <c:pt idx="27">
                  <c:v>1460.88433948611</c:v>
                </c:pt>
                <c:pt idx="28">
                  <c:v>1460.88433948611</c:v>
                </c:pt>
                <c:pt idx="29">
                  <c:v>1460.88433948611</c:v>
                </c:pt>
                <c:pt idx="30">
                  <c:v>1460.88433948611</c:v>
                </c:pt>
                <c:pt idx="31">
                  <c:v>1423.18409846711</c:v>
                </c:pt>
                <c:pt idx="32">
                  <c:v>1423.18409846711</c:v>
                </c:pt>
                <c:pt idx="33">
                  <c:v>1423.18409846711</c:v>
                </c:pt>
                <c:pt idx="34">
                  <c:v>1423.18409846711</c:v>
                </c:pt>
                <c:pt idx="35">
                  <c:v>2723.84241362249</c:v>
                </c:pt>
                <c:pt idx="36">
                  <c:v>2723.84241362249</c:v>
                </c:pt>
                <c:pt idx="37">
                  <c:v>2723.84241362249</c:v>
                </c:pt>
                <c:pt idx="38">
                  <c:v>2723.84241362249</c:v>
                </c:pt>
                <c:pt idx="39">
                  <c:v>2723.84241362249</c:v>
                </c:pt>
                <c:pt idx="40">
                  <c:v>2507.06602776326</c:v>
                </c:pt>
                <c:pt idx="41">
                  <c:v>2507.06602776326</c:v>
                </c:pt>
                <c:pt idx="42">
                  <c:v>2507.06602776326</c:v>
                </c:pt>
                <c:pt idx="43">
                  <c:v>2507.06602776326</c:v>
                </c:pt>
                <c:pt idx="44">
                  <c:v>3355.32145069067</c:v>
                </c:pt>
                <c:pt idx="45">
                  <c:v>3355.32145069067</c:v>
                </c:pt>
                <c:pt idx="46">
                  <c:v>3355.32145069067</c:v>
                </c:pt>
                <c:pt idx="47">
                  <c:v>3355.32145069067</c:v>
                </c:pt>
                <c:pt idx="48">
                  <c:v>3298.77108916218</c:v>
                </c:pt>
                <c:pt idx="49">
                  <c:v>3298.77108916218</c:v>
                </c:pt>
                <c:pt idx="50">
                  <c:v>3298.77108916218</c:v>
                </c:pt>
                <c:pt idx="51">
                  <c:v>3298.77108916218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'TTL NORMAL'!$A$14:$B$14</c:f>
              <c:strCache>
                <c:ptCount val="1"/>
                <c:pt idx="0">
                  <c:v>B5-B 22885</c:v>
                </c:pt>
              </c:strCache>
            </c:strRef>
          </c:tx>
          <c:spPr>
            <a:solidFill>
              <a:srgbClr val="bfbfbf"/>
            </a:solidFill>
            <a:ln w="28440">
              <a:solidFill>
                <a:srgbClr val="bfbfbf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NORMAL'!$C$14:$BB$14</c:f>
              <c:numCache>
                <c:formatCode>General</c:formatCode>
                <c:ptCount val="52"/>
                <c:pt idx="0">
                  <c:v>16629.8456009151</c:v>
                </c:pt>
                <c:pt idx="1">
                  <c:v>16629.8456009151</c:v>
                </c:pt>
                <c:pt idx="2">
                  <c:v>16629.8456009151</c:v>
                </c:pt>
                <c:pt idx="3">
                  <c:v>16629.8456009151</c:v>
                </c:pt>
                <c:pt idx="4">
                  <c:v>19231.1622312259</c:v>
                </c:pt>
                <c:pt idx="5">
                  <c:v>19231.1622312259</c:v>
                </c:pt>
                <c:pt idx="6">
                  <c:v>19231.1622312259</c:v>
                </c:pt>
                <c:pt idx="7">
                  <c:v>19231.1622312259</c:v>
                </c:pt>
                <c:pt idx="8">
                  <c:v>25269.9329801615</c:v>
                </c:pt>
                <c:pt idx="9">
                  <c:v>25269.9329801615</c:v>
                </c:pt>
                <c:pt idx="10">
                  <c:v>25269.9329801615</c:v>
                </c:pt>
                <c:pt idx="11">
                  <c:v>25269.9329801615</c:v>
                </c:pt>
                <c:pt idx="12">
                  <c:v>26106.0704684757</c:v>
                </c:pt>
                <c:pt idx="13">
                  <c:v>26106.0704684757</c:v>
                </c:pt>
                <c:pt idx="14">
                  <c:v>26106.0704684757</c:v>
                </c:pt>
                <c:pt idx="15">
                  <c:v>26106.0704684757</c:v>
                </c:pt>
                <c:pt idx="16">
                  <c:v>26106.0704684757</c:v>
                </c:pt>
                <c:pt idx="17">
                  <c:v>15329.1872857598</c:v>
                </c:pt>
                <c:pt idx="18">
                  <c:v>15329.1872857598</c:v>
                </c:pt>
                <c:pt idx="19">
                  <c:v>15329.1872857598</c:v>
                </c:pt>
                <c:pt idx="20">
                  <c:v>15329.1872857598</c:v>
                </c:pt>
                <c:pt idx="21">
                  <c:v>26013.1663031075</c:v>
                </c:pt>
                <c:pt idx="22">
                  <c:v>26013.1663031075</c:v>
                </c:pt>
                <c:pt idx="23">
                  <c:v>26013.1663031075</c:v>
                </c:pt>
                <c:pt idx="24">
                  <c:v>26013.1663031075</c:v>
                </c:pt>
                <c:pt idx="25">
                  <c:v>26013.1663031075</c:v>
                </c:pt>
                <c:pt idx="26">
                  <c:v>14400.1456320774</c:v>
                </c:pt>
                <c:pt idx="27">
                  <c:v>14400.1456320774</c:v>
                </c:pt>
                <c:pt idx="28">
                  <c:v>14400.1456320774</c:v>
                </c:pt>
                <c:pt idx="29">
                  <c:v>14400.1456320774</c:v>
                </c:pt>
                <c:pt idx="30">
                  <c:v>14400.1456320774</c:v>
                </c:pt>
                <c:pt idx="31">
                  <c:v>14028.5289706044</c:v>
                </c:pt>
                <c:pt idx="32">
                  <c:v>14028.5289706044</c:v>
                </c:pt>
                <c:pt idx="33">
                  <c:v>14028.5289706044</c:v>
                </c:pt>
                <c:pt idx="34">
                  <c:v>14028.5289706044</c:v>
                </c:pt>
                <c:pt idx="35">
                  <c:v>26849.3037914217</c:v>
                </c:pt>
                <c:pt idx="36">
                  <c:v>26849.3037914217</c:v>
                </c:pt>
                <c:pt idx="37">
                  <c:v>26849.3037914217</c:v>
                </c:pt>
                <c:pt idx="38">
                  <c:v>26849.3037914217</c:v>
                </c:pt>
                <c:pt idx="39">
                  <c:v>26849.3037914217</c:v>
                </c:pt>
                <c:pt idx="40">
                  <c:v>24712.5079879521</c:v>
                </c:pt>
                <c:pt idx="41">
                  <c:v>24712.5079879521</c:v>
                </c:pt>
                <c:pt idx="42">
                  <c:v>24712.5079879521</c:v>
                </c:pt>
                <c:pt idx="43">
                  <c:v>24712.5079879521</c:v>
                </c:pt>
                <c:pt idx="44">
                  <c:v>33073.8828710938</c:v>
                </c:pt>
                <c:pt idx="45">
                  <c:v>33073.8828710938</c:v>
                </c:pt>
                <c:pt idx="46">
                  <c:v>33073.8828710938</c:v>
                </c:pt>
                <c:pt idx="47">
                  <c:v>33073.8828710938</c:v>
                </c:pt>
                <c:pt idx="48">
                  <c:v>32516.4578788843</c:v>
                </c:pt>
                <c:pt idx="49">
                  <c:v>32516.4578788843</c:v>
                </c:pt>
                <c:pt idx="50">
                  <c:v>32516.4578788843</c:v>
                </c:pt>
                <c:pt idx="51">
                  <c:v>32516.4578788843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'TTL NORMAL'!$A$15:$B$15</c:f>
              <c:strCache>
                <c:ptCount val="1"/>
                <c:pt idx="0">
                  <c:v>B6-A 2322</c:v>
                </c:pt>
              </c:strCache>
            </c:strRef>
          </c:tx>
          <c:spPr>
            <a:solidFill>
              <a:srgbClr val="9a9a9a"/>
            </a:solidFill>
            <a:ln w="28440">
              <a:solidFill>
                <a:srgbClr val="9a9a9a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NORMAL'!$C$15:$BB$15</c:f>
              <c:numCache>
                <c:formatCode>General</c:formatCode>
                <c:ptCount val="52"/>
                <c:pt idx="0">
                  <c:v>1687.08578560009</c:v>
                </c:pt>
                <c:pt idx="1">
                  <c:v>1687.08578560009</c:v>
                </c:pt>
                <c:pt idx="2">
                  <c:v>1687.08578560009</c:v>
                </c:pt>
                <c:pt idx="3">
                  <c:v>1687.08578560009</c:v>
                </c:pt>
                <c:pt idx="4">
                  <c:v>1950.98747273306</c:v>
                </c:pt>
                <c:pt idx="5">
                  <c:v>1950.98747273306</c:v>
                </c:pt>
                <c:pt idx="6">
                  <c:v>1950.98747273306</c:v>
                </c:pt>
                <c:pt idx="7">
                  <c:v>1950.98747273306</c:v>
                </c:pt>
                <c:pt idx="8">
                  <c:v>2563.61638929175</c:v>
                </c:pt>
                <c:pt idx="9">
                  <c:v>2563.61638929175</c:v>
                </c:pt>
                <c:pt idx="10">
                  <c:v>2563.61638929175</c:v>
                </c:pt>
                <c:pt idx="11">
                  <c:v>2563.61638929175</c:v>
                </c:pt>
                <c:pt idx="12">
                  <c:v>2648.44193158449</c:v>
                </c:pt>
                <c:pt idx="13">
                  <c:v>2648.44193158449</c:v>
                </c:pt>
                <c:pt idx="14">
                  <c:v>2648.44193158449</c:v>
                </c:pt>
                <c:pt idx="15">
                  <c:v>2648.44193158449</c:v>
                </c:pt>
                <c:pt idx="16">
                  <c:v>2648.44193158449</c:v>
                </c:pt>
                <c:pt idx="17">
                  <c:v>1555.1349420336</c:v>
                </c:pt>
                <c:pt idx="18">
                  <c:v>1555.1349420336</c:v>
                </c:pt>
                <c:pt idx="19">
                  <c:v>1555.1349420336</c:v>
                </c:pt>
                <c:pt idx="20">
                  <c:v>1555.1349420336</c:v>
                </c:pt>
                <c:pt idx="21">
                  <c:v>2639.01687132974</c:v>
                </c:pt>
                <c:pt idx="22">
                  <c:v>2639.01687132974</c:v>
                </c:pt>
                <c:pt idx="23">
                  <c:v>2639.01687132974</c:v>
                </c:pt>
                <c:pt idx="24">
                  <c:v>2639.01687132974</c:v>
                </c:pt>
                <c:pt idx="25">
                  <c:v>2639.01687132974</c:v>
                </c:pt>
                <c:pt idx="26">
                  <c:v>1460.88433948611</c:v>
                </c:pt>
                <c:pt idx="27">
                  <c:v>1460.88433948611</c:v>
                </c:pt>
                <c:pt idx="28">
                  <c:v>1460.88433948611</c:v>
                </c:pt>
                <c:pt idx="29">
                  <c:v>1460.88433948611</c:v>
                </c:pt>
                <c:pt idx="30">
                  <c:v>1460.88433948611</c:v>
                </c:pt>
                <c:pt idx="31">
                  <c:v>1423.18409846711</c:v>
                </c:pt>
                <c:pt idx="32">
                  <c:v>1423.18409846711</c:v>
                </c:pt>
                <c:pt idx="33">
                  <c:v>1423.18409846711</c:v>
                </c:pt>
                <c:pt idx="34">
                  <c:v>1423.18409846711</c:v>
                </c:pt>
                <c:pt idx="35">
                  <c:v>2723.84241362249</c:v>
                </c:pt>
                <c:pt idx="36">
                  <c:v>2723.84241362249</c:v>
                </c:pt>
                <c:pt idx="37">
                  <c:v>2723.84241362249</c:v>
                </c:pt>
                <c:pt idx="38">
                  <c:v>2723.84241362249</c:v>
                </c:pt>
                <c:pt idx="39">
                  <c:v>2723.84241362249</c:v>
                </c:pt>
                <c:pt idx="40">
                  <c:v>2507.06602776326</c:v>
                </c:pt>
                <c:pt idx="41">
                  <c:v>2507.06602776326</c:v>
                </c:pt>
                <c:pt idx="42">
                  <c:v>2507.06602776326</c:v>
                </c:pt>
                <c:pt idx="43">
                  <c:v>2507.06602776326</c:v>
                </c:pt>
                <c:pt idx="44">
                  <c:v>3355.32145069067</c:v>
                </c:pt>
                <c:pt idx="45">
                  <c:v>3355.32145069067</c:v>
                </c:pt>
                <c:pt idx="46">
                  <c:v>3355.32145069067</c:v>
                </c:pt>
                <c:pt idx="47">
                  <c:v>3355.32145069067</c:v>
                </c:pt>
                <c:pt idx="48">
                  <c:v>3298.77108916218</c:v>
                </c:pt>
                <c:pt idx="49">
                  <c:v>3298.77108916218</c:v>
                </c:pt>
                <c:pt idx="50">
                  <c:v>3298.77108916218</c:v>
                </c:pt>
                <c:pt idx="51">
                  <c:v>3298.77108916218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'TTL NORMAL'!$A$16:$B$16</c:f>
              <c:strCache>
                <c:ptCount val="1"/>
                <c:pt idx="0">
                  <c:v>B6-B 22885</c:v>
                </c:pt>
              </c:strCache>
            </c:strRef>
          </c:tx>
          <c:spPr>
            <a:solidFill>
              <a:srgbClr val="828282"/>
            </a:solidFill>
            <a:ln w="28440">
              <a:solidFill>
                <a:srgbClr val="828282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NORMAL'!$C$16:$BB$16</c:f>
              <c:numCache>
                <c:formatCode>General</c:formatCode>
                <c:ptCount val="52"/>
                <c:pt idx="0">
                  <c:v>16629.8456009151</c:v>
                </c:pt>
                <c:pt idx="1">
                  <c:v>16629.8456009151</c:v>
                </c:pt>
                <c:pt idx="2">
                  <c:v>16629.8456009151</c:v>
                </c:pt>
                <c:pt idx="3">
                  <c:v>16629.8456009151</c:v>
                </c:pt>
                <c:pt idx="4">
                  <c:v>19231.1622312259</c:v>
                </c:pt>
                <c:pt idx="5">
                  <c:v>19231.1622312259</c:v>
                </c:pt>
                <c:pt idx="6">
                  <c:v>19231.1622312259</c:v>
                </c:pt>
                <c:pt idx="7">
                  <c:v>19231.1622312259</c:v>
                </c:pt>
                <c:pt idx="8">
                  <c:v>25269.9329801615</c:v>
                </c:pt>
                <c:pt idx="9">
                  <c:v>25269.9329801615</c:v>
                </c:pt>
                <c:pt idx="10">
                  <c:v>25269.9329801615</c:v>
                </c:pt>
                <c:pt idx="11">
                  <c:v>25269.9329801615</c:v>
                </c:pt>
                <c:pt idx="12">
                  <c:v>26106.0704684757</c:v>
                </c:pt>
                <c:pt idx="13">
                  <c:v>26106.0704684757</c:v>
                </c:pt>
                <c:pt idx="14">
                  <c:v>26106.0704684757</c:v>
                </c:pt>
                <c:pt idx="15">
                  <c:v>26106.0704684757</c:v>
                </c:pt>
                <c:pt idx="16">
                  <c:v>26106.0704684757</c:v>
                </c:pt>
                <c:pt idx="17">
                  <c:v>15329.1872857598</c:v>
                </c:pt>
                <c:pt idx="18">
                  <c:v>15329.1872857598</c:v>
                </c:pt>
                <c:pt idx="19">
                  <c:v>15329.1872857598</c:v>
                </c:pt>
                <c:pt idx="20">
                  <c:v>15329.1872857598</c:v>
                </c:pt>
                <c:pt idx="21">
                  <c:v>26013.1663031075</c:v>
                </c:pt>
                <c:pt idx="22">
                  <c:v>26013.1663031075</c:v>
                </c:pt>
                <c:pt idx="23">
                  <c:v>26013.1663031075</c:v>
                </c:pt>
                <c:pt idx="24">
                  <c:v>26013.1663031075</c:v>
                </c:pt>
                <c:pt idx="25">
                  <c:v>26013.1663031075</c:v>
                </c:pt>
                <c:pt idx="26">
                  <c:v>14400.1456320774</c:v>
                </c:pt>
                <c:pt idx="27">
                  <c:v>14400.1456320774</c:v>
                </c:pt>
                <c:pt idx="28">
                  <c:v>14400.1456320774</c:v>
                </c:pt>
                <c:pt idx="29">
                  <c:v>14400.1456320774</c:v>
                </c:pt>
                <c:pt idx="30">
                  <c:v>14400.1456320774</c:v>
                </c:pt>
                <c:pt idx="31">
                  <c:v>14028.5289706044</c:v>
                </c:pt>
                <c:pt idx="32">
                  <c:v>14028.5289706044</c:v>
                </c:pt>
                <c:pt idx="33">
                  <c:v>14028.5289706044</c:v>
                </c:pt>
                <c:pt idx="34">
                  <c:v>14028.5289706044</c:v>
                </c:pt>
                <c:pt idx="35">
                  <c:v>26849.3037914217</c:v>
                </c:pt>
                <c:pt idx="36">
                  <c:v>26849.3037914217</c:v>
                </c:pt>
                <c:pt idx="37">
                  <c:v>26849.3037914217</c:v>
                </c:pt>
                <c:pt idx="38">
                  <c:v>26849.3037914217</c:v>
                </c:pt>
                <c:pt idx="39">
                  <c:v>26849.3037914217</c:v>
                </c:pt>
                <c:pt idx="40">
                  <c:v>24712.5079879521</c:v>
                </c:pt>
                <c:pt idx="41">
                  <c:v>24712.5079879521</c:v>
                </c:pt>
                <c:pt idx="42">
                  <c:v>24712.5079879521</c:v>
                </c:pt>
                <c:pt idx="43">
                  <c:v>24712.5079879521</c:v>
                </c:pt>
                <c:pt idx="44">
                  <c:v>33073.8828710938</c:v>
                </c:pt>
                <c:pt idx="45">
                  <c:v>33073.8828710938</c:v>
                </c:pt>
                <c:pt idx="46">
                  <c:v>33073.8828710938</c:v>
                </c:pt>
                <c:pt idx="47">
                  <c:v>33073.8828710938</c:v>
                </c:pt>
                <c:pt idx="48">
                  <c:v>32516.4578788843</c:v>
                </c:pt>
                <c:pt idx="49">
                  <c:v>32516.4578788843</c:v>
                </c:pt>
                <c:pt idx="50">
                  <c:v>32516.4578788843</c:v>
                </c:pt>
                <c:pt idx="51">
                  <c:v>32516.4578788843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'TTL NORMAL'!$A$17:$B$17</c:f>
              <c:strCache>
                <c:ptCount val="1"/>
                <c:pt idx="0">
                  <c:v>B11-A 2667</c:v>
                </c:pt>
              </c:strCache>
            </c:strRef>
          </c:tx>
          <c:spPr>
            <a:solidFill>
              <a:srgbClr val="6f6f6f"/>
            </a:solidFill>
            <a:ln w="28440">
              <a:solidFill>
                <a:srgbClr val="6f6f6f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NORMAL'!$C$17:$BB$17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'TTL NORMAL'!$A$18:$B$18</c:f>
              <c:strCache>
                <c:ptCount val="1"/>
                <c:pt idx="0">
                  <c:v>B11-B 4838</c:v>
                </c:pt>
              </c:strCache>
            </c:strRef>
          </c:tx>
          <c:spPr>
            <a:solidFill>
              <a:srgbClr val="525252"/>
            </a:solidFill>
            <a:ln w="28440">
              <a:solidFill>
                <a:srgbClr val="525252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NORMAL'!$C$18:$BB$18</c:f>
              <c:numCache>
                <c:formatCode>General</c:formatCode>
                <c:ptCount val="52"/>
                <c:pt idx="0">
                  <c:v>3515.96898500544</c:v>
                </c:pt>
                <c:pt idx="1">
                  <c:v>3515.96898500544</c:v>
                </c:pt>
                <c:pt idx="2">
                  <c:v>3515.96898500544</c:v>
                </c:pt>
                <c:pt idx="3">
                  <c:v>3515.96898500544</c:v>
                </c:pt>
                <c:pt idx="4">
                  <c:v>4065.95296031356</c:v>
                </c:pt>
                <c:pt idx="5">
                  <c:v>4065.95296031356</c:v>
                </c:pt>
                <c:pt idx="6">
                  <c:v>4065.95296031356</c:v>
                </c:pt>
                <c:pt idx="7">
                  <c:v>4065.95296031356</c:v>
                </c:pt>
                <c:pt idx="8">
                  <c:v>5342.70147442168</c:v>
                </c:pt>
                <c:pt idx="9">
                  <c:v>5342.70147442168</c:v>
                </c:pt>
                <c:pt idx="10">
                  <c:v>5342.70147442168</c:v>
                </c:pt>
                <c:pt idx="11">
                  <c:v>5342.70147442168</c:v>
                </c:pt>
                <c:pt idx="12">
                  <c:v>5519.48203791358</c:v>
                </c:pt>
                <c:pt idx="13">
                  <c:v>5519.48203791358</c:v>
                </c:pt>
                <c:pt idx="14">
                  <c:v>5519.48203791358</c:v>
                </c:pt>
                <c:pt idx="15">
                  <c:v>5519.48203791358</c:v>
                </c:pt>
                <c:pt idx="16">
                  <c:v>5519.48203791358</c:v>
                </c:pt>
                <c:pt idx="17">
                  <c:v>3240.97699735139</c:v>
                </c:pt>
                <c:pt idx="18">
                  <c:v>3240.97699735139</c:v>
                </c:pt>
                <c:pt idx="19">
                  <c:v>3240.97699735139</c:v>
                </c:pt>
                <c:pt idx="20">
                  <c:v>3240.97699735139</c:v>
                </c:pt>
                <c:pt idx="21">
                  <c:v>5499.83975308114</c:v>
                </c:pt>
                <c:pt idx="22">
                  <c:v>5499.83975308114</c:v>
                </c:pt>
                <c:pt idx="23">
                  <c:v>5499.83975308114</c:v>
                </c:pt>
                <c:pt idx="24">
                  <c:v>5499.83975308114</c:v>
                </c:pt>
                <c:pt idx="25">
                  <c:v>5499.83975308114</c:v>
                </c:pt>
                <c:pt idx="26">
                  <c:v>3044.55414902706</c:v>
                </c:pt>
                <c:pt idx="27">
                  <c:v>3044.55414902706</c:v>
                </c:pt>
                <c:pt idx="28">
                  <c:v>3044.55414902706</c:v>
                </c:pt>
                <c:pt idx="29">
                  <c:v>3044.55414902706</c:v>
                </c:pt>
                <c:pt idx="30">
                  <c:v>3044.55414902706</c:v>
                </c:pt>
                <c:pt idx="31">
                  <c:v>2965.98500969733</c:v>
                </c:pt>
                <c:pt idx="32">
                  <c:v>2965.98500969733</c:v>
                </c:pt>
                <c:pt idx="33">
                  <c:v>2965.98500969733</c:v>
                </c:pt>
                <c:pt idx="34">
                  <c:v>2965.98500969733</c:v>
                </c:pt>
                <c:pt idx="35">
                  <c:v>5676.62031657304</c:v>
                </c:pt>
                <c:pt idx="36">
                  <c:v>5676.62031657304</c:v>
                </c:pt>
                <c:pt idx="37">
                  <c:v>5676.62031657304</c:v>
                </c:pt>
                <c:pt idx="38">
                  <c:v>5676.62031657304</c:v>
                </c:pt>
                <c:pt idx="39">
                  <c:v>5676.62031657304</c:v>
                </c:pt>
                <c:pt idx="40">
                  <c:v>5224.84776542709</c:v>
                </c:pt>
                <c:pt idx="41">
                  <c:v>5224.84776542709</c:v>
                </c:pt>
                <c:pt idx="42">
                  <c:v>5224.84776542709</c:v>
                </c:pt>
                <c:pt idx="43">
                  <c:v>5224.84776542709</c:v>
                </c:pt>
                <c:pt idx="44">
                  <c:v>6992.65340034603</c:v>
                </c:pt>
                <c:pt idx="45">
                  <c:v>6992.65340034603</c:v>
                </c:pt>
                <c:pt idx="46">
                  <c:v>6992.65340034603</c:v>
                </c:pt>
                <c:pt idx="47">
                  <c:v>6992.65340034603</c:v>
                </c:pt>
                <c:pt idx="48">
                  <c:v>6874.79969135143</c:v>
                </c:pt>
                <c:pt idx="49">
                  <c:v>6874.79969135143</c:v>
                </c:pt>
                <c:pt idx="50">
                  <c:v>6874.79969135143</c:v>
                </c:pt>
                <c:pt idx="51">
                  <c:v>6874.79969135143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'TTL NORMAL'!$A$19:$B$19</c:f>
              <c:strCache>
                <c:ptCount val="1"/>
                <c:pt idx="0">
                  <c:v>B11-C 2667</c:v>
                </c:pt>
              </c:strCache>
            </c:strRef>
          </c:tx>
          <c:spPr>
            <a:solidFill>
              <a:srgbClr val="424242"/>
            </a:solidFill>
            <a:ln w="28440">
              <a:solidFill>
                <a:srgbClr val="424242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NORMAL'!$C$19:$BB$19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'TTL NORMAL'!$A$20:$B$20</c:f>
              <c:strCache>
                <c:ptCount val="1"/>
                <c:pt idx="0">
                  <c:v>B12-A 2667</c:v>
                </c:pt>
              </c:strCache>
            </c:strRef>
          </c:tx>
          <c:spPr>
            <a:solidFill>
              <a:srgbClr val="d0d0d0"/>
            </a:solidFill>
            <a:ln w="28440">
              <a:solidFill>
                <a:srgbClr val="d0d0d0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NORMAL'!$C$20:$BB$20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'TTL NORMAL'!$A$21:$B$21</c:f>
              <c:strCache>
                <c:ptCount val="1"/>
                <c:pt idx="0">
                  <c:v>B12-B 4838</c:v>
                </c:pt>
              </c:strCache>
            </c:strRef>
          </c:tx>
          <c:spPr>
            <a:solidFill>
              <a:srgbClr val="a7a7a7"/>
            </a:solidFill>
            <a:ln w="28440">
              <a:solidFill>
                <a:srgbClr val="a7a7a7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NORMAL'!$C$21:$BB$21</c:f>
              <c:numCache>
                <c:formatCode>General</c:formatCode>
                <c:ptCount val="52"/>
                <c:pt idx="0">
                  <c:v>3515.96898500544</c:v>
                </c:pt>
                <c:pt idx="1">
                  <c:v>3515.96898500544</c:v>
                </c:pt>
                <c:pt idx="2">
                  <c:v>3515.96898500544</c:v>
                </c:pt>
                <c:pt idx="3">
                  <c:v>3515.96898500544</c:v>
                </c:pt>
                <c:pt idx="4">
                  <c:v>4065.95296031356</c:v>
                </c:pt>
                <c:pt idx="5">
                  <c:v>4065.95296031356</c:v>
                </c:pt>
                <c:pt idx="6">
                  <c:v>4065.95296031356</c:v>
                </c:pt>
                <c:pt idx="7">
                  <c:v>4065.95296031356</c:v>
                </c:pt>
                <c:pt idx="8">
                  <c:v>5342.70147442168</c:v>
                </c:pt>
                <c:pt idx="9">
                  <c:v>5342.70147442168</c:v>
                </c:pt>
                <c:pt idx="10">
                  <c:v>5342.70147442168</c:v>
                </c:pt>
                <c:pt idx="11">
                  <c:v>5342.70147442168</c:v>
                </c:pt>
                <c:pt idx="12">
                  <c:v>5519.48203791358</c:v>
                </c:pt>
                <c:pt idx="13">
                  <c:v>5519.48203791358</c:v>
                </c:pt>
                <c:pt idx="14">
                  <c:v>5519.48203791358</c:v>
                </c:pt>
                <c:pt idx="15">
                  <c:v>5519.48203791358</c:v>
                </c:pt>
                <c:pt idx="16">
                  <c:v>5519.48203791358</c:v>
                </c:pt>
                <c:pt idx="17">
                  <c:v>3240.97699735139</c:v>
                </c:pt>
                <c:pt idx="18">
                  <c:v>3240.97699735139</c:v>
                </c:pt>
                <c:pt idx="19">
                  <c:v>3240.97699735139</c:v>
                </c:pt>
                <c:pt idx="20">
                  <c:v>3240.97699735139</c:v>
                </c:pt>
                <c:pt idx="21">
                  <c:v>5499.83975308114</c:v>
                </c:pt>
                <c:pt idx="22">
                  <c:v>5499.83975308114</c:v>
                </c:pt>
                <c:pt idx="23">
                  <c:v>5499.83975308114</c:v>
                </c:pt>
                <c:pt idx="24">
                  <c:v>5499.83975308114</c:v>
                </c:pt>
                <c:pt idx="25">
                  <c:v>5499.83975308114</c:v>
                </c:pt>
                <c:pt idx="26">
                  <c:v>3044.55414902706</c:v>
                </c:pt>
                <c:pt idx="27">
                  <c:v>3044.55414902706</c:v>
                </c:pt>
                <c:pt idx="28">
                  <c:v>3044.55414902706</c:v>
                </c:pt>
                <c:pt idx="29">
                  <c:v>3044.55414902706</c:v>
                </c:pt>
                <c:pt idx="30">
                  <c:v>3044.55414902706</c:v>
                </c:pt>
                <c:pt idx="31">
                  <c:v>2965.98500969733</c:v>
                </c:pt>
                <c:pt idx="32">
                  <c:v>2965.98500969733</c:v>
                </c:pt>
                <c:pt idx="33">
                  <c:v>2965.98500969733</c:v>
                </c:pt>
                <c:pt idx="34">
                  <c:v>2965.98500969733</c:v>
                </c:pt>
                <c:pt idx="35">
                  <c:v>5676.62031657304</c:v>
                </c:pt>
                <c:pt idx="36">
                  <c:v>5676.62031657304</c:v>
                </c:pt>
                <c:pt idx="37">
                  <c:v>5676.62031657304</c:v>
                </c:pt>
                <c:pt idx="38">
                  <c:v>5676.62031657304</c:v>
                </c:pt>
                <c:pt idx="39">
                  <c:v>5676.62031657304</c:v>
                </c:pt>
                <c:pt idx="40">
                  <c:v>5224.84776542709</c:v>
                </c:pt>
                <c:pt idx="41">
                  <c:v>5224.84776542709</c:v>
                </c:pt>
                <c:pt idx="42">
                  <c:v>5224.84776542709</c:v>
                </c:pt>
                <c:pt idx="43">
                  <c:v>5224.84776542709</c:v>
                </c:pt>
                <c:pt idx="44">
                  <c:v>6992.65340034603</c:v>
                </c:pt>
                <c:pt idx="45">
                  <c:v>6992.65340034603</c:v>
                </c:pt>
                <c:pt idx="46">
                  <c:v>6992.65340034603</c:v>
                </c:pt>
                <c:pt idx="47">
                  <c:v>6992.65340034603</c:v>
                </c:pt>
                <c:pt idx="48">
                  <c:v>6874.79969135143</c:v>
                </c:pt>
                <c:pt idx="49">
                  <c:v>6874.79969135143</c:v>
                </c:pt>
                <c:pt idx="50">
                  <c:v>6874.79969135143</c:v>
                </c:pt>
                <c:pt idx="51">
                  <c:v>6874.79969135143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'TTL NORMAL'!$A$22:$B$22</c:f>
              <c:strCache>
                <c:ptCount val="1"/>
                <c:pt idx="0">
                  <c:v>B12-C 2667</c:v>
                </c:pt>
              </c:strCache>
            </c:strRef>
          </c:tx>
          <c:spPr>
            <a:solidFill>
              <a:srgbClr val="8c8c8c"/>
            </a:solidFill>
            <a:ln w="28440">
              <a:solidFill>
                <a:srgbClr val="8c8c8c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NORMAL'!$C$22:$BB$22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'TTL NORMAL'!$A$23:$B$23</c:f>
              <c:strCache>
                <c:ptCount val="1"/>
                <c:pt idx="0">
                  <c:v>B13-A 2667</c:v>
                </c:pt>
              </c:strCache>
            </c:strRef>
          </c:tx>
          <c:spPr>
            <a:solidFill>
              <a:srgbClr val="787878"/>
            </a:solidFill>
            <a:ln w="28440">
              <a:solidFill>
                <a:srgbClr val="787878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NORMAL'!$C$23:$BB$23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'TTL NORMAL'!$A$24:$B$24</c:f>
              <c:strCache>
                <c:ptCount val="1"/>
                <c:pt idx="0">
                  <c:v>B13-B 4838</c:v>
                </c:pt>
              </c:strCache>
            </c:strRef>
          </c:tx>
          <c:spPr>
            <a:solidFill>
              <a:srgbClr val="585858"/>
            </a:solidFill>
            <a:ln w="28440">
              <a:solidFill>
                <a:srgbClr val="585858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NORMAL'!$C$24:$BB$24</c:f>
              <c:numCache>
                <c:formatCode>General</c:formatCode>
                <c:ptCount val="52"/>
                <c:pt idx="0">
                  <c:v>3515.96898500544</c:v>
                </c:pt>
                <c:pt idx="1">
                  <c:v>3515.96898500544</c:v>
                </c:pt>
                <c:pt idx="2">
                  <c:v>3515.96898500544</c:v>
                </c:pt>
                <c:pt idx="3">
                  <c:v>3515.96898500544</c:v>
                </c:pt>
                <c:pt idx="4">
                  <c:v>4065.95296031356</c:v>
                </c:pt>
                <c:pt idx="5">
                  <c:v>4065.95296031356</c:v>
                </c:pt>
                <c:pt idx="6">
                  <c:v>4065.95296031356</c:v>
                </c:pt>
                <c:pt idx="7">
                  <c:v>4065.95296031356</c:v>
                </c:pt>
                <c:pt idx="8">
                  <c:v>5342.70147442168</c:v>
                </c:pt>
                <c:pt idx="9">
                  <c:v>5342.70147442168</c:v>
                </c:pt>
                <c:pt idx="10">
                  <c:v>5342.70147442168</c:v>
                </c:pt>
                <c:pt idx="11">
                  <c:v>5342.70147442168</c:v>
                </c:pt>
                <c:pt idx="12">
                  <c:v>5519.48203791358</c:v>
                </c:pt>
                <c:pt idx="13">
                  <c:v>5519.48203791358</c:v>
                </c:pt>
                <c:pt idx="14">
                  <c:v>5519.48203791358</c:v>
                </c:pt>
                <c:pt idx="15">
                  <c:v>5519.48203791358</c:v>
                </c:pt>
                <c:pt idx="16">
                  <c:v>5519.48203791358</c:v>
                </c:pt>
                <c:pt idx="17">
                  <c:v>3240.97699735139</c:v>
                </c:pt>
                <c:pt idx="18">
                  <c:v>3240.97699735139</c:v>
                </c:pt>
                <c:pt idx="19">
                  <c:v>3240.97699735139</c:v>
                </c:pt>
                <c:pt idx="20">
                  <c:v>3240.97699735139</c:v>
                </c:pt>
                <c:pt idx="21">
                  <c:v>5499.83975308114</c:v>
                </c:pt>
                <c:pt idx="22">
                  <c:v>5499.83975308114</c:v>
                </c:pt>
                <c:pt idx="23">
                  <c:v>5499.83975308114</c:v>
                </c:pt>
                <c:pt idx="24">
                  <c:v>5499.83975308114</c:v>
                </c:pt>
                <c:pt idx="25">
                  <c:v>5499.83975308114</c:v>
                </c:pt>
                <c:pt idx="26">
                  <c:v>3044.55414902706</c:v>
                </c:pt>
                <c:pt idx="27">
                  <c:v>3044.55414902706</c:v>
                </c:pt>
                <c:pt idx="28">
                  <c:v>3044.55414902706</c:v>
                </c:pt>
                <c:pt idx="29">
                  <c:v>3044.55414902706</c:v>
                </c:pt>
                <c:pt idx="30">
                  <c:v>3044.55414902706</c:v>
                </c:pt>
                <c:pt idx="31">
                  <c:v>2965.98500969733</c:v>
                </c:pt>
                <c:pt idx="32">
                  <c:v>2965.98500969733</c:v>
                </c:pt>
                <c:pt idx="33">
                  <c:v>2965.98500969733</c:v>
                </c:pt>
                <c:pt idx="34">
                  <c:v>2965.98500969733</c:v>
                </c:pt>
                <c:pt idx="35">
                  <c:v>5676.62031657304</c:v>
                </c:pt>
                <c:pt idx="36">
                  <c:v>5676.62031657304</c:v>
                </c:pt>
                <c:pt idx="37">
                  <c:v>5676.62031657304</c:v>
                </c:pt>
                <c:pt idx="38">
                  <c:v>5676.62031657304</c:v>
                </c:pt>
                <c:pt idx="39">
                  <c:v>5676.62031657304</c:v>
                </c:pt>
                <c:pt idx="40">
                  <c:v>5224.84776542709</c:v>
                </c:pt>
                <c:pt idx="41">
                  <c:v>5224.84776542709</c:v>
                </c:pt>
                <c:pt idx="42">
                  <c:v>5224.84776542709</c:v>
                </c:pt>
                <c:pt idx="43">
                  <c:v>5224.84776542709</c:v>
                </c:pt>
                <c:pt idx="44">
                  <c:v>6992.65340034603</c:v>
                </c:pt>
                <c:pt idx="45">
                  <c:v>6992.65340034603</c:v>
                </c:pt>
                <c:pt idx="46">
                  <c:v>6992.65340034603</c:v>
                </c:pt>
                <c:pt idx="47">
                  <c:v>6992.65340034603</c:v>
                </c:pt>
                <c:pt idx="48">
                  <c:v>6874.79969135143</c:v>
                </c:pt>
                <c:pt idx="49">
                  <c:v>6874.79969135143</c:v>
                </c:pt>
                <c:pt idx="50">
                  <c:v>6874.79969135143</c:v>
                </c:pt>
                <c:pt idx="51">
                  <c:v>6874.79969135143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'TTL NORMAL'!$A$25:$B$25</c:f>
              <c:strCache>
                <c:ptCount val="1"/>
                <c:pt idx="0">
                  <c:v>B13-C 2667</c:v>
                </c:pt>
              </c:strCache>
            </c:strRef>
          </c:tx>
          <c:spPr>
            <a:solidFill>
              <a:srgbClr val="484848"/>
            </a:solidFill>
            <a:ln w="28440">
              <a:solidFill>
                <a:srgbClr val="484848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NORMAL'!$C$25:$BB$25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'TTL NORMAL'!$A$26:$B$26</c:f>
              <c:strCache>
                <c:ptCount val="1"/>
                <c:pt idx="0">
                  <c:v>B14-A 2667</c:v>
                </c:pt>
              </c:strCache>
            </c:strRef>
          </c:tx>
          <c:spPr>
            <a:solidFill>
              <a:srgbClr val="dadada"/>
            </a:solidFill>
            <a:ln w="28440">
              <a:solidFill>
                <a:srgbClr val="dadada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NORMAL'!$C$26:$BB$26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'TTL NORMAL'!$A$27:$B$27</c:f>
              <c:strCache>
                <c:ptCount val="1"/>
                <c:pt idx="0">
                  <c:v>B14-B 4838</c:v>
                </c:pt>
              </c:strCache>
            </c:strRef>
          </c:tx>
          <c:spPr>
            <a:solidFill>
              <a:srgbClr val="b4b4b4"/>
            </a:solidFill>
            <a:ln w="28440">
              <a:solidFill>
                <a:srgbClr val="b4b4b4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NORMAL'!$C$27:$BB$27</c:f>
              <c:numCache>
                <c:formatCode>General</c:formatCode>
                <c:ptCount val="52"/>
                <c:pt idx="0">
                  <c:v>3515.96898500544</c:v>
                </c:pt>
                <c:pt idx="1">
                  <c:v>3515.96898500544</c:v>
                </c:pt>
                <c:pt idx="2">
                  <c:v>3515.96898500544</c:v>
                </c:pt>
                <c:pt idx="3">
                  <c:v>3515.96898500544</c:v>
                </c:pt>
                <c:pt idx="4">
                  <c:v>4065.95296031356</c:v>
                </c:pt>
                <c:pt idx="5">
                  <c:v>4065.95296031356</c:v>
                </c:pt>
                <c:pt idx="6">
                  <c:v>4065.95296031356</c:v>
                </c:pt>
                <c:pt idx="7">
                  <c:v>4065.95296031356</c:v>
                </c:pt>
                <c:pt idx="8">
                  <c:v>5342.70147442168</c:v>
                </c:pt>
                <c:pt idx="9">
                  <c:v>5342.70147442168</c:v>
                </c:pt>
                <c:pt idx="10">
                  <c:v>5342.70147442168</c:v>
                </c:pt>
                <c:pt idx="11">
                  <c:v>5342.70147442168</c:v>
                </c:pt>
                <c:pt idx="12">
                  <c:v>5519.48203791358</c:v>
                </c:pt>
                <c:pt idx="13">
                  <c:v>5519.48203791358</c:v>
                </c:pt>
                <c:pt idx="14">
                  <c:v>5519.48203791358</c:v>
                </c:pt>
                <c:pt idx="15">
                  <c:v>5519.48203791358</c:v>
                </c:pt>
                <c:pt idx="16">
                  <c:v>5519.48203791358</c:v>
                </c:pt>
                <c:pt idx="17">
                  <c:v>3240.97699735139</c:v>
                </c:pt>
                <c:pt idx="18">
                  <c:v>3240.97699735139</c:v>
                </c:pt>
                <c:pt idx="19">
                  <c:v>3240.97699735139</c:v>
                </c:pt>
                <c:pt idx="20">
                  <c:v>3240.97699735139</c:v>
                </c:pt>
                <c:pt idx="21">
                  <c:v>5499.83975308114</c:v>
                </c:pt>
                <c:pt idx="22">
                  <c:v>5499.83975308114</c:v>
                </c:pt>
                <c:pt idx="23">
                  <c:v>5499.83975308114</c:v>
                </c:pt>
                <c:pt idx="24">
                  <c:v>5499.83975308114</c:v>
                </c:pt>
                <c:pt idx="25">
                  <c:v>5499.83975308114</c:v>
                </c:pt>
                <c:pt idx="26">
                  <c:v>3044.55414902706</c:v>
                </c:pt>
                <c:pt idx="27">
                  <c:v>3044.55414902706</c:v>
                </c:pt>
                <c:pt idx="28">
                  <c:v>3044.55414902706</c:v>
                </c:pt>
                <c:pt idx="29">
                  <c:v>3044.55414902706</c:v>
                </c:pt>
                <c:pt idx="30">
                  <c:v>3044.55414902706</c:v>
                </c:pt>
                <c:pt idx="31">
                  <c:v>2965.98500969733</c:v>
                </c:pt>
                <c:pt idx="32">
                  <c:v>2965.98500969733</c:v>
                </c:pt>
                <c:pt idx="33">
                  <c:v>2965.98500969733</c:v>
                </c:pt>
                <c:pt idx="34">
                  <c:v>2965.98500969733</c:v>
                </c:pt>
                <c:pt idx="35">
                  <c:v>5676.62031657304</c:v>
                </c:pt>
                <c:pt idx="36">
                  <c:v>5676.62031657304</c:v>
                </c:pt>
                <c:pt idx="37">
                  <c:v>5676.62031657304</c:v>
                </c:pt>
                <c:pt idx="38">
                  <c:v>5676.62031657304</c:v>
                </c:pt>
                <c:pt idx="39">
                  <c:v>5676.62031657304</c:v>
                </c:pt>
                <c:pt idx="40">
                  <c:v>5224.84776542709</c:v>
                </c:pt>
                <c:pt idx="41">
                  <c:v>5224.84776542709</c:v>
                </c:pt>
                <c:pt idx="42">
                  <c:v>5224.84776542709</c:v>
                </c:pt>
                <c:pt idx="43">
                  <c:v>5224.84776542709</c:v>
                </c:pt>
                <c:pt idx="44">
                  <c:v>6992.65340034603</c:v>
                </c:pt>
                <c:pt idx="45">
                  <c:v>6992.65340034603</c:v>
                </c:pt>
                <c:pt idx="46">
                  <c:v>6992.65340034603</c:v>
                </c:pt>
                <c:pt idx="47">
                  <c:v>6992.65340034603</c:v>
                </c:pt>
                <c:pt idx="48">
                  <c:v>6874.79969135143</c:v>
                </c:pt>
                <c:pt idx="49">
                  <c:v>6874.79969135143</c:v>
                </c:pt>
                <c:pt idx="50">
                  <c:v>6874.79969135143</c:v>
                </c:pt>
                <c:pt idx="51">
                  <c:v>6874.79969135143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'TTL NORMAL'!$A$28:$B$28</c:f>
              <c:strCache>
                <c:ptCount val="1"/>
                <c:pt idx="0">
                  <c:v>B14-C 2667</c:v>
                </c:pt>
              </c:strCache>
            </c:strRef>
          </c:tx>
          <c:spPr>
            <a:solidFill>
              <a:srgbClr val="9d9d9d"/>
            </a:solidFill>
            <a:ln w="28440">
              <a:solidFill>
                <a:srgbClr val="9d9d9d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NORMAL'!$C$28:$BB$28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'TTL NORMAL'!$A$29:$B$29</c:f>
              <c:strCache>
                <c:ptCount val="1"/>
                <c:pt idx="0">
                  <c:v>B15-A 2667</c:v>
                </c:pt>
              </c:strCache>
            </c:strRef>
          </c:tx>
          <c:spPr>
            <a:solidFill>
              <a:srgbClr val="8b8b8b"/>
            </a:solidFill>
            <a:ln w="28440">
              <a:solidFill>
                <a:srgbClr val="8b8b8b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NORMAL'!$C$29:$BB$29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'TTL NORMAL'!$A$30:$B$30</c:f>
              <c:strCache>
                <c:ptCount val="1"/>
                <c:pt idx="0">
                  <c:v>B15-B 4838</c:v>
                </c:pt>
              </c:strCache>
            </c:strRef>
          </c:tx>
          <c:spPr>
            <a:solidFill>
              <a:srgbClr val="737373"/>
            </a:solidFill>
            <a:ln w="28440">
              <a:solidFill>
                <a:srgbClr val="737373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NORMAL'!$C$30:$BB$30</c:f>
              <c:numCache>
                <c:formatCode>General</c:formatCode>
                <c:ptCount val="52"/>
                <c:pt idx="0">
                  <c:v>3515.96898500544</c:v>
                </c:pt>
                <c:pt idx="1">
                  <c:v>3515.96898500544</c:v>
                </c:pt>
                <c:pt idx="2">
                  <c:v>3515.96898500544</c:v>
                </c:pt>
                <c:pt idx="3">
                  <c:v>3515.96898500544</c:v>
                </c:pt>
                <c:pt idx="4">
                  <c:v>4065.95296031356</c:v>
                </c:pt>
                <c:pt idx="5">
                  <c:v>4065.95296031356</c:v>
                </c:pt>
                <c:pt idx="6">
                  <c:v>4065.95296031356</c:v>
                </c:pt>
                <c:pt idx="7">
                  <c:v>4065.95296031356</c:v>
                </c:pt>
                <c:pt idx="8">
                  <c:v>5342.70147442168</c:v>
                </c:pt>
                <c:pt idx="9">
                  <c:v>5342.70147442168</c:v>
                </c:pt>
                <c:pt idx="10">
                  <c:v>5342.70147442168</c:v>
                </c:pt>
                <c:pt idx="11">
                  <c:v>5342.70147442168</c:v>
                </c:pt>
                <c:pt idx="12">
                  <c:v>5519.48203791358</c:v>
                </c:pt>
                <c:pt idx="13">
                  <c:v>5519.48203791358</c:v>
                </c:pt>
                <c:pt idx="14">
                  <c:v>5519.48203791358</c:v>
                </c:pt>
                <c:pt idx="15">
                  <c:v>5519.48203791358</c:v>
                </c:pt>
                <c:pt idx="16">
                  <c:v>5519.48203791358</c:v>
                </c:pt>
                <c:pt idx="17">
                  <c:v>3240.97699735139</c:v>
                </c:pt>
                <c:pt idx="18">
                  <c:v>3240.97699735139</c:v>
                </c:pt>
                <c:pt idx="19">
                  <c:v>3240.97699735139</c:v>
                </c:pt>
                <c:pt idx="20">
                  <c:v>3240.97699735139</c:v>
                </c:pt>
                <c:pt idx="21">
                  <c:v>5499.83975308114</c:v>
                </c:pt>
                <c:pt idx="22">
                  <c:v>5499.83975308114</c:v>
                </c:pt>
                <c:pt idx="23">
                  <c:v>5499.83975308114</c:v>
                </c:pt>
                <c:pt idx="24">
                  <c:v>5499.83975308114</c:v>
                </c:pt>
                <c:pt idx="25">
                  <c:v>5499.83975308114</c:v>
                </c:pt>
                <c:pt idx="26">
                  <c:v>3044.55414902706</c:v>
                </c:pt>
                <c:pt idx="27">
                  <c:v>3044.55414902706</c:v>
                </c:pt>
                <c:pt idx="28">
                  <c:v>3044.55414902706</c:v>
                </c:pt>
                <c:pt idx="29">
                  <c:v>3044.55414902706</c:v>
                </c:pt>
                <c:pt idx="30">
                  <c:v>3044.55414902706</c:v>
                </c:pt>
                <c:pt idx="31">
                  <c:v>2965.98500969733</c:v>
                </c:pt>
                <c:pt idx="32">
                  <c:v>2965.98500969733</c:v>
                </c:pt>
                <c:pt idx="33">
                  <c:v>2965.98500969733</c:v>
                </c:pt>
                <c:pt idx="34">
                  <c:v>2965.98500969733</c:v>
                </c:pt>
                <c:pt idx="35">
                  <c:v>5676.62031657304</c:v>
                </c:pt>
                <c:pt idx="36">
                  <c:v>5676.62031657304</c:v>
                </c:pt>
                <c:pt idx="37">
                  <c:v>5676.62031657304</c:v>
                </c:pt>
                <c:pt idx="38">
                  <c:v>5676.62031657304</c:v>
                </c:pt>
                <c:pt idx="39">
                  <c:v>5676.62031657304</c:v>
                </c:pt>
                <c:pt idx="40">
                  <c:v>5224.84776542709</c:v>
                </c:pt>
                <c:pt idx="41">
                  <c:v>5224.84776542709</c:v>
                </c:pt>
                <c:pt idx="42">
                  <c:v>5224.84776542709</c:v>
                </c:pt>
                <c:pt idx="43">
                  <c:v>5224.84776542709</c:v>
                </c:pt>
                <c:pt idx="44">
                  <c:v>6992.65340034603</c:v>
                </c:pt>
                <c:pt idx="45">
                  <c:v>6992.65340034603</c:v>
                </c:pt>
                <c:pt idx="46">
                  <c:v>6992.65340034603</c:v>
                </c:pt>
                <c:pt idx="47">
                  <c:v>6992.65340034603</c:v>
                </c:pt>
                <c:pt idx="48">
                  <c:v>6874.79969135143</c:v>
                </c:pt>
                <c:pt idx="49">
                  <c:v>6874.79969135143</c:v>
                </c:pt>
                <c:pt idx="50">
                  <c:v>6874.79969135143</c:v>
                </c:pt>
                <c:pt idx="51">
                  <c:v>6874.79969135143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'TTL NORMAL'!$A$31:$B$31</c:f>
              <c:strCache>
                <c:ptCount val="1"/>
                <c:pt idx="0">
                  <c:v>B15-C 2667</c:v>
                </c:pt>
              </c:strCache>
            </c:strRef>
          </c:tx>
          <c:spPr>
            <a:solidFill>
              <a:srgbClr val="686868"/>
            </a:solidFill>
            <a:ln w="28440">
              <a:solidFill>
                <a:srgbClr val="686868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NORMAL'!$C$31:$BB$31</c:f>
              <c:numCache>
                <c:formatCode>General</c:formatCode>
                <c:ptCount val="52"/>
                <c:pt idx="0">
                  <c:v>1937.95775827558</c:v>
                </c:pt>
                <c:pt idx="1">
                  <c:v>1937.95775827558</c:v>
                </c:pt>
                <c:pt idx="2">
                  <c:v>1937.95775827558</c:v>
                </c:pt>
                <c:pt idx="3">
                  <c:v>1937.95775827558</c:v>
                </c:pt>
                <c:pt idx="4">
                  <c:v>2241.10198862036</c:v>
                </c:pt>
                <c:pt idx="5">
                  <c:v>2241.10198862036</c:v>
                </c:pt>
                <c:pt idx="6">
                  <c:v>2241.10198862036</c:v>
                </c:pt>
                <c:pt idx="7">
                  <c:v>2241.10198862036</c:v>
                </c:pt>
                <c:pt idx="8">
                  <c:v>2944.82966620647</c:v>
                </c:pt>
                <c:pt idx="9">
                  <c:v>2944.82966620647</c:v>
                </c:pt>
                <c:pt idx="10">
                  <c:v>2944.82966620647</c:v>
                </c:pt>
                <c:pt idx="11">
                  <c:v>2944.82966620647</c:v>
                </c:pt>
                <c:pt idx="12">
                  <c:v>3042.268883103</c:v>
                </c:pt>
                <c:pt idx="13">
                  <c:v>3042.268883103</c:v>
                </c:pt>
                <c:pt idx="14">
                  <c:v>3042.268883103</c:v>
                </c:pt>
                <c:pt idx="15">
                  <c:v>3042.268883103</c:v>
                </c:pt>
                <c:pt idx="16">
                  <c:v>3042.268883103</c:v>
                </c:pt>
                <c:pt idx="17">
                  <c:v>1786.38564310319</c:v>
                </c:pt>
                <c:pt idx="18">
                  <c:v>1786.38564310319</c:v>
                </c:pt>
                <c:pt idx="19">
                  <c:v>1786.38564310319</c:v>
                </c:pt>
                <c:pt idx="20">
                  <c:v>1786.38564310319</c:v>
                </c:pt>
                <c:pt idx="21">
                  <c:v>3031.44230344783</c:v>
                </c:pt>
                <c:pt idx="22">
                  <c:v>3031.44230344783</c:v>
                </c:pt>
                <c:pt idx="23">
                  <c:v>3031.44230344783</c:v>
                </c:pt>
                <c:pt idx="24">
                  <c:v>3031.44230344783</c:v>
                </c:pt>
                <c:pt idx="25">
                  <c:v>3031.44230344783</c:v>
                </c:pt>
                <c:pt idx="26">
                  <c:v>1678.11984655148</c:v>
                </c:pt>
                <c:pt idx="27">
                  <c:v>1678.11984655148</c:v>
                </c:pt>
                <c:pt idx="28">
                  <c:v>1678.11984655148</c:v>
                </c:pt>
                <c:pt idx="29">
                  <c:v>1678.11984655148</c:v>
                </c:pt>
                <c:pt idx="30">
                  <c:v>1678.11984655148</c:v>
                </c:pt>
                <c:pt idx="31">
                  <c:v>1634.8135279308</c:v>
                </c:pt>
                <c:pt idx="32">
                  <c:v>1634.8135279308</c:v>
                </c:pt>
                <c:pt idx="33">
                  <c:v>1634.8135279308</c:v>
                </c:pt>
                <c:pt idx="34">
                  <c:v>1634.8135279308</c:v>
                </c:pt>
                <c:pt idx="35">
                  <c:v>3128.88152034437</c:v>
                </c:pt>
                <c:pt idx="36">
                  <c:v>3128.88152034437</c:v>
                </c:pt>
                <c:pt idx="37">
                  <c:v>3128.88152034437</c:v>
                </c:pt>
                <c:pt idx="38">
                  <c:v>3128.88152034437</c:v>
                </c:pt>
                <c:pt idx="39">
                  <c:v>3128.88152034437</c:v>
                </c:pt>
                <c:pt idx="40">
                  <c:v>2879.87018827544</c:v>
                </c:pt>
                <c:pt idx="41">
                  <c:v>2879.87018827544</c:v>
                </c:pt>
                <c:pt idx="42">
                  <c:v>2879.87018827544</c:v>
                </c:pt>
                <c:pt idx="43">
                  <c:v>2879.87018827544</c:v>
                </c:pt>
                <c:pt idx="44">
                  <c:v>3854.26235724082</c:v>
                </c:pt>
                <c:pt idx="45">
                  <c:v>3854.26235724082</c:v>
                </c:pt>
                <c:pt idx="46">
                  <c:v>3854.26235724082</c:v>
                </c:pt>
                <c:pt idx="47">
                  <c:v>3854.26235724082</c:v>
                </c:pt>
                <c:pt idx="48">
                  <c:v>3789.30287930979</c:v>
                </c:pt>
                <c:pt idx="49">
                  <c:v>3789.30287930979</c:v>
                </c:pt>
                <c:pt idx="50">
                  <c:v>3789.30287930979</c:v>
                </c:pt>
                <c:pt idx="51">
                  <c:v>3789.30287930979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'TTL NORMAL'!$A$32:$B$32</c:f>
              <c:strCache>
                <c:ptCount val="1"/>
                <c:pt idx="0">
                  <c:v>B21-A 905</c:v>
                </c:pt>
              </c:strCache>
            </c:strRef>
          </c:tx>
          <c:spPr>
            <a:solidFill>
              <a:srgbClr val="dfdfdf"/>
            </a:solidFill>
            <a:ln w="28440">
              <a:solidFill>
                <a:srgbClr val="dfdfdf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NORMAL'!$C$32:$BB$32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'TTL NORMAL'!$A$33:$B$33</c:f>
              <c:strCache>
                <c:ptCount val="1"/>
                <c:pt idx="0">
                  <c:v>B21-B 905</c:v>
                </c:pt>
              </c:strCache>
            </c:strRef>
          </c:tx>
          <c:spPr>
            <a:solidFill>
              <a:srgbClr val="c2c2c2"/>
            </a:solidFill>
            <a:ln w="28440">
              <a:solidFill>
                <a:srgbClr val="c2c2c2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NORMAL'!$C$33:$BB$33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'TTL NORMAL'!$A$34:$B$34</c:f>
              <c:strCache>
                <c:ptCount val="1"/>
                <c:pt idx="0">
                  <c:v>B22-A 905</c:v>
                </c:pt>
              </c:strCache>
            </c:strRef>
          </c:tx>
          <c:spPr>
            <a:solidFill>
              <a:srgbClr val="b1b1b1"/>
            </a:solidFill>
            <a:ln w="28440">
              <a:solidFill>
                <a:srgbClr val="b1b1b1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NORMAL'!$C$34:$BB$34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'TTL NORMAL'!$A$35:$B$35</c:f>
              <c:strCache>
                <c:ptCount val="1"/>
                <c:pt idx="0">
                  <c:v>B22-B 905</c:v>
                </c:pt>
              </c:strCache>
            </c:strRef>
          </c:tx>
          <c:spPr>
            <a:solidFill>
              <a:srgbClr val="a5a5a5"/>
            </a:solidFill>
            <a:ln w="28440">
              <a:solidFill>
                <a:srgbClr val="a5a5a5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NORMAL'!$C$35:$BB$35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'TTL NORMAL'!$A$36:$B$36</c:f>
              <c:strCache>
                <c:ptCount val="1"/>
                <c:pt idx="0">
                  <c:v>B23-A 905</c:v>
                </c:pt>
              </c:strCache>
            </c:strRef>
          </c:tx>
          <c:spPr>
            <a:solidFill>
              <a:srgbClr val="959595"/>
            </a:solidFill>
            <a:ln w="28440">
              <a:solidFill>
                <a:srgbClr val="959595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NORMAL'!$C$36:$BB$36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'TTL NORMAL'!$A$37:$B$37</c:f>
              <c:strCache>
                <c:ptCount val="1"/>
                <c:pt idx="0">
                  <c:v>B23-B 905</c:v>
                </c:pt>
              </c:strCache>
            </c:strRef>
          </c:tx>
          <c:spPr>
            <a:solidFill>
              <a:srgbClr val="8f8f8f"/>
            </a:solidFill>
            <a:ln w="28440">
              <a:solidFill>
                <a:srgbClr val="8f8f8f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NORMAL'!$C$37:$BB$37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'TTL NORMAL'!$A$38:$B$38</c:f>
              <c:strCache>
                <c:ptCount val="1"/>
                <c:pt idx="0">
                  <c:v>B24-A 905</c:v>
                </c:pt>
              </c:strCache>
            </c:strRef>
          </c:tx>
          <c:spPr>
            <a:solidFill>
              <a:srgbClr val="e4e4e4"/>
            </a:solidFill>
            <a:ln w="28440">
              <a:solidFill>
                <a:srgbClr val="e4e4e4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NORMAL'!$C$38:$BB$38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'TTL NORMAL'!$A$39:$B$39</c:f>
              <c:strCache>
                <c:ptCount val="1"/>
                <c:pt idx="0">
                  <c:v>B24-B 905</c:v>
                </c:pt>
              </c:strCache>
            </c:strRef>
          </c:tx>
          <c:spPr>
            <a:solidFill>
              <a:srgbClr val="cfcfcf"/>
            </a:solidFill>
            <a:ln w="28440">
              <a:solidFill>
                <a:srgbClr val="cfcfcf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NORMAL'!$C$39:$BB$39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'TTL NORMAL'!$A$40:$B$40</c:f>
              <c:strCache>
                <c:ptCount val="1"/>
                <c:pt idx="0">
                  <c:v>B25-A 905</c:v>
                </c:pt>
              </c:strCache>
            </c:strRef>
          </c:tx>
          <c:spPr>
            <a:solidFill>
              <a:srgbClr val="c2c2c2"/>
            </a:solidFill>
            <a:ln w="28440">
              <a:solidFill>
                <a:srgbClr val="c2c2c2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NORMAL'!$C$40:$BB$40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'TTL NORMAL'!$A$41:$B$41</c:f>
              <c:strCache>
                <c:ptCount val="1"/>
                <c:pt idx="0">
                  <c:v>B25-B 905</c:v>
                </c:pt>
              </c:strCache>
            </c:strRef>
          </c:tx>
          <c:spPr>
            <a:solidFill>
              <a:srgbClr val="b9b9b9"/>
            </a:solidFill>
            <a:ln w="28440">
              <a:solidFill>
                <a:srgbClr val="b9b9b9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NORMAL'!$C$41:$BB$41</c:f>
              <c:numCache>
                <c:formatCode>General</c:formatCode>
                <c:ptCount val="52"/>
                <c:pt idx="0">
                  <c:v>657.645187077614</c:v>
                </c:pt>
                <c:pt idx="1">
                  <c:v>657.645187077614</c:v>
                </c:pt>
                <c:pt idx="2">
                  <c:v>657.645187077614</c:v>
                </c:pt>
                <c:pt idx="3">
                  <c:v>657.645187077614</c:v>
                </c:pt>
                <c:pt idx="4">
                  <c:v>760.517059916571</c:v>
                </c:pt>
                <c:pt idx="5">
                  <c:v>760.517059916571</c:v>
                </c:pt>
                <c:pt idx="6">
                  <c:v>760.517059916571</c:v>
                </c:pt>
                <c:pt idx="7">
                  <c:v>760.517059916571</c:v>
                </c:pt>
                <c:pt idx="8">
                  <c:v>999.32676472129</c:v>
                </c:pt>
                <c:pt idx="9">
                  <c:v>999.32676472129</c:v>
                </c:pt>
                <c:pt idx="10">
                  <c:v>999.32676472129</c:v>
                </c:pt>
                <c:pt idx="11">
                  <c:v>999.32676472129</c:v>
                </c:pt>
                <c:pt idx="12">
                  <c:v>1032.3927238481</c:v>
                </c:pt>
                <c:pt idx="13">
                  <c:v>1032.3927238481</c:v>
                </c:pt>
                <c:pt idx="14">
                  <c:v>1032.3927238481</c:v>
                </c:pt>
                <c:pt idx="15">
                  <c:v>1032.3927238481</c:v>
                </c:pt>
                <c:pt idx="16">
                  <c:v>1032.3927238481</c:v>
                </c:pt>
                <c:pt idx="17">
                  <c:v>606.209250658136</c:v>
                </c:pt>
                <c:pt idx="18">
                  <c:v>606.209250658136</c:v>
                </c:pt>
                <c:pt idx="19">
                  <c:v>606.209250658136</c:v>
                </c:pt>
                <c:pt idx="20">
                  <c:v>606.209250658136</c:v>
                </c:pt>
                <c:pt idx="21">
                  <c:v>1028.71872838956</c:v>
                </c:pt>
                <c:pt idx="22">
                  <c:v>1028.71872838956</c:v>
                </c:pt>
                <c:pt idx="23">
                  <c:v>1028.71872838956</c:v>
                </c:pt>
                <c:pt idx="24">
                  <c:v>1028.71872838956</c:v>
                </c:pt>
                <c:pt idx="25">
                  <c:v>1028.71872838956</c:v>
                </c:pt>
                <c:pt idx="26">
                  <c:v>569.469296072794</c:v>
                </c:pt>
                <c:pt idx="27">
                  <c:v>569.469296072794</c:v>
                </c:pt>
                <c:pt idx="28">
                  <c:v>569.469296072794</c:v>
                </c:pt>
                <c:pt idx="29">
                  <c:v>569.469296072794</c:v>
                </c:pt>
                <c:pt idx="30">
                  <c:v>569.469296072794</c:v>
                </c:pt>
                <c:pt idx="31">
                  <c:v>554.773314238658</c:v>
                </c:pt>
                <c:pt idx="32">
                  <c:v>554.773314238658</c:v>
                </c:pt>
                <c:pt idx="33">
                  <c:v>554.773314238658</c:v>
                </c:pt>
                <c:pt idx="34">
                  <c:v>554.773314238658</c:v>
                </c:pt>
                <c:pt idx="35">
                  <c:v>1061.78468751637</c:v>
                </c:pt>
                <c:pt idx="36">
                  <c:v>1061.78468751637</c:v>
                </c:pt>
                <c:pt idx="37">
                  <c:v>1061.78468751637</c:v>
                </c:pt>
                <c:pt idx="38">
                  <c:v>1061.78468751637</c:v>
                </c:pt>
                <c:pt idx="39">
                  <c:v>1061.78468751637</c:v>
                </c:pt>
                <c:pt idx="40">
                  <c:v>977.282791970085</c:v>
                </c:pt>
                <c:pt idx="41">
                  <c:v>977.282791970085</c:v>
                </c:pt>
                <c:pt idx="42">
                  <c:v>977.282791970085</c:v>
                </c:pt>
                <c:pt idx="43">
                  <c:v>977.282791970085</c:v>
                </c:pt>
                <c:pt idx="44">
                  <c:v>1307.94238323816</c:v>
                </c:pt>
                <c:pt idx="45">
                  <c:v>1307.94238323816</c:v>
                </c:pt>
                <c:pt idx="46">
                  <c:v>1307.94238323816</c:v>
                </c:pt>
                <c:pt idx="47">
                  <c:v>1307.94238323816</c:v>
                </c:pt>
                <c:pt idx="48">
                  <c:v>1285.89841048695</c:v>
                </c:pt>
                <c:pt idx="49">
                  <c:v>1285.89841048695</c:v>
                </c:pt>
                <c:pt idx="50">
                  <c:v>1285.89841048695</c:v>
                </c:pt>
                <c:pt idx="51">
                  <c:v>1285.89841048695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'TTL NORMAL'!$A$42:$B$42</c:f>
              <c:strCache>
                <c:ptCount val="1"/>
                <c:pt idx="0">
                  <c:v>M1-A 5839</c:v>
                </c:pt>
              </c:strCache>
            </c:strRef>
          </c:tx>
          <c:spPr>
            <a:solidFill>
              <a:srgbClr val="b0b0b0"/>
            </a:solidFill>
            <a:ln w="28440">
              <a:solidFill>
                <a:srgbClr val="b0b0b0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NORMAL'!$C$42:$BB$42</c:f>
              <c:numCache>
                <c:formatCode>General</c:formatCode>
                <c:ptCount val="52"/>
                <c:pt idx="0">
                  <c:v>4242.72012282211</c:v>
                </c:pt>
                <c:pt idx="1">
                  <c:v>4242.72012282211</c:v>
                </c:pt>
                <c:pt idx="2">
                  <c:v>4242.72012282211</c:v>
                </c:pt>
                <c:pt idx="3">
                  <c:v>4242.72012282211</c:v>
                </c:pt>
                <c:pt idx="4">
                  <c:v>4906.38584035854</c:v>
                </c:pt>
                <c:pt idx="5">
                  <c:v>4906.38584035854</c:v>
                </c:pt>
                <c:pt idx="6">
                  <c:v>4906.38584035854</c:v>
                </c:pt>
                <c:pt idx="7">
                  <c:v>4906.38584035854</c:v>
                </c:pt>
                <c:pt idx="8">
                  <c:v>6447.03839892523</c:v>
                </c:pt>
                <c:pt idx="9">
                  <c:v>6447.03839892523</c:v>
                </c:pt>
                <c:pt idx="10">
                  <c:v>6447.03839892523</c:v>
                </c:pt>
                <c:pt idx="11">
                  <c:v>6447.03839892523</c:v>
                </c:pt>
                <c:pt idx="12">
                  <c:v>6660.35952241908</c:v>
                </c:pt>
                <c:pt idx="13">
                  <c:v>6660.35952241908</c:v>
                </c:pt>
                <c:pt idx="14">
                  <c:v>6660.35952241908</c:v>
                </c:pt>
                <c:pt idx="15">
                  <c:v>6660.35952241908</c:v>
                </c:pt>
                <c:pt idx="16">
                  <c:v>6660.35952241908</c:v>
                </c:pt>
                <c:pt idx="17">
                  <c:v>3910.88726405391</c:v>
                </c:pt>
                <c:pt idx="18">
                  <c:v>3910.88726405391</c:v>
                </c:pt>
                <c:pt idx="19">
                  <c:v>3910.88726405391</c:v>
                </c:pt>
                <c:pt idx="20">
                  <c:v>3910.88726405391</c:v>
                </c:pt>
                <c:pt idx="21">
                  <c:v>6636.6571753642</c:v>
                </c:pt>
                <c:pt idx="22">
                  <c:v>6636.6571753642</c:v>
                </c:pt>
                <c:pt idx="23">
                  <c:v>6636.6571753642</c:v>
                </c:pt>
                <c:pt idx="24">
                  <c:v>6636.6571753642</c:v>
                </c:pt>
                <c:pt idx="25">
                  <c:v>6636.6571753642</c:v>
                </c:pt>
                <c:pt idx="26">
                  <c:v>3673.86379350518</c:v>
                </c:pt>
                <c:pt idx="27">
                  <c:v>3673.86379350518</c:v>
                </c:pt>
                <c:pt idx="28">
                  <c:v>3673.86379350518</c:v>
                </c:pt>
                <c:pt idx="29">
                  <c:v>3673.86379350518</c:v>
                </c:pt>
                <c:pt idx="30">
                  <c:v>3673.86379350518</c:v>
                </c:pt>
                <c:pt idx="31">
                  <c:v>3579.0544052857</c:v>
                </c:pt>
                <c:pt idx="32">
                  <c:v>3579.0544052857</c:v>
                </c:pt>
                <c:pt idx="33">
                  <c:v>3579.0544052857</c:v>
                </c:pt>
                <c:pt idx="34">
                  <c:v>3579.0544052857</c:v>
                </c:pt>
                <c:pt idx="35">
                  <c:v>6849.97829885805</c:v>
                </c:pt>
                <c:pt idx="36">
                  <c:v>6849.97829885805</c:v>
                </c:pt>
                <c:pt idx="37">
                  <c:v>6849.97829885805</c:v>
                </c:pt>
                <c:pt idx="38">
                  <c:v>6849.97829885805</c:v>
                </c:pt>
                <c:pt idx="39">
                  <c:v>6849.97829885805</c:v>
                </c:pt>
                <c:pt idx="40">
                  <c:v>6304.82431659599</c:v>
                </c:pt>
                <c:pt idx="41">
                  <c:v>6304.82431659599</c:v>
                </c:pt>
                <c:pt idx="42">
                  <c:v>6304.82431659599</c:v>
                </c:pt>
                <c:pt idx="43">
                  <c:v>6304.82431659599</c:v>
                </c:pt>
                <c:pt idx="44">
                  <c:v>8438.03555153449</c:v>
                </c:pt>
                <c:pt idx="45">
                  <c:v>8438.03555153449</c:v>
                </c:pt>
                <c:pt idx="46">
                  <c:v>8438.03555153449</c:v>
                </c:pt>
                <c:pt idx="47">
                  <c:v>8438.03555153449</c:v>
                </c:pt>
                <c:pt idx="48">
                  <c:v>8295.82146920525</c:v>
                </c:pt>
                <c:pt idx="49">
                  <c:v>8295.82146920525</c:v>
                </c:pt>
                <c:pt idx="50">
                  <c:v>8295.82146920525</c:v>
                </c:pt>
                <c:pt idx="51">
                  <c:v>8295.82146920525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'TTL NORMAL'!$A$43:$B$43</c:f>
              <c:strCache>
                <c:ptCount val="1"/>
                <c:pt idx="0">
                  <c:v>M2-A 5839</c:v>
                </c:pt>
              </c:strCache>
            </c:strRef>
          </c:tx>
          <c:spPr>
            <a:solidFill>
              <a:srgbClr val="acacac"/>
            </a:solidFill>
            <a:ln w="28440">
              <a:solidFill>
                <a:srgbClr val="acacac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NORMAL'!$C$43:$BB$43</c:f>
              <c:numCache>
                <c:formatCode>General</c:formatCode>
                <c:ptCount val="52"/>
                <c:pt idx="0">
                  <c:v>4242.72012282211</c:v>
                </c:pt>
                <c:pt idx="1">
                  <c:v>4242.72012282211</c:v>
                </c:pt>
                <c:pt idx="2">
                  <c:v>4242.72012282211</c:v>
                </c:pt>
                <c:pt idx="3">
                  <c:v>4242.72012282211</c:v>
                </c:pt>
                <c:pt idx="4">
                  <c:v>4906.38584035854</c:v>
                </c:pt>
                <c:pt idx="5">
                  <c:v>4906.38584035854</c:v>
                </c:pt>
                <c:pt idx="6">
                  <c:v>4906.38584035854</c:v>
                </c:pt>
                <c:pt idx="7">
                  <c:v>4906.38584035854</c:v>
                </c:pt>
                <c:pt idx="8">
                  <c:v>6447.03839892523</c:v>
                </c:pt>
                <c:pt idx="9">
                  <c:v>6447.03839892523</c:v>
                </c:pt>
                <c:pt idx="10">
                  <c:v>6447.03839892523</c:v>
                </c:pt>
                <c:pt idx="11">
                  <c:v>6447.03839892523</c:v>
                </c:pt>
                <c:pt idx="12">
                  <c:v>6660.35952241908</c:v>
                </c:pt>
                <c:pt idx="13">
                  <c:v>6660.35952241908</c:v>
                </c:pt>
                <c:pt idx="14">
                  <c:v>6660.35952241908</c:v>
                </c:pt>
                <c:pt idx="15">
                  <c:v>6660.35952241908</c:v>
                </c:pt>
                <c:pt idx="16">
                  <c:v>6660.35952241908</c:v>
                </c:pt>
                <c:pt idx="17">
                  <c:v>3910.88726405391</c:v>
                </c:pt>
                <c:pt idx="18">
                  <c:v>3910.88726405391</c:v>
                </c:pt>
                <c:pt idx="19">
                  <c:v>3910.88726405391</c:v>
                </c:pt>
                <c:pt idx="20">
                  <c:v>3910.88726405391</c:v>
                </c:pt>
                <c:pt idx="21">
                  <c:v>6636.6571753642</c:v>
                </c:pt>
                <c:pt idx="22">
                  <c:v>6636.6571753642</c:v>
                </c:pt>
                <c:pt idx="23">
                  <c:v>6636.6571753642</c:v>
                </c:pt>
                <c:pt idx="24">
                  <c:v>6636.6571753642</c:v>
                </c:pt>
                <c:pt idx="25">
                  <c:v>6636.6571753642</c:v>
                </c:pt>
                <c:pt idx="26">
                  <c:v>3673.86379350518</c:v>
                </c:pt>
                <c:pt idx="27">
                  <c:v>3673.86379350518</c:v>
                </c:pt>
                <c:pt idx="28">
                  <c:v>3673.86379350518</c:v>
                </c:pt>
                <c:pt idx="29">
                  <c:v>3673.86379350518</c:v>
                </c:pt>
                <c:pt idx="30">
                  <c:v>3673.86379350518</c:v>
                </c:pt>
                <c:pt idx="31">
                  <c:v>3579.0544052857</c:v>
                </c:pt>
                <c:pt idx="32">
                  <c:v>3579.0544052857</c:v>
                </c:pt>
                <c:pt idx="33">
                  <c:v>3579.0544052857</c:v>
                </c:pt>
                <c:pt idx="34">
                  <c:v>3579.0544052857</c:v>
                </c:pt>
                <c:pt idx="35">
                  <c:v>6849.97829885805</c:v>
                </c:pt>
                <c:pt idx="36">
                  <c:v>6849.97829885805</c:v>
                </c:pt>
                <c:pt idx="37">
                  <c:v>6849.97829885805</c:v>
                </c:pt>
                <c:pt idx="38">
                  <c:v>6849.97829885805</c:v>
                </c:pt>
                <c:pt idx="39">
                  <c:v>6849.97829885805</c:v>
                </c:pt>
                <c:pt idx="40">
                  <c:v>6304.82431659599</c:v>
                </c:pt>
                <c:pt idx="41">
                  <c:v>6304.82431659599</c:v>
                </c:pt>
                <c:pt idx="42">
                  <c:v>6304.82431659599</c:v>
                </c:pt>
                <c:pt idx="43">
                  <c:v>6304.82431659599</c:v>
                </c:pt>
                <c:pt idx="44">
                  <c:v>8438.03555153449</c:v>
                </c:pt>
                <c:pt idx="45">
                  <c:v>8438.03555153449</c:v>
                </c:pt>
                <c:pt idx="46">
                  <c:v>8438.03555153449</c:v>
                </c:pt>
                <c:pt idx="47">
                  <c:v>8438.03555153449</c:v>
                </c:pt>
                <c:pt idx="48">
                  <c:v>8295.82146920525</c:v>
                </c:pt>
                <c:pt idx="49">
                  <c:v>8295.82146920525</c:v>
                </c:pt>
                <c:pt idx="50">
                  <c:v>8295.82146920525</c:v>
                </c:pt>
                <c:pt idx="51">
                  <c:v>8295.82146920525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'TTL NORMAL'!$A$44:$B$44</c:f>
              <c:strCache>
                <c:ptCount val="1"/>
                <c:pt idx="0">
                  <c:v>M3-A 5839</c:v>
                </c:pt>
              </c:strCache>
            </c:strRef>
          </c:tx>
          <c:spPr>
            <a:solidFill>
              <a:srgbClr val="eaeaea"/>
            </a:solidFill>
            <a:ln w="28440">
              <a:solidFill>
                <a:srgbClr val="eaeaea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NORMAL'!$C$44:$BB$44</c:f>
              <c:numCache>
                <c:formatCode>General</c:formatCode>
                <c:ptCount val="52"/>
                <c:pt idx="0">
                  <c:v>4242.72012282211</c:v>
                </c:pt>
                <c:pt idx="1">
                  <c:v>4242.72012282211</c:v>
                </c:pt>
                <c:pt idx="2">
                  <c:v>4242.72012282211</c:v>
                </c:pt>
                <c:pt idx="3">
                  <c:v>4242.72012282211</c:v>
                </c:pt>
                <c:pt idx="4">
                  <c:v>4906.38584035854</c:v>
                </c:pt>
                <c:pt idx="5">
                  <c:v>4906.38584035854</c:v>
                </c:pt>
                <c:pt idx="6">
                  <c:v>4906.38584035854</c:v>
                </c:pt>
                <c:pt idx="7">
                  <c:v>4906.38584035854</c:v>
                </c:pt>
                <c:pt idx="8">
                  <c:v>6447.03839892523</c:v>
                </c:pt>
                <c:pt idx="9">
                  <c:v>6447.03839892523</c:v>
                </c:pt>
                <c:pt idx="10">
                  <c:v>6447.03839892523</c:v>
                </c:pt>
                <c:pt idx="11">
                  <c:v>6447.03839892523</c:v>
                </c:pt>
                <c:pt idx="12">
                  <c:v>6660.35952241908</c:v>
                </c:pt>
                <c:pt idx="13">
                  <c:v>6660.35952241908</c:v>
                </c:pt>
                <c:pt idx="14">
                  <c:v>6660.35952241908</c:v>
                </c:pt>
                <c:pt idx="15">
                  <c:v>6660.35952241908</c:v>
                </c:pt>
                <c:pt idx="16">
                  <c:v>6660.35952241908</c:v>
                </c:pt>
                <c:pt idx="17">
                  <c:v>3910.88726405391</c:v>
                </c:pt>
                <c:pt idx="18">
                  <c:v>3910.88726405391</c:v>
                </c:pt>
                <c:pt idx="19">
                  <c:v>3910.88726405391</c:v>
                </c:pt>
                <c:pt idx="20">
                  <c:v>3910.88726405391</c:v>
                </c:pt>
                <c:pt idx="21">
                  <c:v>6636.6571753642</c:v>
                </c:pt>
                <c:pt idx="22">
                  <c:v>6636.6571753642</c:v>
                </c:pt>
                <c:pt idx="23">
                  <c:v>6636.6571753642</c:v>
                </c:pt>
                <c:pt idx="24">
                  <c:v>6636.6571753642</c:v>
                </c:pt>
                <c:pt idx="25">
                  <c:v>6636.6571753642</c:v>
                </c:pt>
                <c:pt idx="26">
                  <c:v>3673.86379350518</c:v>
                </c:pt>
                <c:pt idx="27">
                  <c:v>3673.86379350518</c:v>
                </c:pt>
                <c:pt idx="28">
                  <c:v>3673.86379350518</c:v>
                </c:pt>
                <c:pt idx="29">
                  <c:v>3673.86379350518</c:v>
                </c:pt>
                <c:pt idx="30">
                  <c:v>3673.86379350518</c:v>
                </c:pt>
                <c:pt idx="31">
                  <c:v>3579.0544052857</c:v>
                </c:pt>
                <c:pt idx="32">
                  <c:v>3579.0544052857</c:v>
                </c:pt>
                <c:pt idx="33">
                  <c:v>3579.0544052857</c:v>
                </c:pt>
                <c:pt idx="34">
                  <c:v>3579.0544052857</c:v>
                </c:pt>
                <c:pt idx="35">
                  <c:v>6849.97829885805</c:v>
                </c:pt>
                <c:pt idx="36">
                  <c:v>6849.97829885805</c:v>
                </c:pt>
                <c:pt idx="37">
                  <c:v>6849.97829885805</c:v>
                </c:pt>
                <c:pt idx="38">
                  <c:v>6849.97829885805</c:v>
                </c:pt>
                <c:pt idx="39">
                  <c:v>6849.97829885805</c:v>
                </c:pt>
                <c:pt idx="40">
                  <c:v>6304.82431659599</c:v>
                </c:pt>
                <c:pt idx="41">
                  <c:v>6304.82431659599</c:v>
                </c:pt>
                <c:pt idx="42">
                  <c:v>6304.82431659599</c:v>
                </c:pt>
                <c:pt idx="43">
                  <c:v>6304.82431659599</c:v>
                </c:pt>
                <c:pt idx="44">
                  <c:v>8438.03555153449</c:v>
                </c:pt>
                <c:pt idx="45">
                  <c:v>8438.03555153449</c:v>
                </c:pt>
                <c:pt idx="46">
                  <c:v>8438.03555153449</c:v>
                </c:pt>
                <c:pt idx="47">
                  <c:v>8438.03555153449</c:v>
                </c:pt>
                <c:pt idx="48">
                  <c:v>8295.82146920525</c:v>
                </c:pt>
                <c:pt idx="49">
                  <c:v>8295.82146920525</c:v>
                </c:pt>
                <c:pt idx="50">
                  <c:v>8295.82146920525</c:v>
                </c:pt>
                <c:pt idx="51">
                  <c:v>8295.82146920525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'TTL NORMAL'!$A$45:$B$45</c:f>
              <c:strCache>
                <c:ptCount val="1"/>
                <c:pt idx="0">
                  <c:v>M4-A 5839</c:v>
                </c:pt>
              </c:strCache>
            </c:strRef>
          </c:tx>
          <c:spPr>
            <a:solidFill>
              <a:srgbClr val="dbdbdb"/>
            </a:solidFill>
            <a:ln w="28440">
              <a:solidFill>
                <a:srgbClr val="dbdbdb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NORMAL'!$C$45:$BB$45</c:f>
              <c:numCache>
                <c:formatCode>General</c:formatCode>
                <c:ptCount val="52"/>
                <c:pt idx="0">
                  <c:v>4242.72012282211</c:v>
                </c:pt>
                <c:pt idx="1">
                  <c:v>4242.72012282211</c:v>
                </c:pt>
                <c:pt idx="2">
                  <c:v>4242.72012282211</c:v>
                </c:pt>
                <c:pt idx="3">
                  <c:v>4242.72012282211</c:v>
                </c:pt>
                <c:pt idx="4">
                  <c:v>4906.38584035854</c:v>
                </c:pt>
                <c:pt idx="5">
                  <c:v>4906.38584035854</c:v>
                </c:pt>
                <c:pt idx="6">
                  <c:v>4906.38584035854</c:v>
                </c:pt>
                <c:pt idx="7">
                  <c:v>4906.38584035854</c:v>
                </c:pt>
                <c:pt idx="8">
                  <c:v>6447.03839892523</c:v>
                </c:pt>
                <c:pt idx="9">
                  <c:v>6447.03839892523</c:v>
                </c:pt>
                <c:pt idx="10">
                  <c:v>6447.03839892523</c:v>
                </c:pt>
                <c:pt idx="11">
                  <c:v>6447.03839892523</c:v>
                </c:pt>
                <c:pt idx="12">
                  <c:v>6660.35952241908</c:v>
                </c:pt>
                <c:pt idx="13">
                  <c:v>6660.35952241908</c:v>
                </c:pt>
                <c:pt idx="14">
                  <c:v>6660.35952241908</c:v>
                </c:pt>
                <c:pt idx="15">
                  <c:v>6660.35952241908</c:v>
                </c:pt>
                <c:pt idx="16">
                  <c:v>6660.35952241908</c:v>
                </c:pt>
                <c:pt idx="17">
                  <c:v>3910.88726405391</c:v>
                </c:pt>
                <c:pt idx="18">
                  <c:v>3910.88726405391</c:v>
                </c:pt>
                <c:pt idx="19">
                  <c:v>3910.88726405391</c:v>
                </c:pt>
                <c:pt idx="20">
                  <c:v>3910.88726405391</c:v>
                </c:pt>
                <c:pt idx="21">
                  <c:v>6636.6571753642</c:v>
                </c:pt>
                <c:pt idx="22">
                  <c:v>6636.6571753642</c:v>
                </c:pt>
                <c:pt idx="23">
                  <c:v>6636.6571753642</c:v>
                </c:pt>
                <c:pt idx="24">
                  <c:v>6636.6571753642</c:v>
                </c:pt>
                <c:pt idx="25">
                  <c:v>6636.6571753642</c:v>
                </c:pt>
                <c:pt idx="26">
                  <c:v>3673.86379350518</c:v>
                </c:pt>
                <c:pt idx="27">
                  <c:v>3673.86379350518</c:v>
                </c:pt>
                <c:pt idx="28">
                  <c:v>3673.86379350518</c:v>
                </c:pt>
                <c:pt idx="29">
                  <c:v>3673.86379350518</c:v>
                </c:pt>
                <c:pt idx="30">
                  <c:v>3673.86379350518</c:v>
                </c:pt>
                <c:pt idx="31">
                  <c:v>3579.0544052857</c:v>
                </c:pt>
                <c:pt idx="32">
                  <c:v>3579.0544052857</c:v>
                </c:pt>
                <c:pt idx="33">
                  <c:v>3579.0544052857</c:v>
                </c:pt>
                <c:pt idx="34">
                  <c:v>3579.0544052857</c:v>
                </c:pt>
                <c:pt idx="35">
                  <c:v>6849.97829885805</c:v>
                </c:pt>
                <c:pt idx="36">
                  <c:v>6849.97829885805</c:v>
                </c:pt>
                <c:pt idx="37">
                  <c:v>6849.97829885805</c:v>
                </c:pt>
                <c:pt idx="38">
                  <c:v>6849.97829885805</c:v>
                </c:pt>
                <c:pt idx="39">
                  <c:v>6849.97829885805</c:v>
                </c:pt>
                <c:pt idx="40">
                  <c:v>6304.82431659599</c:v>
                </c:pt>
                <c:pt idx="41">
                  <c:v>6304.82431659599</c:v>
                </c:pt>
                <c:pt idx="42">
                  <c:v>6304.82431659599</c:v>
                </c:pt>
                <c:pt idx="43">
                  <c:v>6304.82431659599</c:v>
                </c:pt>
                <c:pt idx="44">
                  <c:v>8438.03555153449</c:v>
                </c:pt>
                <c:pt idx="45">
                  <c:v>8438.03555153449</c:v>
                </c:pt>
                <c:pt idx="46">
                  <c:v>8438.03555153449</c:v>
                </c:pt>
                <c:pt idx="47">
                  <c:v>8438.03555153449</c:v>
                </c:pt>
                <c:pt idx="48">
                  <c:v>8295.82146920525</c:v>
                </c:pt>
                <c:pt idx="49">
                  <c:v>8295.82146920525</c:v>
                </c:pt>
                <c:pt idx="50">
                  <c:v>8295.82146920525</c:v>
                </c:pt>
                <c:pt idx="51">
                  <c:v>8295.82146920525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'TTL NORMAL'!$A$46:$B$46</c:f>
              <c:strCache>
                <c:ptCount val="1"/>
                <c:pt idx="0">
                  <c:v>M5-A 5839</c:v>
                </c:pt>
              </c:strCache>
            </c:strRef>
          </c:tx>
          <c:spPr>
            <a:solidFill>
              <a:srgbClr val="d2d2d2"/>
            </a:solidFill>
            <a:ln w="28440">
              <a:solidFill>
                <a:srgbClr val="d2d2d2"/>
              </a:solidFill>
              <a:round/>
            </a:ln>
          </c:spPr>
          <c:marker>
            <c:symbol val="none"/>
          </c:marker>
          <c:dLbls>
            <c:numFmt formatCode="0" sourceLinked="1"/>
            <c:txPr>
              <a:bodyPr/>
              <a:lstStyle/>
              <a:p>
                <a:pPr>
                  <a:defRPr b="0" lang="nl-NL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'TTL NORMAL'!$C$1:$BB$1</c:f>
              <c:strCache>
                <c:ptCount val="52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  <c:pt idx="10">
                  <c:v>Week 11</c:v>
                </c:pt>
                <c:pt idx="11">
                  <c:v>Week 12</c:v>
                </c:pt>
                <c:pt idx="12">
                  <c:v>Week 13</c:v>
                </c:pt>
                <c:pt idx="13">
                  <c:v>Week 14</c:v>
                </c:pt>
                <c:pt idx="14">
                  <c:v>Week 15</c:v>
                </c:pt>
                <c:pt idx="15">
                  <c:v>Week 16</c:v>
                </c:pt>
                <c:pt idx="16">
                  <c:v>Week 17</c:v>
                </c:pt>
                <c:pt idx="17">
                  <c:v>Week 18</c:v>
                </c:pt>
                <c:pt idx="18">
                  <c:v>Week 19</c:v>
                </c:pt>
                <c:pt idx="19">
                  <c:v>Week 20</c:v>
                </c:pt>
                <c:pt idx="20">
                  <c:v>Week 21</c:v>
                </c:pt>
                <c:pt idx="21">
                  <c:v>Week 22</c:v>
                </c:pt>
                <c:pt idx="22">
                  <c:v>Week 23</c:v>
                </c:pt>
                <c:pt idx="23">
                  <c:v>Week 24</c:v>
                </c:pt>
                <c:pt idx="24">
                  <c:v>Week 25</c:v>
                </c:pt>
                <c:pt idx="25">
                  <c:v>Week 26</c:v>
                </c:pt>
                <c:pt idx="26">
                  <c:v>Week 27</c:v>
                </c:pt>
                <c:pt idx="27">
                  <c:v>Week 28</c:v>
                </c:pt>
                <c:pt idx="28">
                  <c:v>Week 29</c:v>
                </c:pt>
                <c:pt idx="29">
                  <c:v>Week 30</c:v>
                </c:pt>
                <c:pt idx="30">
                  <c:v>Week 31</c:v>
                </c:pt>
                <c:pt idx="31">
                  <c:v>Week 32</c:v>
                </c:pt>
                <c:pt idx="32">
                  <c:v>Week 33</c:v>
                </c:pt>
                <c:pt idx="33">
                  <c:v>Week 34</c:v>
                </c:pt>
                <c:pt idx="34">
                  <c:v>Week 35</c:v>
                </c:pt>
                <c:pt idx="35">
                  <c:v>Week 36</c:v>
                </c:pt>
                <c:pt idx="36">
                  <c:v>Week 37</c:v>
                </c:pt>
                <c:pt idx="37">
                  <c:v>Week 38</c:v>
                </c:pt>
                <c:pt idx="38">
                  <c:v>Week 39</c:v>
                </c:pt>
                <c:pt idx="39">
                  <c:v>Week 40</c:v>
                </c:pt>
                <c:pt idx="40">
                  <c:v>Week 41</c:v>
                </c:pt>
                <c:pt idx="41">
                  <c:v>Week 42</c:v>
                </c:pt>
                <c:pt idx="42">
                  <c:v>Week 43</c:v>
                </c:pt>
                <c:pt idx="43">
                  <c:v>Week 44</c:v>
                </c:pt>
                <c:pt idx="44">
                  <c:v>Week 45</c:v>
                </c:pt>
                <c:pt idx="45">
                  <c:v>Week 46</c:v>
                </c:pt>
                <c:pt idx="46">
                  <c:v>Week 47</c:v>
                </c:pt>
                <c:pt idx="47">
                  <c:v>Week 48</c:v>
                </c:pt>
                <c:pt idx="48">
                  <c:v>Week 49</c:v>
                </c:pt>
                <c:pt idx="49">
                  <c:v>Week 50</c:v>
                </c:pt>
                <c:pt idx="50">
                  <c:v>Week 51</c:v>
                </c:pt>
                <c:pt idx="51">
                  <c:v>Week 52</c:v>
                </c:pt>
              </c:strCache>
            </c:strRef>
          </c:cat>
          <c:val>
            <c:numRef>
              <c:f>'TTL NORMAL'!$C$46:$BB$46</c:f>
              <c:numCache>
                <c:formatCode>General</c:formatCode>
                <c:ptCount val="52"/>
                <c:pt idx="0">
                  <c:v>4242.72012282211</c:v>
                </c:pt>
                <c:pt idx="1">
                  <c:v>4242.72012282211</c:v>
                </c:pt>
                <c:pt idx="2">
                  <c:v>4242.72012282211</c:v>
                </c:pt>
                <c:pt idx="3">
                  <c:v>4242.72012282211</c:v>
                </c:pt>
                <c:pt idx="4">
                  <c:v>4906.38584035854</c:v>
                </c:pt>
                <c:pt idx="5">
                  <c:v>4906.38584035854</c:v>
                </c:pt>
                <c:pt idx="6">
                  <c:v>4906.38584035854</c:v>
                </c:pt>
                <c:pt idx="7">
                  <c:v>4906.38584035854</c:v>
                </c:pt>
                <c:pt idx="8">
                  <c:v>6447.03839892523</c:v>
                </c:pt>
                <c:pt idx="9">
                  <c:v>6447.03839892523</c:v>
                </c:pt>
                <c:pt idx="10">
                  <c:v>6447.03839892523</c:v>
                </c:pt>
                <c:pt idx="11">
                  <c:v>6447.03839892523</c:v>
                </c:pt>
                <c:pt idx="12">
                  <c:v>6660.35952241908</c:v>
                </c:pt>
                <c:pt idx="13">
                  <c:v>6660.35952241908</c:v>
                </c:pt>
                <c:pt idx="14">
                  <c:v>6660.35952241908</c:v>
                </c:pt>
                <c:pt idx="15">
                  <c:v>6660.35952241908</c:v>
                </c:pt>
                <c:pt idx="16">
                  <c:v>6660.35952241908</c:v>
                </c:pt>
                <c:pt idx="17">
                  <c:v>3910.88726405391</c:v>
                </c:pt>
                <c:pt idx="18">
                  <c:v>3910.88726405391</c:v>
                </c:pt>
                <c:pt idx="19">
                  <c:v>3910.88726405391</c:v>
                </c:pt>
                <c:pt idx="20">
                  <c:v>3910.88726405391</c:v>
                </c:pt>
                <c:pt idx="21">
                  <c:v>6636.6571753642</c:v>
                </c:pt>
                <c:pt idx="22">
                  <c:v>6636.6571753642</c:v>
                </c:pt>
                <c:pt idx="23">
                  <c:v>6636.6571753642</c:v>
                </c:pt>
                <c:pt idx="24">
                  <c:v>6636.6571753642</c:v>
                </c:pt>
                <c:pt idx="25">
                  <c:v>6636.6571753642</c:v>
                </c:pt>
                <c:pt idx="26">
                  <c:v>3673.86379350518</c:v>
                </c:pt>
                <c:pt idx="27">
                  <c:v>3673.86379350518</c:v>
                </c:pt>
                <c:pt idx="28">
                  <c:v>3673.86379350518</c:v>
                </c:pt>
                <c:pt idx="29">
                  <c:v>3673.86379350518</c:v>
                </c:pt>
                <c:pt idx="30">
                  <c:v>3673.86379350518</c:v>
                </c:pt>
                <c:pt idx="31">
                  <c:v>3579.0544052857</c:v>
                </c:pt>
                <c:pt idx="32">
                  <c:v>3579.0544052857</c:v>
                </c:pt>
                <c:pt idx="33">
                  <c:v>3579.0544052857</c:v>
                </c:pt>
                <c:pt idx="34">
                  <c:v>3579.0544052857</c:v>
                </c:pt>
                <c:pt idx="35">
                  <c:v>6849.97829885805</c:v>
                </c:pt>
                <c:pt idx="36">
                  <c:v>6849.97829885805</c:v>
                </c:pt>
                <c:pt idx="37">
                  <c:v>6849.97829885805</c:v>
                </c:pt>
                <c:pt idx="38">
                  <c:v>6849.97829885805</c:v>
                </c:pt>
                <c:pt idx="39">
                  <c:v>6849.97829885805</c:v>
                </c:pt>
                <c:pt idx="40">
                  <c:v>6304.82431659599</c:v>
                </c:pt>
                <c:pt idx="41">
                  <c:v>6304.82431659599</c:v>
                </c:pt>
                <c:pt idx="42">
                  <c:v>6304.82431659599</c:v>
                </c:pt>
                <c:pt idx="43">
                  <c:v>6304.82431659599</c:v>
                </c:pt>
                <c:pt idx="44">
                  <c:v>8438.03555153449</c:v>
                </c:pt>
                <c:pt idx="45">
                  <c:v>8438.03555153449</c:v>
                </c:pt>
                <c:pt idx="46">
                  <c:v>8438.03555153449</c:v>
                </c:pt>
                <c:pt idx="47">
                  <c:v>8438.03555153449</c:v>
                </c:pt>
                <c:pt idx="48">
                  <c:v>8295.82146920525</c:v>
                </c:pt>
                <c:pt idx="49">
                  <c:v>8295.82146920525</c:v>
                </c:pt>
                <c:pt idx="50">
                  <c:v>8295.82146920525</c:v>
                </c:pt>
                <c:pt idx="51">
                  <c:v>8295.82146920525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78001411"/>
        <c:axId val="52995462"/>
      </c:lineChart>
      <c:catAx>
        <c:axId val="780014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nl-NL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2995462"/>
        <c:crosses val="autoZero"/>
        <c:auto val="1"/>
        <c:lblAlgn val="ctr"/>
        <c:lblOffset val="100"/>
      </c:catAx>
      <c:valAx>
        <c:axId val="5299546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nl-NL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8001411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nl-NL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57240</xdr:colOff>
      <xdr:row>28</xdr:row>
      <xdr:rowOff>147600</xdr:rowOff>
    </xdr:from>
    <xdr:to>
      <xdr:col>18</xdr:col>
      <xdr:colOff>361800</xdr:colOff>
      <xdr:row>43</xdr:row>
      <xdr:rowOff>33120</xdr:rowOff>
    </xdr:to>
    <xdr:graphicFrame>
      <xdr:nvGraphicFramePr>
        <xdr:cNvPr id="0" name="Grafiek 1"/>
        <xdr:cNvGraphicFramePr/>
      </xdr:nvGraphicFramePr>
      <xdr:xfrm>
        <a:off x="6790680" y="5481360"/>
        <a:ext cx="458964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B6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2" activeCellId="0" sqref="B2"/>
    </sheetView>
  </sheetViews>
  <sheetFormatPr defaultRowHeight="15" zeroHeight="false" outlineLevelRow="0" outlineLevelCol="0"/>
  <cols>
    <col collapsed="false" customWidth="true" hidden="false" outlineLevel="0" max="1025" min="1" style="0" width="8.67"/>
  </cols>
  <sheetData>
    <row r="1" customFormat="false" ht="15" hidden="false" customHeight="false" outlineLevel="0" collapsed="false">
      <c r="C1" s="0" t="s">
        <v>0</v>
      </c>
      <c r="D1" s="0" t="s">
        <v>1</v>
      </c>
      <c r="E1" s="0" t="s">
        <v>2</v>
      </c>
      <c r="F1" s="0" t="s">
        <v>3</v>
      </c>
      <c r="G1" s="0" t="s">
        <v>4</v>
      </c>
      <c r="H1" s="0" t="s">
        <v>5</v>
      </c>
      <c r="I1" s="0" t="s">
        <v>6</v>
      </c>
      <c r="J1" s="0" t="s">
        <v>7</v>
      </c>
      <c r="K1" s="0" t="s">
        <v>8</v>
      </c>
      <c r="L1" s="0" t="s">
        <v>9</v>
      </c>
      <c r="M1" s="0" t="s">
        <v>10</v>
      </c>
      <c r="N1" s="0" t="s">
        <v>11</v>
      </c>
      <c r="O1" s="0" t="s">
        <v>12</v>
      </c>
      <c r="P1" s="0" t="s">
        <v>13</v>
      </c>
      <c r="Q1" s="0" t="s">
        <v>14</v>
      </c>
      <c r="R1" s="0" t="s">
        <v>15</v>
      </c>
      <c r="S1" s="0" t="s">
        <v>16</v>
      </c>
      <c r="T1" s="0" t="s">
        <v>17</v>
      </c>
      <c r="U1" s="0" t="s">
        <v>18</v>
      </c>
      <c r="V1" s="0" t="s">
        <v>19</v>
      </c>
      <c r="W1" s="0" t="s">
        <v>20</v>
      </c>
      <c r="X1" s="0" t="s">
        <v>21</v>
      </c>
      <c r="Y1" s="0" t="s">
        <v>22</v>
      </c>
      <c r="Z1" s="0" t="s">
        <v>23</v>
      </c>
      <c r="AA1" s="0" t="s">
        <v>24</v>
      </c>
      <c r="AB1" s="0" t="s">
        <v>25</v>
      </c>
      <c r="AC1" s="0" t="s">
        <v>26</v>
      </c>
      <c r="AD1" s="0" t="s">
        <v>27</v>
      </c>
      <c r="AE1" s="0" t="s">
        <v>28</v>
      </c>
      <c r="AF1" s="0" t="s">
        <v>29</v>
      </c>
      <c r="AG1" s="0" t="s">
        <v>30</v>
      </c>
      <c r="AH1" s="0" t="s">
        <v>31</v>
      </c>
      <c r="AI1" s="0" t="s">
        <v>32</v>
      </c>
      <c r="AJ1" s="0" t="s">
        <v>33</v>
      </c>
      <c r="AK1" s="0" t="s">
        <v>34</v>
      </c>
      <c r="AL1" s="0" t="s">
        <v>35</v>
      </c>
      <c r="AM1" s="0" t="s">
        <v>36</v>
      </c>
      <c r="AN1" s="0" t="s">
        <v>37</v>
      </c>
      <c r="AO1" s="0" t="s">
        <v>38</v>
      </c>
      <c r="AP1" s="0" t="s">
        <v>39</v>
      </c>
      <c r="AQ1" s="0" t="s">
        <v>40</v>
      </c>
      <c r="AR1" s="0" t="s">
        <v>41</v>
      </c>
      <c r="AS1" s="0" t="s">
        <v>42</v>
      </c>
      <c r="AT1" s="0" t="s">
        <v>43</v>
      </c>
      <c r="AU1" s="0" t="s">
        <v>44</v>
      </c>
      <c r="AV1" s="0" t="s">
        <v>45</v>
      </c>
      <c r="AW1" s="0" t="s">
        <v>46</v>
      </c>
      <c r="AX1" s="0" t="s">
        <v>47</v>
      </c>
      <c r="AY1" s="0" t="s">
        <v>48</v>
      </c>
      <c r="AZ1" s="0" t="s">
        <v>49</v>
      </c>
      <c r="BA1" s="0" t="s">
        <v>50</v>
      </c>
      <c r="BB1" s="0" t="s">
        <v>51</v>
      </c>
    </row>
    <row r="2" customFormat="false" ht="15" hidden="false" customHeight="false" outlineLevel="0" collapsed="false">
      <c r="A2" s="0" t="s">
        <v>52</v>
      </c>
      <c r="B2" s="1" t="n">
        <f aca="false">AVERAGE(C2:BB2)</f>
        <v>13266.5490992397</v>
      </c>
      <c r="C2" s="1" t="n">
        <v>9640.49020342906</v>
      </c>
      <c r="D2" s="1" t="n">
        <v>9640.49020342906</v>
      </c>
      <c r="E2" s="1" t="n">
        <v>9640.49020342906</v>
      </c>
      <c r="F2" s="1" t="n">
        <v>9640.49020342906</v>
      </c>
      <c r="G2" s="1" t="n">
        <v>11148.4998441889</v>
      </c>
      <c r="H2" s="1" t="n">
        <v>11148.4998441889</v>
      </c>
      <c r="I2" s="1" t="n">
        <v>11148.4998441889</v>
      </c>
      <c r="J2" s="1" t="n">
        <v>11148.4998441889</v>
      </c>
      <c r="K2" s="1" t="n">
        <v>14649.2365102386</v>
      </c>
      <c r="L2" s="1" t="n">
        <v>14649.2365102386</v>
      </c>
      <c r="M2" s="1" t="n">
        <v>14649.2365102386</v>
      </c>
      <c r="N2" s="1" t="n">
        <v>14649.2365102386</v>
      </c>
      <c r="O2" s="1" t="n">
        <v>15133.9538947685</v>
      </c>
      <c r="P2" s="1" t="n">
        <v>15133.9538947685</v>
      </c>
      <c r="Q2" s="1" t="n">
        <v>15133.9538947685</v>
      </c>
      <c r="R2" s="1" t="n">
        <v>15133.9538947685</v>
      </c>
      <c r="S2" s="1" t="n">
        <v>15133.9538947685</v>
      </c>
      <c r="T2" s="1" t="n">
        <v>8886.48538304914</v>
      </c>
      <c r="U2" s="1" t="n">
        <v>8886.48538304914</v>
      </c>
      <c r="V2" s="1" t="n">
        <v>8886.48538304914</v>
      </c>
      <c r="W2" s="1" t="n">
        <v>8886.48538304914</v>
      </c>
      <c r="X2" s="1" t="n">
        <v>15080.0964075985</v>
      </c>
      <c r="Y2" s="1" t="n">
        <v>15080.0964075985</v>
      </c>
      <c r="Z2" s="1" t="n">
        <v>15080.0964075985</v>
      </c>
      <c r="AA2" s="1" t="n">
        <v>15080.0964075985</v>
      </c>
      <c r="AB2" s="1" t="n">
        <v>15080.0964075985</v>
      </c>
      <c r="AC2" s="1" t="n">
        <v>8347.91051134919</v>
      </c>
      <c r="AD2" s="1" t="n">
        <v>8347.91051134919</v>
      </c>
      <c r="AE2" s="1" t="n">
        <v>8347.91051134919</v>
      </c>
      <c r="AF2" s="1" t="n">
        <v>8347.91051134919</v>
      </c>
      <c r="AG2" s="1" t="n">
        <v>8347.91051134919</v>
      </c>
      <c r="AH2" s="1" t="n">
        <v>8132.48056266921</v>
      </c>
      <c r="AI2" s="1" t="n">
        <v>8132.48056266921</v>
      </c>
      <c r="AJ2" s="1" t="n">
        <v>8132.48056266921</v>
      </c>
      <c r="AK2" s="1" t="n">
        <v>8132.48056266921</v>
      </c>
      <c r="AL2" s="1" t="n">
        <v>15564.8137921285</v>
      </c>
      <c r="AM2" s="1" t="n">
        <v>15564.8137921285</v>
      </c>
      <c r="AN2" s="1" t="n">
        <v>15564.8137921285</v>
      </c>
      <c r="AO2" s="1" t="n">
        <v>15564.8137921285</v>
      </c>
      <c r="AP2" s="1" t="n">
        <v>15564.8137921285</v>
      </c>
      <c r="AQ2" s="1" t="n">
        <v>14326.0915872186</v>
      </c>
      <c r="AR2" s="1" t="n">
        <v>14326.0915872186</v>
      </c>
      <c r="AS2" s="1" t="n">
        <v>14326.0915872186</v>
      </c>
      <c r="AT2" s="1" t="n">
        <v>14326.0915872186</v>
      </c>
      <c r="AU2" s="1" t="n">
        <v>19173.2654325181</v>
      </c>
      <c r="AV2" s="1" t="n">
        <v>19173.2654325181</v>
      </c>
      <c r="AW2" s="1" t="n">
        <v>19173.2654325181</v>
      </c>
      <c r="AX2" s="1" t="n">
        <v>19173.2654325181</v>
      </c>
      <c r="AY2" s="1" t="n">
        <v>18850.1205094982</v>
      </c>
      <c r="AZ2" s="1" t="n">
        <v>18850.1205094982</v>
      </c>
      <c r="BA2" s="1" t="n">
        <v>18850.1205094982</v>
      </c>
      <c r="BB2" s="1" t="n">
        <v>18850.1205094982</v>
      </c>
    </row>
    <row r="3" customFormat="false" ht="15" hidden="false" customHeight="false" outlineLevel="0" collapsed="false">
      <c r="A3" s="0" t="s">
        <v>53</v>
      </c>
      <c r="B3" s="1" t="n">
        <f aca="false">AVERAGE(C3:BB3)</f>
        <v>13266.5490992397</v>
      </c>
      <c r="C3" s="1" t="n">
        <v>9640.49020342906</v>
      </c>
      <c r="D3" s="1" t="n">
        <v>9640.49020342906</v>
      </c>
      <c r="E3" s="1" t="n">
        <v>9640.49020342906</v>
      </c>
      <c r="F3" s="1" t="n">
        <v>9640.49020342906</v>
      </c>
      <c r="G3" s="1" t="n">
        <v>11148.4998441889</v>
      </c>
      <c r="H3" s="1" t="n">
        <v>11148.4998441889</v>
      </c>
      <c r="I3" s="1" t="n">
        <v>11148.4998441889</v>
      </c>
      <c r="J3" s="1" t="n">
        <v>11148.4998441889</v>
      </c>
      <c r="K3" s="1" t="n">
        <v>14649.2365102386</v>
      </c>
      <c r="L3" s="1" t="n">
        <v>14649.2365102386</v>
      </c>
      <c r="M3" s="1" t="n">
        <v>14649.2365102386</v>
      </c>
      <c r="N3" s="1" t="n">
        <v>14649.2365102386</v>
      </c>
      <c r="O3" s="1" t="n">
        <v>15133.9538947685</v>
      </c>
      <c r="P3" s="1" t="n">
        <v>15133.9538947685</v>
      </c>
      <c r="Q3" s="1" t="n">
        <v>15133.9538947685</v>
      </c>
      <c r="R3" s="1" t="n">
        <v>15133.9538947685</v>
      </c>
      <c r="S3" s="1" t="n">
        <v>15133.9538947685</v>
      </c>
      <c r="T3" s="1" t="n">
        <v>8886.48538304914</v>
      </c>
      <c r="U3" s="1" t="n">
        <v>8886.48538304914</v>
      </c>
      <c r="V3" s="1" t="n">
        <v>8886.48538304914</v>
      </c>
      <c r="W3" s="1" t="n">
        <v>8886.48538304914</v>
      </c>
      <c r="X3" s="1" t="n">
        <v>15080.0964075985</v>
      </c>
      <c r="Y3" s="1" t="n">
        <v>15080.0964075985</v>
      </c>
      <c r="Z3" s="1" t="n">
        <v>15080.0964075985</v>
      </c>
      <c r="AA3" s="1" t="n">
        <v>15080.0964075985</v>
      </c>
      <c r="AB3" s="1" t="n">
        <v>15080.0964075985</v>
      </c>
      <c r="AC3" s="1" t="n">
        <v>8347.91051134919</v>
      </c>
      <c r="AD3" s="1" t="n">
        <v>8347.91051134919</v>
      </c>
      <c r="AE3" s="1" t="n">
        <v>8347.91051134919</v>
      </c>
      <c r="AF3" s="1" t="n">
        <v>8347.91051134919</v>
      </c>
      <c r="AG3" s="1" t="n">
        <v>8347.91051134919</v>
      </c>
      <c r="AH3" s="1" t="n">
        <v>8132.48056266921</v>
      </c>
      <c r="AI3" s="1" t="n">
        <v>8132.48056266921</v>
      </c>
      <c r="AJ3" s="1" t="n">
        <v>8132.48056266921</v>
      </c>
      <c r="AK3" s="1" t="n">
        <v>8132.48056266921</v>
      </c>
      <c r="AL3" s="1" t="n">
        <v>15564.8137921285</v>
      </c>
      <c r="AM3" s="1" t="n">
        <v>15564.8137921285</v>
      </c>
      <c r="AN3" s="1" t="n">
        <v>15564.8137921285</v>
      </c>
      <c r="AO3" s="1" t="n">
        <v>15564.8137921285</v>
      </c>
      <c r="AP3" s="1" t="n">
        <v>15564.8137921285</v>
      </c>
      <c r="AQ3" s="1" t="n">
        <v>14326.0915872186</v>
      </c>
      <c r="AR3" s="1" t="n">
        <v>14326.0915872186</v>
      </c>
      <c r="AS3" s="1" t="n">
        <v>14326.0915872186</v>
      </c>
      <c r="AT3" s="1" t="n">
        <v>14326.0915872186</v>
      </c>
      <c r="AU3" s="1" t="n">
        <v>19173.2654325181</v>
      </c>
      <c r="AV3" s="1" t="n">
        <v>19173.2654325181</v>
      </c>
      <c r="AW3" s="1" t="n">
        <v>19173.2654325181</v>
      </c>
      <c r="AX3" s="1" t="n">
        <v>19173.2654325181</v>
      </c>
      <c r="AY3" s="1" t="n">
        <v>18850.1205094982</v>
      </c>
      <c r="AZ3" s="1" t="n">
        <v>18850.1205094982</v>
      </c>
      <c r="BA3" s="1" t="n">
        <v>18850.1205094982</v>
      </c>
      <c r="BB3" s="1" t="n">
        <v>18850.1205094982</v>
      </c>
    </row>
    <row r="4" customFormat="false" ht="15" hidden="false" customHeight="false" outlineLevel="0" collapsed="false">
      <c r="A4" s="0" t="s">
        <v>54</v>
      </c>
      <c r="B4" s="1" t="n">
        <f aca="false">AVERAGE(C4:BB4)</f>
        <v>13266.5490992397</v>
      </c>
      <c r="C4" s="1" t="n">
        <v>9640.49020342906</v>
      </c>
      <c r="D4" s="1" t="n">
        <v>9640.49020342906</v>
      </c>
      <c r="E4" s="1" t="n">
        <v>9640.49020342906</v>
      </c>
      <c r="F4" s="1" t="n">
        <v>9640.49020342906</v>
      </c>
      <c r="G4" s="1" t="n">
        <v>11148.4998441889</v>
      </c>
      <c r="H4" s="1" t="n">
        <v>11148.4998441889</v>
      </c>
      <c r="I4" s="1" t="n">
        <v>11148.4998441889</v>
      </c>
      <c r="J4" s="1" t="n">
        <v>11148.4998441889</v>
      </c>
      <c r="K4" s="1" t="n">
        <v>14649.2365102386</v>
      </c>
      <c r="L4" s="1" t="n">
        <v>14649.2365102386</v>
      </c>
      <c r="M4" s="1" t="n">
        <v>14649.2365102386</v>
      </c>
      <c r="N4" s="1" t="n">
        <v>14649.2365102386</v>
      </c>
      <c r="O4" s="1" t="n">
        <v>15133.9538947685</v>
      </c>
      <c r="P4" s="1" t="n">
        <v>15133.9538947685</v>
      </c>
      <c r="Q4" s="1" t="n">
        <v>15133.9538947685</v>
      </c>
      <c r="R4" s="1" t="n">
        <v>15133.9538947685</v>
      </c>
      <c r="S4" s="1" t="n">
        <v>15133.9538947685</v>
      </c>
      <c r="T4" s="1" t="n">
        <v>8886.48538304914</v>
      </c>
      <c r="U4" s="1" t="n">
        <v>8886.48538304914</v>
      </c>
      <c r="V4" s="1" t="n">
        <v>8886.48538304914</v>
      </c>
      <c r="W4" s="1" t="n">
        <v>8886.48538304914</v>
      </c>
      <c r="X4" s="1" t="n">
        <v>15080.0964075985</v>
      </c>
      <c r="Y4" s="1" t="n">
        <v>15080.0964075985</v>
      </c>
      <c r="Z4" s="1" t="n">
        <v>15080.0964075985</v>
      </c>
      <c r="AA4" s="1" t="n">
        <v>15080.0964075985</v>
      </c>
      <c r="AB4" s="1" t="n">
        <v>15080.0964075985</v>
      </c>
      <c r="AC4" s="1" t="n">
        <v>8347.91051134919</v>
      </c>
      <c r="AD4" s="1" t="n">
        <v>8347.91051134919</v>
      </c>
      <c r="AE4" s="1" t="n">
        <v>8347.91051134919</v>
      </c>
      <c r="AF4" s="1" t="n">
        <v>8347.91051134919</v>
      </c>
      <c r="AG4" s="1" t="n">
        <v>8347.91051134919</v>
      </c>
      <c r="AH4" s="1" t="n">
        <v>8132.48056266921</v>
      </c>
      <c r="AI4" s="1" t="n">
        <v>8132.48056266921</v>
      </c>
      <c r="AJ4" s="1" t="n">
        <v>8132.48056266921</v>
      </c>
      <c r="AK4" s="1" t="n">
        <v>8132.48056266921</v>
      </c>
      <c r="AL4" s="1" t="n">
        <v>15564.8137921285</v>
      </c>
      <c r="AM4" s="1" t="n">
        <v>15564.8137921285</v>
      </c>
      <c r="AN4" s="1" t="n">
        <v>15564.8137921285</v>
      </c>
      <c r="AO4" s="1" t="n">
        <v>15564.8137921285</v>
      </c>
      <c r="AP4" s="1" t="n">
        <v>15564.8137921285</v>
      </c>
      <c r="AQ4" s="1" t="n">
        <v>14326.0915872186</v>
      </c>
      <c r="AR4" s="1" t="n">
        <v>14326.0915872186</v>
      </c>
      <c r="AS4" s="1" t="n">
        <v>14326.0915872186</v>
      </c>
      <c r="AT4" s="1" t="n">
        <v>14326.0915872186</v>
      </c>
      <c r="AU4" s="1" t="n">
        <v>19173.2654325181</v>
      </c>
      <c r="AV4" s="1" t="n">
        <v>19173.2654325181</v>
      </c>
      <c r="AW4" s="1" t="n">
        <v>19173.2654325181</v>
      </c>
      <c r="AX4" s="1" t="n">
        <v>19173.2654325181</v>
      </c>
      <c r="AY4" s="1" t="n">
        <v>18850.1205094982</v>
      </c>
      <c r="AZ4" s="1" t="n">
        <v>18850.1205094982</v>
      </c>
      <c r="BA4" s="1" t="n">
        <v>18850.1205094982</v>
      </c>
      <c r="BB4" s="1" t="n">
        <v>18850.1205094982</v>
      </c>
    </row>
    <row r="5" customFormat="false" ht="15" hidden="false" customHeight="false" outlineLevel="0" collapsed="false">
      <c r="A5" s="0" t="s">
        <v>55</v>
      </c>
      <c r="B5" s="1" t="n">
        <f aca="false">AVERAGE(C5:BB5)</f>
        <v>13266.5490992397</v>
      </c>
      <c r="C5" s="1" t="n">
        <v>9640.49020342906</v>
      </c>
      <c r="D5" s="1" t="n">
        <v>9640.49020342906</v>
      </c>
      <c r="E5" s="1" t="n">
        <v>9640.49020342906</v>
      </c>
      <c r="F5" s="1" t="n">
        <v>9640.49020342906</v>
      </c>
      <c r="G5" s="1" t="n">
        <v>11148.4998441889</v>
      </c>
      <c r="H5" s="1" t="n">
        <v>11148.4998441889</v>
      </c>
      <c r="I5" s="1" t="n">
        <v>11148.4998441889</v>
      </c>
      <c r="J5" s="1" t="n">
        <v>11148.4998441889</v>
      </c>
      <c r="K5" s="1" t="n">
        <v>14649.2365102386</v>
      </c>
      <c r="L5" s="1" t="n">
        <v>14649.2365102386</v>
      </c>
      <c r="M5" s="1" t="n">
        <v>14649.2365102386</v>
      </c>
      <c r="N5" s="1" t="n">
        <v>14649.2365102386</v>
      </c>
      <c r="O5" s="1" t="n">
        <v>15133.9538947685</v>
      </c>
      <c r="P5" s="1" t="n">
        <v>15133.9538947685</v>
      </c>
      <c r="Q5" s="1" t="n">
        <v>15133.9538947685</v>
      </c>
      <c r="R5" s="1" t="n">
        <v>15133.9538947685</v>
      </c>
      <c r="S5" s="1" t="n">
        <v>15133.9538947685</v>
      </c>
      <c r="T5" s="1" t="n">
        <v>8886.48538304914</v>
      </c>
      <c r="U5" s="1" t="n">
        <v>8886.48538304914</v>
      </c>
      <c r="V5" s="1" t="n">
        <v>8886.48538304914</v>
      </c>
      <c r="W5" s="1" t="n">
        <v>8886.48538304914</v>
      </c>
      <c r="X5" s="1" t="n">
        <v>15080.0964075985</v>
      </c>
      <c r="Y5" s="1" t="n">
        <v>15080.0964075985</v>
      </c>
      <c r="Z5" s="1" t="n">
        <v>15080.0964075985</v>
      </c>
      <c r="AA5" s="1" t="n">
        <v>15080.0964075985</v>
      </c>
      <c r="AB5" s="1" t="n">
        <v>15080.0964075985</v>
      </c>
      <c r="AC5" s="1" t="n">
        <v>8347.91051134919</v>
      </c>
      <c r="AD5" s="1" t="n">
        <v>8347.91051134919</v>
      </c>
      <c r="AE5" s="1" t="n">
        <v>8347.91051134919</v>
      </c>
      <c r="AF5" s="1" t="n">
        <v>8347.91051134919</v>
      </c>
      <c r="AG5" s="1" t="n">
        <v>8347.91051134919</v>
      </c>
      <c r="AH5" s="1" t="n">
        <v>8132.48056266921</v>
      </c>
      <c r="AI5" s="1" t="n">
        <v>8132.48056266921</v>
      </c>
      <c r="AJ5" s="1" t="n">
        <v>8132.48056266921</v>
      </c>
      <c r="AK5" s="1" t="n">
        <v>8132.48056266921</v>
      </c>
      <c r="AL5" s="1" t="n">
        <v>15564.8137921285</v>
      </c>
      <c r="AM5" s="1" t="n">
        <v>15564.8137921285</v>
      </c>
      <c r="AN5" s="1" t="n">
        <v>15564.8137921285</v>
      </c>
      <c r="AO5" s="1" t="n">
        <v>15564.8137921285</v>
      </c>
      <c r="AP5" s="1" t="n">
        <v>15564.8137921285</v>
      </c>
      <c r="AQ5" s="1" t="n">
        <v>14326.0915872186</v>
      </c>
      <c r="AR5" s="1" t="n">
        <v>14326.0915872186</v>
      </c>
      <c r="AS5" s="1" t="n">
        <v>14326.0915872186</v>
      </c>
      <c r="AT5" s="1" t="n">
        <v>14326.0915872186</v>
      </c>
      <c r="AU5" s="1" t="n">
        <v>19173.2654325181</v>
      </c>
      <c r="AV5" s="1" t="n">
        <v>19173.2654325181</v>
      </c>
      <c r="AW5" s="1" t="n">
        <v>19173.2654325181</v>
      </c>
      <c r="AX5" s="1" t="n">
        <v>19173.2654325181</v>
      </c>
      <c r="AY5" s="1" t="n">
        <v>18850.1205094982</v>
      </c>
      <c r="AZ5" s="1" t="n">
        <v>18850.1205094982</v>
      </c>
      <c r="BA5" s="1" t="n">
        <v>18850.1205094982</v>
      </c>
      <c r="BB5" s="1" t="n">
        <v>18850.1205094982</v>
      </c>
    </row>
    <row r="6" customFormat="false" ht="15" hidden="false" customHeight="false" outlineLevel="0" collapsed="false">
      <c r="A6" s="0" t="s">
        <v>56</v>
      </c>
      <c r="B6" s="1" t="n">
        <f aca="false">AVERAGE(C6:BB6)</f>
        <v>13266.5490992397</v>
      </c>
      <c r="C6" s="1" t="n">
        <v>9640.49020342906</v>
      </c>
      <c r="D6" s="1" t="n">
        <v>9640.49020342906</v>
      </c>
      <c r="E6" s="1" t="n">
        <v>9640.49020342906</v>
      </c>
      <c r="F6" s="1" t="n">
        <v>9640.49020342906</v>
      </c>
      <c r="G6" s="1" t="n">
        <v>11148.4998441889</v>
      </c>
      <c r="H6" s="1" t="n">
        <v>11148.4998441889</v>
      </c>
      <c r="I6" s="1" t="n">
        <v>11148.4998441889</v>
      </c>
      <c r="J6" s="1" t="n">
        <v>11148.4998441889</v>
      </c>
      <c r="K6" s="1" t="n">
        <v>14649.2365102386</v>
      </c>
      <c r="L6" s="1" t="n">
        <v>14649.2365102386</v>
      </c>
      <c r="M6" s="1" t="n">
        <v>14649.2365102386</v>
      </c>
      <c r="N6" s="1" t="n">
        <v>14649.2365102386</v>
      </c>
      <c r="O6" s="1" t="n">
        <v>15133.9538947685</v>
      </c>
      <c r="P6" s="1" t="n">
        <v>15133.9538947685</v>
      </c>
      <c r="Q6" s="1" t="n">
        <v>15133.9538947685</v>
      </c>
      <c r="R6" s="1" t="n">
        <v>15133.9538947685</v>
      </c>
      <c r="S6" s="1" t="n">
        <v>15133.9538947685</v>
      </c>
      <c r="T6" s="1" t="n">
        <v>8886.48538304914</v>
      </c>
      <c r="U6" s="1" t="n">
        <v>8886.48538304914</v>
      </c>
      <c r="V6" s="1" t="n">
        <v>8886.48538304914</v>
      </c>
      <c r="W6" s="1" t="n">
        <v>8886.48538304914</v>
      </c>
      <c r="X6" s="1" t="n">
        <v>15080.0964075985</v>
      </c>
      <c r="Y6" s="1" t="n">
        <v>15080.0964075985</v>
      </c>
      <c r="Z6" s="1" t="n">
        <v>15080.0964075985</v>
      </c>
      <c r="AA6" s="1" t="n">
        <v>15080.0964075985</v>
      </c>
      <c r="AB6" s="1" t="n">
        <v>15080.0964075985</v>
      </c>
      <c r="AC6" s="1" t="n">
        <v>8347.91051134919</v>
      </c>
      <c r="AD6" s="1" t="n">
        <v>8347.91051134919</v>
      </c>
      <c r="AE6" s="1" t="n">
        <v>8347.91051134919</v>
      </c>
      <c r="AF6" s="1" t="n">
        <v>8347.91051134919</v>
      </c>
      <c r="AG6" s="1" t="n">
        <v>8347.91051134919</v>
      </c>
      <c r="AH6" s="1" t="n">
        <v>8132.48056266921</v>
      </c>
      <c r="AI6" s="1" t="n">
        <v>8132.48056266921</v>
      </c>
      <c r="AJ6" s="1" t="n">
        <v>8132.48056266921</v>
      </c>
      <c r="AK6" s="1" t="n">
        <v>8132.48056266921</v>
      </c>
      <c r="AL6" s="1" t="n">
        <v>15564.8137921285</v>
      </c>
      <c r="AM6" s="1" t="n">
        <v>15564.8137921285</v>
      </c>
      <c r="AN6" s="1" t="n">
        <v>15564.8137921285</v>
      </c>
      <c r="AO6" s="1" t="n">
        <v>15564.8137921285</v>
      </c>
      <c r="AP6" s="1" t="n">
        <v>15564.8137921285</v>
      </c>
      <c r="AQ6" s="1" t="n">
        <v>14326.0915872186</v>
      </c>
      <c r="AR6" s="1" t="n">
        <v>14326.0915872186</v>
      </c>
      <c r="AS6" s="1" t="n">
        <v>14326.0915872186</v>
      </c>
      <c r="AT6" s="1" t="n">
        <v>14326.0915872186</v>
      </c>
      <c r="AU6" s="1" t="n">
        <v>19173.2654325181</v>
      </c>
      <c r="AV6" s="1" t="n">
        <v>19173.2654325181</v>
      </c>
      <c r="AW6" s="1" t="n">
        <v>19173.2654325181</v>
      </c>
      <c r="AX6" s="1" t="n">
        <v>19173.2654325181</v>
      </c>
      <c r="AY6" s="1" t="n">
        <v>18850.1205094982</v>
      </c>
      <c r="AZ6" s="1" t="n">
        <v>18850.1205094982</v>
      </c>
      <c r="BA6" s="1" t="n">
        <v>18850.1205094982</v>
      </c>
      <c r="BB6" s="1" t="n">
        <v>18850.1205094982</v>
      </c>
    </row>
    <row r="7" customFormat="false" ht="15" hidden="false" customHeight="false" outlineLevel="0" collapsed="false">
      <c r="A7" s="0" t="s">
        <v>57</v>
      </c>
      <c r="B7" s="1" t="n">
        <f aca="false">AVERAGE(C7:BB7)</f>
        <v>2321.64609236694</v>
      </c>
      <c r="C7" s="1" t="n">
        <v>1687.08578560009</v>
      </c>
      <c r="D7" s="1" t="n">
        <v>1687.08578560009</v>
      </c>
      <c r="E7" s="1" t="n">
        <v>1687.08578560009</v>
      </c>
      <c r="F7" s="1" t="n">
        <v>1687.08578560009</v>
      </c>
      <c r="G7" s="1" t="n">
        <v>1950.98747273306</v>
      </c>
      <c r="H7" s="1" t="n">
        <v>1950.98747273306</v>
      </c>
      <c r="I7" s="1" t="n">
        <v>1950.98747273306</v>
      </c>
      <c r="J7" s="1" t="n">
        <v>1950.98747273306</v>
      </c>
      <c r="K7" s="1" t="n">
        <v>2563.61638929175</v>
      </c>
      <c r="L7" s="1" t="n">
        <v>2563.61638929175</v>
      </c>
      <c r="M7" s="1" t="n">
        <v>2563.61638929175</v>
      </c>
      <c r="N7" s="1" t="n">
        <v>2563.61638929175</v>
      </c>
      <c r="O7" s="1" t="n">
        <v>2648.44193158449</v>
      </c>
      <c r="P7" s="1" t="n">
        <v>2648.44193158449</v>
      </c>
      <c r="Q7" s="1" t="n">
        <v>2648.44193158449</v>
      </c>
      <c r="R7" s="1" t="n">
        <v>2648.44193158449</v>
      </c>
      <c r="S7" s="1" t="n">
        <v>2648.44193158449</v>
      </c>
      <c r="T7" s="1" t="n">
        <v>1555.1349420336</v>
      </c>
      <c r="U7" s="1" t="n">
        <v>1555.1349420336</v>
      </c>
      <c r="V7" s="1" t="n">
        <v>1555.1349420336</v>
      </c>
      <c r="W7" s="1" t="n">
        <v>1555.1349420336</v>
      </c>
      <c r="X7" s="1" t="n">
        <v>2639.01687132974</v>
      </c>
      <c r="Y7" s="1" t="n">
        <v>2639.01687132974</v>
      </c>
      <c r="Z7" s="1" t="n">
        <v>2639.01687132974</v>
      </c>
      <c r="AA7" s="1" t="n">
        <v>2639.01687132974</v>
      </c>
      <c r="AB7" s="1" t="n">
        <v>2639.01687132974</v>
      </c>
      <c r="AC7" s="1" t="n">
        <v>1460.88433948611</v>
      </c>
      <c r="AD7" s="1" t="n">
        <v>1460.88433948611</v>
      </c>
      <c r="AE7" s="1" t="n">
        <v>1460.88433948611</v>
      </c>
      <c r="AF7" s="1" t="n">
        <v>1460.88433948611</v>
      </c>
      <c r="AG7" s="1" t="n">
        <v>1460.88433948611</v>
      </c>
      <c r="AH7" s="1" t="n">
        <v>1423.18409846711</v>
      </c>
      <c r="AI7" s="1" t="n">
        <v>1423.18409846711</v>
      </c>
      <c r="AJ7" s="1" t="n">
        <v>1423.18409846711</v>
      </c>
      <c r="AK7" s="1" t="n">
        <v>1423.18409846711</v>
      </c>
      <c r="AL7" s="1" t="n">
        <v>2723.84241362249</v>
      </c>
      <c r="AM7" s="1" t="n">
        <v>2723.84241362249</v>
      </c>
      <c r="AN7" s="1" t="n">
        <v>2723.84241362249</v>
      </c>
      <c r="AO7" s="1" t="n">
        <v>2723.84241362249</v>
      </c>
      <c r="AP7" s="1" t="n">
        <v>2723.84241362249</v>
      </c>
      <c r="AQ7" s="1" t="n">
        <v>2507.06602776326</v>
      </c>
      <c r="AR7" s="1" t="n">
        <v>2507.06602776326</v>
      </c>
      <c r="AS7" s="1" t="n">
        <v>2507.06602776326</v>
      </c>
      <c r="AT7" s="1" t="n">
        <v>2507.06602776326</v>
      </c>
      <c r="AU7" s="1" t="n">
        <v>3355.32145069067</v>
      </c>
      <c r="AV7" s="1" t="n">
        <v>3355.32145069067</v>
      </c>
      <c r="AW7" s="1" t="n">
        <v>3355.32145069067</v>
      </c>
      <c r="AX7" s="1" t="n">
        <v>3355.32145069067</v>
      </c>
      <c r="AY7" s="1" t="n">
        <v>3298.77108916218</v>
      </c>
      <c r="AZ7" s="1" t="n">
        <v>3298.77108916218</v>
      </c>
      <c r="BA7" s="1" t="n">
        <v>3298.77108916218</v>
      </c>
      <c r="BB7" s="1" t="n">
        <v>3298.77108916218</v>
      </c>
    </row>
    <row r="8" customFormat="false" ht="15" hidden="false" customHeight="false" outlineLevel="0" collapsed="false">
      <c r="A8" s="0" t="s">
        <v>58</v>
      </c>
      <c r="B8" s="1" t="n">
        <f aca="false">AVERAGE(C8:BB8)</f>
        <v>22884.7971961884</v>
      </c>
      <c r="C8" s="1" t="n">
        <v>16629.8456009151</v>
      </c>
      <c r="D8" s="1" t="n">
        <v>16629.8456009151</v>
      </c>
      <c r="E8" s="1" t="n">
        <v>16629.8456009151</v>
      </c>
      <c r="F8" s="1" t="n">
        <v>16629.8456009151</v>
      </c>
      <c r="G8" s="1" t="n">
        <v>19231.1622312259</v>
      </c>
      <c r="H8" s="1" t="n">
        <v>19231.1622312259</v>
      </c>
      <c r="I8" s="1" t="n">
        <v>19231.1622312259</v>
      </c>
      <c r="J8" s="1" t="n">
        <v>19231.1622312259</v>
      </c>
      <c r="K8" s="1" t="n">
        <v>25269.9329801615</v>
      </c>
      <c r="L8" s="1" t="n">
        <v>25269.9329801615</v>
      </c>
      <c r="M8" s="1" t="n">
        <v>25269.9329801615</v>
      </c>
      <c r="N8" s="1" t="n">
        <v>25269.9329801615</v>
      </c>
      <c r="O8" s="1" t="n">
        <v>26106.0704684757</v>
      </c>
      <c r="P8" s="1" t="n">
        <v>26106.0704684757</v>
      </c>
      <c r="Q8" s="1" t="n">
        <v>26106.0704684757</v>
      </c>
      <c r="R8" s="1" t="n">
        <v>26106.0704684757</v>
      </c>
      <c r="S8" s="1" t="n">
        <v>26106.0704684757</v>
      </c>
      <c r="T8" s="1" t="n">
        <v>15329.1872857598</v>
      </c>
      <c r="U8" s="1" t="n">
        <v>15329.1872857598</v>
      </c>
      <c r="V8" s="1" t="n">
        <v>15329.1872857598</v>
      </c>
      <c r="W8" s="1" t="n">
        <v>15329.1872857598</v>
      </c>
      <c r="X8" s="1" t="n">
        <v>26013.1663031075</v>
      </c>
      <c r="Y8" s="1" t="n">
        <v>26013.1663031075</v>
      </c>
      <c r="Z8" s="1" t="n">
        <v>26013.1663031075</v>
      </c>
      <c r="AA8" s="1" t="n">
        <v>26013.1663031075</v>
      </c>
      <c r="AB8" s="1" t="n">
        <v>26013.1663031075</v>
      </c>
      <c r="AC8" s="1" t="n">
        <v>14400.1456320774</v>
      </c>
      <c r="AD8" s="1" t="n">
        <v>14400.1456320774</v>
      </c>
      <c r="AE8" s="1" t="n">
        <v>14400.1456320774</v>
      </c>
      <c r="AF8" s="1" t="n">
        <v>14400.1456320774</v>
      </c>
      <c r="AG8" s="1" t="n">
        <v>14400.1456320774</v>
      </c>
      <c r="AH8" s="1" t="n">
        <v>14028.5289706044</v>
      </c>
      <c r="AI8" s="1" t="n">
        <v>14028.5289706044</v>
      </c>
      <c r="AJ8" s="1" t="n">
        <v>14028.5289706044</v>
      </c>
      <c r="AK8" s="1" t="n">
        <v>14028.5289706044</v>
      </c>
      <c r="AL8" s="1" t="n">
        <v>26849.3037914217</v>
      </c>
      <c r="AM8" s="1" t="n">
        <v>26849.3037914217</v>
      </c>
      <c r="AN8" s="1" t="n">
        <v>26849.3037914217</v>
      </c>
      <c r="AO8" s="1" t="n">
        <v>26849.3037914217</v>
      </c>
      <c r="AP8" s="1" t="n">
        <v>26849.3037914217</v>
      </c>
      <c r="AQ8" s="1" t="n">
        <v>24712.5079879521</v>
      </c>
      <c r="AR8" s="1" t="n">
        <v>24712.5079879521</v>
      </c>
      <c r="AS8" s="1" t="n">
        <v>24712.5079879521</v>
      </c>
      <c r="AT8" s="1" t="n">
        <v>24712.5079879521</v>
      </c>
      <c r="AU8" s="1" t="n">
        <v>33073.8828710938</v>
      </c>
      <c r="AV8" s="1" t="n">
        <v>33073.8828710938</v>
      </c>
      <c r="AW8" s="1" t="n">
        <v>33073.8828710938</v>
      </c>
      <c r="AX8" s="1" t="n">
        <v>33073.8828710938</v>
      </c>
      <c r="AY8" s="1" t="n">
        <v>32516.4578788843</v>
      </c>
      <c r="AZ8" s="1" t="n">
        <v>32516.4578788843</v>
      </c>
      <c r="BA8" s="1" t="n">
        <v>32516.4578788843</v>
      </c>
      <c r="BB8" s="1" t="n">
        <v>32516.4578788843</v>
      </c>
    </row>
    <row r="9" customFormat="false" ht="15" hidden="false" customHeight="false" outlineLevel="0" collapsed="false">
      <c r="A9" s="0" t="s">
        <v>59</v>
      </c>
      <c r="B9" s="1" t="n">
        <f aca="false">AVERAGE(C9:BB9)</f>
        <v>2321.64609236694</v>
      </c>
      <c r="C9" s="1" t="n">
        <v>1687.08578560009</v>
      </c>
      <c r="D9" s="1" t="n">
        <v>1687.08578560009</v>
      </c>
      <c r="E9" s="1" t="n">
        <v>1687.08578560009</v>
      </c>
      <c r="F9" s="1" t="n">
        <v>1687.08578560009</v>
      </c>
      <c r="G9" s="1" t="n">
        <v>1950.98747273306</v>
      </c>
      <c r="H9" s="1" t="n">
        <v>1950.98747273306</v>
      </c>
      <c r="I9" s="1" t="n">
        <v>1950.98747273306</v>
      </c>
      <c r="J9" s="1" t="n">
        <v>1950.98747273306</v>
      </c>
      <c r="K9" s="1" t="n">
        <v>2563.61638929175</v>
      </c>
      <c r="L9" s="1" t="n">
        <v>2563.61638929175</v>
      </c>
      <c r="M9" s="1" t="n">
        <v>2563.61638929175</v>
      </c>
      <c r="N9" s="1" t="n">
        <v>2563.61638929175</v>
      </c>
      <c r="O9" s="1" t="n">
        <v>2648.44193158449</v>
      </c>
      <c r="P9" s="1" t="n">
        <v>2648.44193158449</v>
      </c>
      <c r="Q9" s="1" t="n">
        <v>2648.44193158449</v>
      </c>
      <c r="R9" s="1" t="n">
        <v>2648.44193158449</v>
      </c>
      <c r="S9" s="1" t="n">
        <v>2648.44193158449</v>
      </c>
      <c r="T9" s="1" t="n">
        <v>1555.1349420336</v>
      </c>
      <c r="U9" s="1" t="n">
        <v>1555.1349420336</v>
      </c>
      <c r="V9" s="1" t="n">
        <v>1555.1349420336</v>
      </c>
      <c r="W9" s="1" t="n">
        <v>1555.1349420336</v>
      </c>
      <c r="X9" s="1" t="n">
        <v>2639.01687132974</v>
      </c>
      <c r="Y9" s="1" t="n">
        <v>2639.01687132974</v>
      </c>
      <c r="Z9" s="1" t="n">
        <v>2639.01687132974</v>
      </c>
      <c r="AA9" s="1" t="n">
        <v>2639.01687132974</v>
      </c>
      <c r="AB9" s="1" t="n">
        <v>2639.01687132974</v>
      </c>
      <c r="AC9" s="1" t="n">
        <v>1460.88433948611</v>
      </c>
      <c r="AD9" s="1" t="n">
        <v>1460.88433948611</v>
      </c>
      <c r="AE9" s="1" t="n">
        <v>1460.88433948611</v>
      </c>
      <c r="AF9" s="1" t="n">
        <v>1460.88433948611</v>
      </c>
      <c r="AG9" s="1" t="n">
        <v>1460.88433948611</v>
      </c>
      <c r="AH9" s="1" t="n">
        <v>1423.18409846711</v>
      </c>
      <c r="AI9" s="1" t="n">
        <v>1423.18409846711</v>
      </c>
      <c r="AJ9" s="1" t="n">
        <v>1423.18409846711</v>
      </c>
      <c r="AK9" s="1" t="n">
        <v>1423.18409846711</v>
      </c>
      <c r="AL9" s="1" t="n">
        <v>2723.84241362249</v>
      </c>
      <c r="AM9" s="1" t="n">
        <v>2723.84241362249</v>
      </c>
      <c r="AN9" s="1" t="n">
        <v>2723.84241362249</v>
      </c>
      <c r="AO9" s="1" t="n">
        <v>2723.84241362249</v>
      </c>
      <c r="AP9" s="1" t="n">
        <v>2723.84241362249</v>
      </c>
      <c r="AQ9" s="1" t="n">
        <v>2507.06602776326</v>
      </c>
      <c r="AR9" s="1" t="n">
        <v>2507.06602776326</v>
      </c>
      <c r="AS9" s="1" t="n">
        <v>2507.06602776326</v>
      </c>
      <c r="AT9" s="1" t="n">
        <v>2507.06602776326</v>
      </c>
      <c r="AU9" s="1" t="n">
        <v>3355.32145069067</v>
      </c>
      <c r="AV9" s="1" t="n">
        <v>3355.32145069067</v>
      </c>
      <c r="AW9" s="1" t="n">
        <v>3355.32145069067</v>
      </c>
      <c r="AX9" s="1" t="n">
        <v>3355.32145069067</v>
      </c>
      <c r="AY9" s="1" t="n">
        <v>3298.77108916218</v>
      </c>
      <c r="AZ9" s="1" t="n">
        <v>3298.77108916218</v>
      </c>
      <c r="BA9" s="1" t="n">
        <v>3298.77108916218</v>
      </c>
      <c r="BB9" s="1" t="n">
        <v>3298.77108916218</v>
      </c>
    </row>
    <row r="10" customFormat="false" ht="15" hidden="false" customHeight="false" outlineLevel="0" collapsed="false">
      <c r="A10" s="0" t="s">
        <v>60</v>
      </c>
      <c r="B10" s="1" t="n">
        <f aca="false">AVERAGE(C10:BB10)</f>
        <v>22884.7971961884</v>
      </c>
      <c r="C10" s="1" t="n">
        <v>16629.8456009151</v>
      </c>
      <c r="D10" s="1" t="n">
        <v>16629.8456009151</v>
      </c>
      <c r="E10" s="1" t="n">
        <v>16629.8456009151</v>
      </c>
      <c r="F10" s="1" t="n">
        <v>16629.8456009151</v>
      </c>
      <c r="G10" s="1" t="n">
        <v>19231.1622312259</v>
      </c>
      <c r="H10" s="1" t="n">
        <v>19231.1622312259</v>
      </c>
      <c r="I10" s="1" t="n">
        <v>19231.1622312259</v>
      </c>
      <c r="J10" s="1" t="n">
        <v>19231.1622312259</v>
      </c>
      <c r="K10" s="1" t="n">
        <v>25269.9329801615</v>
      </c>
      <c r="L10" s="1" t="n">
        <v>25269.9329801615</v>
      </c>
      <c r="M10" s="1" t="n">
        <v>25269.9329801615</v>
      </c>
      <c r="N10" s="1" t="n">
        <v>25269.9329801615</v>
      </c>
      <c r="O10" s="1" t="n">
        <v>26106.0704684757</v>
      </c>
      <c r="P10" s="1" t="n">
        <v>26106.0704684757</v>
      </c>
      <c r="Q10" s="1" t="n">
        <v>26106.0704684757</v>
      </c>
      <c r="R10" s="1" t="n">
        <v>26106.0704684757</v>
      </c>
      <c r="S10" s="1" t="n">
        <v>26106.0704684757</v>
      </c>
      <c r="T10" s="1" t="n">
        <v>15329.1872857598</v>
      </c>
      <c r="U10" s="1" t="n">
        <v>15329.1872857598</v>
      </c>
      <c r="V10" s="1" t="n">
        <v>15329.1872857598</v>
      </c>
      <c r="W10" s="1" t="n">
        <v>15329.1872857598</v>
      </c>
      <c r="X10" s="1" t="n">
        <v>26013.1663031075</v>
      </c>
      <c r="Y10" s="1" t="n">
        <v>26013.1663031075</v>
      </c>
      <c r="Z10" s="1" t="n">
        <v>26013.1663031075</v>
      </c>
      <c r="AA10" s="1" t="n">
        <v>26013.1663031075</v>
      </c>
      <c r="AB10" s="1" t="n">
        <v>26013.1663031075</v>
      </c>
      <c r="AC10" s="1" t="n">
        <v>14400.1456320774</v>
      </c>
      <c r="AD10" s="1" t="n">
        <v>14400.1456320774</v>
      </c>
      <c r="AE10" s="1" t="n">
        <v>14400.1456320774</v>
      </c>
      <c r="AF10" s="1" t="n">
        <v>14400.1456320774</v>
      </c>
      <c r="AG10" s="1" t="n">
        <v>14400.1456320774</v>
      </c>
      <c r="AH10" s="1" t="n">
        <v>14028.5289706044</v>
      </c>
      <c r="AI10" s="1" t="n">
        <v>14028.5289706044</v>
      </c>
      <c r="AJ10" s="1" t="n">
        <v>14028.5289706044</v>
      </c>
      <c r="AK10" s="1" t="n">
        <v>14028.5289706044</v>
      </c>
      <c r="AL10" s="1" t="n">
        <v>26849.3037914217</v>
      </c>
      <c r="AM10" s="1" t="n">
        <v>26849.3037914217</v>
      </c>
      <c r="AN10" s="1" t="n">
        <v>26849.3037914217</v>
      </c>
      <c r="AO10" s="1" t="n">
        <v>26849.3037914217</v>
      </c>
      <c r="AP10" s="1" t="n">
        <v>26849.3037914217</v>
      </c>
      <c r="AQ10" s="1" t="n">
        <v>24712.5079879521</v>
      </c>
      <c r="AR10" s="1" t="n">
        <v>24712.5079879521</v>
      </c>
      <c r="AS10" s="1" t="n">
        <v>24712.5079879521</v>
      </c>
      <c r="AT10" s="1" t="n">
        <v>24712.5079879521</v>
      </c>
      <c r="AU10" s="1" t="n">
        <v>33073.8828710938</v>
      </c>
      <c r="AV10" s="1" t="n">
        <v>33073.8828710938</v>
      </c>
      <c r="AW10" s="1" t="n">
        <v>33073.8828710938</v>
      </c>
      <c r="AX10" s="1" t="n">
        <v>33073.8828710938</v>
      </c>
      <c r="AY10" s="1" t="n">
        <v>32516.4578788843</v>
      </c>
      <c r="AZ10" s="1" t="n">
        <v>32516.4578788843</v>
      </c>
      <c r="BA10" s="1" t="n">
        <v>32516.4578788843</v>
      </c>
      <c r="BB10" s="1" t="n">
        <v>32516.4578788843</v>
      </c>
    </row>
    <row r="11" customFormat="false" ht="15" hidden="false" customHeight="false" outlineLevel="0" collapsed="false">
      <c r="A11" s="0" t="s">
        <v>61</v>
      </c>
      <c r="B11" s="1" t="n">
        <f aca="false">AVERAGE(C11:BB11)</f>
        <v>2321.64609236694</v>
      </c>
      <c r="C11" s="1" t="n">
        <v>1687.08578560009</v>
      </c>
      <c r="D11" s="1" t="n">
        <v>1687.08578560009</v>
      </c>
      <c r="E11" s="1" t="n">
        <v>1687.08578560009</v>
      </c>
      <c r="F11" s="1" t="n">
        <v>1687.08578560009</v>
      </c>
      <c r="G11" s="1" t="n">
        <v>1950.98747273306</v>
      </c>
      <c r="H11" s="1" t="n">
        <v>1950.98747273306</v>
      </c>
      <c r="I11" s="1" t="n">
        <v>1950.98747273306</v>
      </c>
      <c r="J11" s="1" t="n">
        <v>1950.98747273306</v>
      </c>
      <c r="K11" s="1" t="n">
        <v>2563.61638929175</v>
      </c>
      <c r="L11" s="1" t="n">
        <v>2563.61638929175</v>
      </c>
      <c r="M11" s="1" t="n">
        <v>2563.61638929175</v>
      </c>
      <c r="N11" s="1" t="n">
        <v>2563.61638929175</v>
      </c>
      <c r="O11" s="1" t="n">
        <v>2648.44193158449</v>
      </c>
      <c r="P11" s="1" t="n">
        <v>2648.44193158449</v>
      </c>
      <c r="Q11" s="1" t="n">
        <v>2648.44193158449</v>
      </c>
      <c r="R11" s="1" t="n">
        <v>2648.44193158449</v>
      </c>
      <c r="S11" s="1" t="n">
        <v>2648.44193158449</v>
      </c>
      <c r="T11" s="1" t="n">
        <v>1555.1349420336</v>
      </c>
      <c r="U11" s="1" t="n">
        <v>1555.1349420336</v>
      </c>
      <c r="V11" s="1" t="n">
        <v>1555.1349420336</v>
      </c>
      <c r="W11" s="1" t="n">
        <v>1555.1349420336</v>
      </c>
      <c r="X11" s="1" t="n">
        <v>2639.01687132974</v>
      </c>
      <c r="Y11" s="1" t="n">
        <v>2639.01687132974</v>
      </c>
      <c r="Z11" s="1" t="n">
        <v>2639.01687132974</v>
      </c>
      <c r="AA11" s="1" t="n">
        <v>2639.01687132974</v>
      </c>
      <c r="AB11" s="1" t="n">
        <v>2639.01687132974</v>
      </c>
      <c r="AC11" s="1" t="n">
        <v>1460.88433948611</v>
      </c>
      <c r="AD11" s="1" t="n">
        <v>1460.88433948611</v>
      </c>
      <c r="AE11" s="1" t="n">
        <v>1460.88433948611</v>
      </c>
      <c r="AF11" s="1" t="n">
        <v>1460.88433948611</v>
      </c>
      <c r="AG11" s="1" t="n">
        <v>1460.88433948611</v>
      </c>
      <c r="AH11" s="1" t="n">
        <v>1423.18409846711</v>
      </c>
      <c r="AI11" s="1" t="n">
        <v>1423.18409846711</v>
      </c>
      <c r="AJ11" s="1" t="n">
        <v>1423.18409846711</v>
      </c>
      <c r="AK11" s="1" t="n">
        <v>1423.18409846711</v>
      </c>
      <c r="AL11" s="1" t="n">
        <v>2723.84241362249</v>
      </c>
      <c r="AM11" s="1" t="n">
        <v>2723.84241362249</v>
      </c>
      <c r="AN11" s="1" t="n">
        <v>2723.84241362249</v>
      </c>
      <c r="AO11" s="1" t="n">
        <v>2723.84241362249</v>
      </c>
      <c r="AP11" s="1" t="n">
        <v>2723.84241362249</v>
      </c>
      <c r="AQ11" s="1" t="n">
        <v>2507.06602776326</v>
      </c>
      <c r="AR11" s="1" t="n">
        <v>2507.06602776326</v>
      </c>
      <c r="AS11" s="1" t="n">
        <v>2507.06602776326</v>
      </c>
      <c r="AT11" s="1" t="n">
        <v>2507.06602776326</v>
      </c>
      <c r="AU11" s="1" t="n">
        <v>3355.32145069067</v>
      </c>
      <c r="AV11" s="1" t="n">
        <v>3355.32145069067</v>
      </c>
      <c r="AW11" s="1" t="n">
        <v>3355.32145069067</v>
      </c>
      <c r="AX11" s="1" t="n">
        <v>3355.32145069067</v>
      </c>
      <c r="AY11" s="1" t="n">
        <v>3298.77108916218</v>
      </c>
      <c r="AZ11" s="1" t="n">
        <v>3298.77108916218</v>
      </c>
      <c r="BA11" s="1" t="n">
        <v>3298.77108916218</v>
      </c>
      <c r="BB11" s="1" t="n">
        <v>3298.77108916218</v>
      </c>
    </row>
    <row r="12" customFormat="false" ht="15" hidden="false" customHeight="false" outlineLevel="0" collapsed="false">
      <c r="A12" s="0" t="s">
        <v>62</v>
      </c>
      <c r="B12" s="1" t="n">
        <f aca="false">AVERAGE(C12:BB12)</f>
        <v>22884.7971961884</v>
      </c>
      <c r="C12" s="1" t="n">
        <v>16629.8456009151</v>
      </c>
      <c r="D12" s="1" t="n">
        <v>16629.8456009151</v>
      </c>
      <c r="E12" s="1" t="n">
        <v>16629.8456009151</v>
      </c>
      <c r="F12" s="1" t="n">
        <v>16629.8456009151</v>
      </c>
      <c r="G12" s="1" t="n">
        <v>19231.1622312259</v>
      </c>
      <c r="H12" s="1" t="n">
        <v>19231.1622312259</v>
      </c>
      <c r="I12" s="1" t="n">
        <v>19231.1622312259</v>
      </c>
      <c r="J12" s="1" t="n">
        <v>19231.1622312259</v>
      </c>
      <c r="K12" s="1" t="n">
        <v>25269.9329801615</v>
      </c>
      <c r="L12" s="1" t="n">
        <v>25269.9329801615</v>
      </c>
      <c r="M12" s="1" t="n">
        <v>25269.9329801615</v>
      </c>
      <c r="N12" s="1" t="n">
        <v>25269.9329801615</v>
      </c>
      <c r="O12" s="1" t="n">
        <v>26106.0704684757</v>
      </c>
      <c r="P12" s="1" t="n">
        <v>26106.0704684757</v>
      </c>
      <c r="Q12" s="1" t="n">
        <v>26106.0704684757</v>
      </c>
      <c r="R12" s="1" t="n">
        <v>26106.0704684757</v>
      </c>
      <c r="S12" s="1" t="n">
        <v>26106.0704684757</v>
      </c>
      <c r="T12" s="1" t="n">
        <v>15329.1872857598</v>
      </c>
      <c r="U12" s="1" t="n">
        <v>15329.1872857598</v>
      </c>
      <c r="V12" s="1" t="n">
        <v>15329.1872857598</v>
      </c>
      <c r="W12" s="1" t="n">
        <v>15329.1872857598</v>
      </c>
      <c r="X12" s="1" t="n">
        <v>26013.1663031075</v>
      </c>
      <c r="Y12" s="1" t="n">
        <v>26013.1663031075</v>
      </c>
      <c r="Z12" s="1" t="n">
        <v>26013.1663031075</v>
      </c>
      <c r="AA12" s="1" t="n">
        <v>26013.1663031075</v>
      </c>
      <c r="AB12" s="1" t="n">
        <v>26013.1663031075</v>
      </c>
      <c r="AC12" s="1" t="n">
        <v>14400.1456320774</v>
      </c>
      <c r="AD12" s="1" t="n">
        <v>14400.1456320774</v>
      </c>
      <c r="AE12" s="1" t="n">
        <v>14400.1456320774</v>
      </c>
      <c r="AF12" s="1" t="n">
        <v>14400.1456320774</v>
      </c>
      <c r="AG12" s="1" t="n">
        <v>14400.1456320774</v>
      </c>
      <c r="AH12" s="1" t="n">
        <v>14028.5289706044</v>
      </c>
      <c r="AI12" s="1" t="n">
        <v>14028.5289706044</v>
      </c>
      <c r="AJ12" s="1" t="n">
        <v>14028.5289706044</v>
      </c>
      <c r="AK12" s="1" t="n">
        <v>14028.5289706044</v>
      </c>
      <c r="AL12" s="1" t="n">
        <v>26849.3037914217</v>
      </c>
      <c r="AM12" s="1" t="n">
        <v>26849.3037914217</v>
      </c>
      <c r="AN12" s="1" t="n">
        <v>26849.3037914217</v>
      </c>
      <c r="AO12" s="1" t="n">
        <v>26849.3037914217</v>
      </c>
      <c r="AP12" s="1" t="n">
        <v>26849.3037914217</v>
      </c>
      <c r="AQ12" s="1" t="n">
        <v>24712.5079879521</v>
      </c>
      <c r="AR12" s="1" t="n">
        <v>24712.5079879521</v>
      </c>
      <c r="AS12" s="1" t="n">
        <v>24712.5079879521</v>
      </c>
      <c r="AT12" s="1" t="n">
        <v>24712.5079879521</v>
      </c>
      <c r="AU12" s="1" t="n">
        <v>33073.8828710938</v>
      </c>
      <c r="AV12" s="1" t="n">
        <v>33073.8828710938</v>
      </c>
      <c r="AW12" s="1" t="n">
        <v>33073.8828710938</v>
      </c>
      <c r="AX12" s="1" t="n">
        <v>33073.8828710938</v>
      </c>
      <c r="AY12" s="1" t="n">
        <v>32516.4578788843</v>
      </c>
      <c r="AZ12" s="1" t="n">
        <v>32516.4578788843</v>
      </c>
      <c r="BA12" s="1" t="n">
        <v>32516.4578788843</v>
      </c>
      <c r="BB12" s="1" t="n">
        <v>32516.4578788843</v>
      </c>
    </row>
    <row r="13" customFormat="false" ht="15" hidden="false" customHeight="false" outlineLevel="0" collapsed="false">
      <c r="A13" s="0" t="s">
        <v>63</v>
      </c>
      <c r="B13" s="1" t="n">
        <f aca="false">AVERAGE(C13:BB13)</f>
        <v>2321.64609236694</v>
      </c>
      <c r="C13" s="1" t="n">
        <v>1687.08578560009</v>
      </c>
      <c r="D13" s="1" t="n">
        <v>1687.08578560009</v>
      </c>
      <c r="E13" s="1" t="n">
        <v>1687.08578560009</v>
      </c>
      <c r="F13" s="1" t="n">
        <v>1687.08578560009</v>
      </c>
      <c r="G13" s="1" t="n">
        <v>1950.98747273306</v>
      </c>
      <c r="H13" s="1" t="n">
        <v>1950.98747273306</v>
      </c>
      <c r="I13" s="1" t="n">
        <v>1950.98747273306</v>
      </c>
      <c r="J13" s="1" t="n">
        <v>1950.98747273306</v>
      </c>
      <c r="K13" s="1" t="n">
        <v>2563.61638929175</v>
      </c>
      <c r="L13" s="1" t="n">
        <v>2563.61638929175</v>
      </c>
      <c r="M13" s="1" t="n">
        <v>2563.61638929175</v>
      </c>
      <c r="N13" s="1" t="n">
        <v>2563.61638929175</v>
      </c>
      <c r="O13" s="1" t="n">
        <v>2648.44193158449</v>
      </c>
      <c r="P13" s="1" t="n">
        <v>2648.44193158449</v>
      </c>
      <c r="Q13" s="1" t="n">
        <v>2648.44193158449</v>
      </c>
      <c r="R13" s="1" t="n">
        <v>2648.44193158449</v>
      </c>
      <c r="S13" s="1" t="n">
        <v>2648.44193158449</v>
      </c>
      <c r="T13" s="1" t="n">
        <v>1555.1349420336</v>
      </c>
      <c r="U13" s="1" t="n">
        <v>1555.1349420336</v>
      </c>
      <c r="V13" s="1" t="n">
        <v>1555.1349420336</v>
      </c>
      <c r="W13" s="1" t="n">
        <v>1555.1349420336</v>
      </c>
      <c r="X13" s="1" t="n">
        <v>2639.01687132974</v>
      </c>
      <c r="Y13" s="1" t="n">
        <v>2639.01687132974</v>
      </c>
      <c r="Z13" s="1" t="n">
        <v>2639.01687132974</v>
      </c>
      <c r="AA13" s="1" t="n">
        <v>2639.01687132974</v>
      </c>
      <c r="AB13" s="1" t="n">
        <v>2639.01687132974</v>
      </c>
      <c r="AC13" s="1" t="n">
        <v>1460.88433948611</v>
      </c>
      <c r="AD13" s="1" t="n">
        <v>1460.88433948611</v>
      </c>
      <c r="AE13" s="1" t="n">
        <v>1460.88433948611</v>
      </c>
      <c r="AF13" s="1" t="n">
        <v>1460.88433948611</v>
      </c>
      <c r="AG13" s="1" t="n">
        <v>1460.88433948611</v>
      </c>
      <c r="AH13" s="1" t="n">
        <v>1423.18409846711</v>
      </c>
      <c r="AI13" s="1" t="n">
        <v>1423.18409846711</v>
      </c>
      <c r="AJ13" s="1" t="n">
        <v>1423.18409846711</v>
      </c>
      <c r="AK13" s="1" t="n">
        <v>1423.18409846711</v>
      </c>
      <c r="AL13" s="1" t="n">
        <v>2723.84241362249</v>
      </c>
      <c r="AM13" s="1" t="n">
        <v>2723.84241362249</v>
      </c>
      <c r="AN13" s="1" t="n">
        <v>2723.84241362249</v>
      </c>
      <c r="AO13" s="1" t="n">
        <v>2723.84241362249</v>
      </c>
      <c r="AP13" s="1" t="n">
        <v>2723.84241362249</v>
      </c>
      <c r="AQ13" s="1" t="n">
        <v>2507.06602776326</v>
      </c>
      <c r="AR13" s="1" t="n">
        <v>2507.06602776326</v>
      </c>
      <c r="AS13" s="1" t="n">
        <v>2507.06602776326</v>
      </c>
      <c r="AT13" s="1" t="n">
        <v>2507.06602776326</v>
      </c>
      <c r="AU13" s="1" t="n">
        <v>3355.32145069067</v>
      </c>
      <c r="AV13" s="1" t="n">
        <v>3355.32145069067</v>
      </c>
      <c r="AW13" s="1" t="n">
        <v>3355.32145069067</v>
      </c>
      <c r="AX13" s="1" t="n">
        <v>3355.32145069067</v>
      </c>
      <c r="AY13" s="1" t="n">
        <v>3298.77108916218</v>
      </c>
      <c r="AZ13" s="1" t="n">
        <v>3298.77108916218</v>
      </c>
      <c r="BA13" s="1" t="n">
        <v>3298.77108916218</v>
      </c>
      <c r="BB13" s="1" t="n">
        <v>3298.77108916218</v>
      </c>
    </row>
    <row r="14" customFormat="false" ht="15" hidden="false" customHeight="false" outlineLevel="0" collapsed="false">
      <c r="A14" s="0" t="s">
        <v>64</v>
      </c>
      <c r="B14" s="1" t="n">
        <f aca="false">AVERAGE(C14:BB14)</f>
        <v>22884.7971961884</v>
      </c>
      <c r="C14" s="1" t="n">
        <v>16629.8456009151</v>
      </c>
      <c r="D14" s="1" t="n">
        <v>16629.8456009151</v>
      </c>
      <c r="E14" s="1" t="n">
        <v>16629.8456009151</v>
      </c>
      <c r="F14" s="1" t="n">
        <v>16629.8456009151</v>
      </c>
      <c r="G14" s="1" t="n">
        <v>19231.1622312259</v>
      </c>
      <c r="H14" s="1" t="n">
        <v>19231.1622312259</v>
      </c>
      <c r="I14" s="1" t="n">
        <v>19231.1622312259</v>
      </c>
      <c r="J14" s="1" t="n">
        <v>19231.1622312259</v>
      </c>
      <c r="K14" s="1" t="n">
        <v>25269.9329801615</v>
      </c>
      <c r="L14" s="1" t="n">
        <v>25269.9329801615</v>
      </c>
      <c r="M14" s="1" t="n">
        <v>25269.9329801615</v>
      </c>
      <c r="N14" s="1" t="n">
        <v>25269.9329801615</v>
      </c>
      <c r="O14" s="1" t="n">
        <v>26106.0704684757</v>
      </c>
      <c r="P14" s="1" t="n">
        <v>26106.0704684757</v>
      </c>
      <c r="Q14" s="1" t="n">
        <v>26106.0704684757</v>
      </c>
      <c r="R14" s="1" t="n">
        <v>26106.0704684757</v>
      </c>
      <c r="S14" s="1" t="n">
        <v>26106.0704684757</v>
      </c>
      <c r="T14" s="1" t="n">
        <v>15329.1872857598</v>
      </c>
      <c r="U14" s="1" t="n">
        <v>15329.1872857598</v>
      </c>
      <c r="V14" s="1" t="n">
        <v>15329.1872857598</v>
      </c>
      <c r="W14" s="1" t="n">
        <v>15329.1872857598</v>
      </c>
      <c r="X14" s="1" t="n">
        <v>26013.1663031075</v>
      </c>
      <c r="Y14" s="1" t="n">
        <v>26013.1663031075</v>
      </c>
      <c r="Z14" s="1" t="n">
        <v>26013.1663031075</v>
      </c>
      <c r="AA14" s="1" t="n">
        <v>26013.1663031075</v>
      </c>
      <c r="AB14" s="1" t="n">
        <v>26013.1663031075</v>
      </c>
      <c r="AC14" s="1" t="n">
        <v>14400.1456320774</v>
      </c>
      <c r="AD14" s="1" t="n">
        <v>14400.1456320774</v>
      </c>
      <c r="AE14" s="1" t="n">
        <v>14400.1456320774</v>
      </c>
      <c r="AF14" s="1" t="n">
        <v>14400.1456320774</v>
      </c>
      <c r="AG14" s="1" t="n">
        <v>14400.1456320774</v>
      </c>
      <c r="AH14" s="1" t="n">
        <v>14028.5289706044</v>
      </c>
      <c r="AI14" s="1" t="n">
        <v>14028.5289706044</v>
      </c>
      <c r="AJ14" s="1" t="n">
        <v>14028.5289706044</v>
      </c>
      <c r="AK14" s="1" t="n">
        <v>14028.5289706044</v>
      </c>
      <c r="AL14" s="1" t="n">
        <v>26849.3037914217</v>
      </c>
      <c r="AM14" s="1" t="n">
        <v>26849.3037914217</v>
      </c>
      <c r="AN14" s="1" t="n">
        <v>26849.3037914217</v>
      </c>
      <c r="AO14" s="1" t="n">
        <v>26849.3037914217</v>
      </c>
      <c r="AP14" s="1" t="n">
        <v>26849.3037914217</v>
      </c>
      <c r="AQ14" s="1" t="n">
        <v>24712.5079879521</v>
      </c>
      <c r="AR14" s="1" t="n">
        <v>24712.5079879521</v>
      </c>
      <c r="AS14" s="1" t="n">
        <v>24712.5079879521</v>
      </c>
      <c r="AT14" s="1" t="n">
        <v>24712.5079879521</v>
      </c>
      <c r="AU14" s="1" t="n">
        <v>33073.8828710938</v>
      </c>
      <c r="AV14" s="1" t="n">
        <v>33073.8828710938</v>
      </c>
      <c r="AW14" s="1" t="n">
        <v>33073.8828710938</v>
      </c>
      <c r="AX14" s="1" t="n">
        <v>33073.8828710938</v>
      </c>
      <c r="AY14" s="1" t="n">
        <v>32516.4578788843</v>
      </c>
      <c r="AZ14" s="1" t="n">
        <v>32516.4578788843</v>
      </c>
      <c r="BA14" s="1" t="n">
        <v>32516.4578788843</v>
      </c>
      <c r="BB14" s="1" t="n">
        <v>32516.4578788843</v>
      </c>
    </row>
    <row r="15" customFormat="false" ht="15" hidden="false" customHeight="false" outlineLevel="0" collapsed="false">
      <c r="A15" s="0" t="s">
        <v>65</v>
      </c>
      <c r="B15" s="1" t="n">
        <f aca="false">AVERAGE(C15:BB15)</f>
        <v>2321.64609236694</v>
      </c>
      <c r="C15" s="1" t="n">
        <v>1687.08578560009</v>
      </c>
      <c r="D15" s="1" t="n">
        <v>1687.08578560009</v>
      </c>
      <c r="E15" s="1" t="n">
        <v>1687.08578560009</v>
      </c>
      <c r="F15" s="1" t="n">
        <v>1687.08578560009</v>
      </c>
      <c r="G15" s="1" t="n">
        <v>1950.98747273306</v>
      </c>
      <c r="H15" s="1" t="n">
        <v>1950.98747273306</v>
      </c>
      <c r="I15" s="1" t="n">
        <v>1950.98747273306</v>
      </c>
      <c r="J15" s="1" t="n">
        <v>1950.98747273306</v>
      </c>
      <c r="K15" s="1" t="n">
        <v>2563.61638929175</v>
      </c>
      <c r="L15" s="1" t="n">
        <v>2563.61638929175</v>
      </c>
      <c r="M15" s="1" t="n">
        <v>2563.61638929175</v>
      </c>
      <c r="N15" s="1" t="n">
        <v>2563.61638929175</v>
      </c>
      <c r="O15" s="1" t="n">
        <v>2648.44193158449</v>
      </c>
      <c r="P15" s="1" t="n">
        <v>2648.44193158449</v>
      </c>
      <c r="Q15" s="1" t="n">
        <v>2648.44193158449</v>
      </c>
      <c r="R15" s="1" t="n">
        <v>2648.44193158449</v>
      </c>
      <c r="S15" s="1" t="n">
        <v>2648.44193158449</v>
      </c>
      <c r="T15" s="1" t="n">
        <v>1555.1349420336</v>
      </c>
      <c r="U15" s="1" t="n">
        <v>1555.1349420336</v>
      </c>
      <c r="V15" s="1" t="n">
        <v>1555.1349420336</v>
      </c>
      <c r="W15" s="1" t="n">
        <v>1555.1349420336</v>
      </c>
      <c r="X15" s="1" t="n">
        <v>2639.01687132974</v>
      </c>
      <c r="Y15" s="1" t="n">
        <v>2639.01687132974</v>
      </c>
      <c r="Z15" s="1" t="n">
        <v>2639.01687132974</v>
      </c>
      <c r="AA15" s="1" t="n">
        <v>2639.01687132974</v>
      </c>
      <c r="AB15" s="1" t="n">
        <v>2639.01687132974</v>
      </c>
      <c r="AC15" s="1" t="n">
        <v>1460.88433948611</v>
      </c>
      <c r="AD15" s="1" t="n">
        <v>1460.88433948611</v>
      </c>
      <c r="AE15" s="1" t="n">
        <v>1460.88433948611</v>
      </c>
      <c r="AF15" s="1" t="n">
        <v>1460.88433948611</v>
      </c>
      <c r="AG15" s="1" t="n">
        <v>1460.88433948611</v>
      </c>
      <c r="AH15" s="1" t="n">
        <v>1423.18409846711</v>
      </c>
      <c r="AI15" s="1" t="n">
        <v>1423.18409846711</v>
      </c>
      <c r="AJ15" s="1" t="n">
        <v>1423.18409846711</v>
      </c>
      <c r="AK15" s="1" t="n">
        <v>1423.18409846711</v>
      </c>
      <c r="AL15" s="1" t="n">
        <v>2723.84241362249</v>
      </c>
      <c r="AM15" s="1" t="n">
        <v>2723.84241362249</v>
      </c>
      <c r="AN15" s="1" t="n">
        <v>2723.84241362249</v>
      </c>
      <c r="AO15" s="1" t="n">
        <v>2723.84241362249</v>
      </c>
      <c r="AP15" s="1" t="n">
        <v>2723.84241362249</v>
      </c>
      <c r="AQ15" s="1" t="n">
        <v>2507.06602776326</v>
      </c>
      <c r="AR15" s="1" t="n">
        <v>2507.06602776326</v>
      </c>
      <c r="AS15" s="1" t="n">
        <v>2507.06602776326</v>
      </c>
      <c r="AT15" s="1" t="n">
        <v>2507.06602776326</v>
      </c>
      <c r="AU15" s="1" t="n">
        <v>3355.32145069067</v>
      </c>
      <c r="AV15" s="1" t="n">
        <v>3355.32145069067</v>
      </c>
      <c r="AW15" s="1" t="n">
        <v>3355.32145069067</v>
      </c>
      <c r="AX15" s="1" t="n">
        <v>3355.32145069067</v>
      </c>
      <c r="AY15" s="1" t="n">
        <v>3298.77108916218</v>
      </c>
      <c r="AZ15" s="1" t="n">
        <v>3298.77108916218</v>
      </c>
      <c r="BA15" s="1" t="n">
        <v>3298.77108916218</v>
      </c>
      <c r="BB15" s="1" t="n">
        <v>3298.77108916218</v>
      </c>
    </row>
    <row r="16" customFormat="false" ht="15" hidden="false" customHeight="false" outlineLevel="0" collapsed="false">
      <c r="A16" s="0" t="s">
        <v>66</v>
      </c>
      <c r="B16" s="1" t="n">
        <f aca="false">AVERAGE(C16:BB16)</f>
        <v>22884.7971961884</v>
      </c>
      <c r="C16" s="1" t="n">
        <v>16629.8456009151</v>
      </c>
      <c r="D16" s="1" t="n">
        <v>16629.8456009151</v>
      </c>
      <c r="E16" s="1" t="n">
        <v>16629.8456009151</v>
      </c>
      <c r="F16" s="1" t="n">
        <v>16629.8456009151</v>
      </c>
      <c r="G16" s="1" t="n">
        <v>19231.1622312259</v>
      </c>
      <c r="H16" s="1" t="n">
        <v>19231.1622312259</v>
      </c>
      <c r="I16" s="1" t="n">
        <v>19231.1622312259</v>
      </c>
      <c r="J16" s="1" t="n">
        <v>19231.1622312259</v>
      </c>
      <c r="K16" s="1" t="n">
        <v>25269.9329801615</v>
      </c>
      <c r="L16" s="1" t="n">
        <v>25269.9329801615</v>
      </c>
      <c r="M16" s="1" t="n">
        <v>25269.9329801615</v>
      </c>
      <c r="N16" s="1" t="n">
        <v>25269.9329801615</v>
      </c>
      <c r="O16" s="1" t="n">
        <v>26106.0704684757</v>
      </c>
      <c r="P16" s="1" t="n">
        <v>26106.0704684757</v>
      </c>
      <c r="Q16" s="1" t="n">
        <v>26106.0704684757</v>
      </c>
      <c r="R16" s="1" t="n">
        <v>26106.0704684757</v>
      </c>
      <c r="S16" s="1" t="n">
        <v>26106.0704684757</v>
      </c>
      <c r="T16" s="1" t="n">
        <v>15329.1872857598</v>
      </c>
      <c r="U16" s="1" t="n">
        <v>15329.1872857598</v>
      </c>
      <c r="V16" s="1" t="n">
        <v>15329.1872857598</v>
      </c>
      <c r="W16" s="1" t="n">
        <v>15329.1872857598</v>
      </c>
      <c r="X16" s="1" t="n">
        <v>26013.1663031075</v>
      </c>
      <c r="Y16" s="1" t="n">
        <v>26013.1663031075</v>
      </c>
      <c r="Z16" s="1" t="n">
        <v>26013.1663031075</v>
      </c>
      <c r="AA16" s="1" t="n">
        <v>26013.1663031075</v>
      </c>
      <c r="AB16" s="1" t="n">
        <v>26013.1663031075</v>
      </c>
      <c r="AC16" s="1" t="n">
        <v>14400.1456320774</v>
      </c>
      <c r="AD16" s="1" t="n">
        <v>14400.1456320774</v>
      </c>
      <c r="AE16" s="1" t="n">
        <v>14400.1456320774</v>
      </c>
      <c r="AF16" s="1" t="n">
        <v>14400.1456320774</v>
      </c>
      <c r="AG16" s="1" t="n">
        <v>14400.1456320774</v>
      </c>
      <c r="AH16" s="1" t="n">
        <v>14028.5289706044</v>
      </c>
      <c r="AI16" s="1" t="n">
        <v>14028.5289706044</v>
      </c>
      <c r="AJ16" s="1" t="n">
        <v>14028.5289706044</v>
      </c>
      <c r="AK16" s="1" t="n">
        <v>14028.5289706044</v>
      </c>
      <c r="AL16" s="1" t="n">
        <v>26849.3037914217</v>
      </c>
      <c r="AM16" s="1" t="n">
        <v>26849.3037914217</v>
      </c>
      <c r="AN16" s="1" t="n">
        <v>26849.3037914217</v>
      </c>
      <c r="AO16" s="1" t="n">
        <v>26849.3037914217</v>
      </c>
      <c r="AP16" s="1" t="n">
        <v>26849.3037914217</v>
      </c>
      <c r="AQ16" s="1" t="n">
        <v>24712.5079879521</v>
      </c>
      <c r="AR16" s="1" t="n">
        <v>24712.5079879521</v>
      </c>
      <c r="AS16" s="1" t="n">
        <v>24712.5079879521</v>
      </c>
      <c r="AT16" s="1" t="n">
        <v>24712.5079879521</v>
      </c>
      <c r="AU16" s="1" t="n">
        <v>33073.8828710938</v>
      </c>
      <c r="AV16" s="1" t="n">
        <v>33073.8828710938</v>
      </c>
      <c r="AW16" s="1" t="n">
        <v>33073.8828710938</v>
      </c>
      <c r="AX16" s="1" t="n">
        <v>33073.8828710938</v>
      </c>
      <c r="AY16" s="1" t="n">
        <v>32516.4578788843</v>
      </c>
      <c r="AZ16" s="1" t="n">
        <v>32516.4578788843</v>
      </c>
      <c r="BA16" s="1" t="n">
        <v>32516.4578788843</v>
      </c>
      <c r="BB16" s="1" t="n">
        <v>32516.4578788843</v>
      </c>
    </row>
    <row r="17" customFormat="false" ht="15" hidden="false" customHeight="false" outlineLevel="0" collapsed="false">
      <c r="A17" s="0" t="s">
        <v>67</v>
      </c>
      <c r="B17" s="1" t="n">
        <f aca="false">AVERAGE(C17:BB17)</f>
        <v>2666.87805390545</v>
      </c>
      <c r="C17" s="1" t="n">
        <v>1937.95775827558</v>
      </c>
      <c r="D17" s="1" t="n">
        <v>1937.95775827558</v>
      </c>
      <c r="E17" s="1" t="n">
        <v>1937.95775827558</v>
      </c>
      <c r="F17" s="1" t="n">
        <v>1937.95775827558</v>
      </c>
      <c r="G17" s="1" t="n">
        <v>2241.10198862036</v>
      </c>
      <c r="H17" s="1" t="n">
        <v>2241.10198862036</v>
      </c>
      <c r="I17" s="1" t="n">
        <v>2241.10198862036</v>
      </c>
      <c r="J17" s="1" t="n">
        <v>2241.10198862036</v>
      </c>
      <c r="K17" s="1" t="n">
        <v>2944.82966620647</v>
      </c>
      <c r="L17" s="1" t="n">
        <v>2944.82966620647</v>
      </c>
      <c r="M17" s="1" t="n">
        <v>2944.82966620647</v>
      </c>
      <c r="N17" s="1" t="n">
        <v>2944.82966620647</v>
      </c>
      <c r="O17" s="1" t="n">
        <v>3042.268883103</v>
      </c>
      <c r="P17" s="1" t="n">
        <v>3042.268883103</v>
      </c>
      <c r="Q17" s="1" t="n">
        <v>3042.268883103</v>
      </c>
      <c r="R17" s="1" t="n">
        <v>3042.268883103</v>
      </c>
      <c r="S17" s="1" t="n">
        <v>3042.268883103</v>
      </c>
      <c r="T17" s="1" t="n">
        <v>1786.38564310319</v>
      </c>
      <c r="U17" s="1" t="n">
        <v>1786.38564310319</v>
      </c>
      <c r="V17" s="1" t="n">
        <v>1786.38564310319</v>
      </c>
      <c r="W17" s="1" t="n">
        <v>1786.38564310319</v>
      </c>
      <c r="X17" s="1" t="n">
        <v>3031.44230344783</v>
      </c>
      <c r="Y17" s="1" t="n">
        <v>3031.44230344783</v>
      </c>
      <c r="Z17" s="1" t="n">
        <v>3031.44230344783</v>
      </c>
      <c r="AA17" s="1" t="n">
        <v>3031.44230344783</v>
      </c>
      <c r="AB17" s="1" t="n">
        <v>3031.44230344783</v>
      </c>
      <c r="AC17" s="1" t="n">
        <v>1678.11984655148</v>
      </c>
      <c r="AD17" s="1" t="n">
        <v>1678.11984655148</v>
      </c>
      <c r="AE17" s="1" t="n">
        <v>1678.11984655148</v>
      </c>
      <c r="AF17" s="1" t="n">
        <v>1678.11984655148</v>
      </c>
      <c r="AG17" s="1" t="n">
        <v>1678.11984655148</v>
      </c>
      <c r="AH17" s="1" t="n">
        <v>1634.8135279308</v>
      </c>
      <c r="AI17" s="1" t="n">
        <v>1634.8135279308</v>
      </c>
      <c r="AJ17" s="1" t="n">
        <v>1634.8135279308</v>
      </c>
      <c r="AK17" s="1" t="n">
        <v>1634.8135279308</v>
      </c>
      <c r="AL17" s="1" t="n">
        <v>3128.88152034437</v>
      </c>
      <c r="AM17" s="1" t="n">
        <v>3128.88152034437</v>
      </c>
      <c r="AN17" s="1" t="n">
        <v>3128.88152034437</v>
      </c>
      <c r="AO17" s="1" t="n">
        <v>3128.88152034437</v>
      </c>
      <c r="AP17" s="1" t="n">
        <v>3128.88152034437</v>
      </c>
      <c r="AQ17" s="1" t="n">
        <v>2879.87018827544</v>
      </c>
      <c r="AR17" s="1" t="n">
        <v>2879.87018827544</v>
      </c>
      <c r="AS17" s="1" t="n">
        <v>2879.87018827544</v>
      </c>
      <c r="AT17" s="1" t="n">
        <v>2879.87018827544</v>
      </c>
      <c r="AU17" s="1" t="n">
        <v>3854.26235724082</v>
      </c>
      <c r="AV17" s="1" t="n">
        <v>3854.26235724082</v>
      </c>
      <c r="AW17" s="1" t="n">
        <v>3854.26235724082</v>
      </c>
      <c r="AX17" s="1" t="n">
        <v>3854.26235724082</v>
      </c>
      <c r="AY17" s="1" t="n">
        <v>3789.30287930979</v>
      </c>
      <c r="AZ17" s="1" t="n">
        <v>3789.30287930979</v>
      </c>
      <c r="BA17" s="1" t="n">
        <v>3789.30287930979</v>
      </c>
      <c r="BB17" s="1" t="n">
        <v>3789.30287930979</v>
      </c>
    </row>
    <row r="18" customFormat="false" ht="15" hidden="false" customHeight="false" outlineLevel="0" collapsed="false">
      <c r="A18" s="0" t="s">
        <v>68</v>
      </c>
      <c r="B18" s="1" t="n">
        <f aca="false">AVERAGE(C18:BB18)</f>
        <v>4838.42358497365</v>
      </c>
      <c r="C18" s="1" t="n">
        <v>3515.96898500544</v>
      </c>
      <c r="D18" s="1" t="n">
        <v>3515.96898500544</v>
      </c>
      <c r="E18" s="1" t="n">
        <v>3515.96898500544</v>
      </c>
      <c r="F18" s="1" t="n">
        <v>3515.96898500544</v>
      </c>
      <c r="G18" s="1" t="n">
        <v>4065.95296031356</v>
      </c>
      <c r="H18" s="1" t="n">
        <v>4065.95296031356</v>
      </c>
      <c r="I18" s="1" t="n">
        <v>4065.95296031356</v>
      </c>
      <c r="J18" s="1" t="n">
        <v>4065.95296031356</v>
      </c>
      <c r="K18" s="1" t="n">
        <v>5342.70147442168</v>
      </c>
      <c r="L18" s="1" t="n">
        <v>5342.70147442168</v>
      </c>
      <c r="M18" s="1" t="n">
        <v>5342.70147442168</v>
      </c>
      <c r="N18" s="1" t="n">
        <v>5342.70147442168</v>
      </c>
      <c r="O18" s="1" t="n">
        <v>5519.48203791358</v>
      </c>
      <c r="P18" s="1" t="n">
        <v>5519.48203791358</v>
      </c>
      <c r="Q18" s="1" t="n">
        <v>5519.48203791358</v>
      </c>
      <c r="R18" s="1" t="n">
        <v>5519.48203791358</v>
      </c>
      <c r="S18" s="1" t="n">
        <v>5519.48203791358</v>
      </c>
      <c r="T18" s="1" t="n">
        <v>3240.97699735139</v>
      </c>
      <c r="U18" s="1" t="n">
        <v>3240.97699735139</v>
      </c>
      <c r="V18" s="1" t="n">
        <v>3240.97699735139</v>
      </c>
      <c r="W18" s="1" t="n">
        <v>3240.97699735139</v>
      </c>
      <c r="X18" s="1" t="n">
        <v>5499.83975308114</v>
      </c>
      <c r="Y18" s="1" t="n">
        <v>5499.83975308114</v>
      </c>
      <c r="Z18" s="1" t="n">
        <v>5499.83975308114</v>
      </c>
      <c r="AA18" s="1" t="n">
        <v>5499.83975308114</v>
      </c>
      <c r="AB18" s="1" t="n">
        <v>5499.83975308114</v>
      </c>
      <c r="AC18" s="1" t="n">
        <v>3044.55414902706</v>
      </c>
      <c r="AD18" s="1" t="n">
        <v>3044.55414902706</v>
      </c>
      <c r="AE18" s="1" t="n">
        <v>3044.55414902706</v>
      </c>
      <c r="AF18" s="1" t="n">
        <v>3044.55414902706</v>
      </c>
      <c r="AG18" s="1" t="n">
        <v>3044.55414902706</v>
      </c>
      <c r="AH18" s="1" t="n">
        <v>2965.98500969733</v>
      </c>
      <c r="AI18" s="1" t="n">
        <v>2965.98500969733</v>
      </c>
      <c r="AJ18" s="1" t="n">
        <v>2965.98500969733</v>
      </c>
      <c r="AK18" s="1" t="n">
        <v>2965.98500969733</v>
      </c>
      <c r="AL18" s="1" t="n">
        <v>5676.62031657304</v>
      </c>
      <c r="AM18" s="1" t="n">
        <v>5676.62031657304</v>
      </c>
      <c r="AN18" s="1" t="n">
        <v>5676.62031657304</v>
      </c>
      <c r="AO18" s="1" t="n">
        <v>5676.62031657304</v>
      </c>
      <c r="AP18" s="1" t="n">
        <v>5676.62031657304</v>
      </c>
      <c r="AQ18" s="1" t="n">
        <v>5224.84776542709</v>
      </c>
      <c r="AR18" s="1" t="n">
        <v>5224.84776542709</v>
      </c>
      <c r="AS18" s="1" t="n">
        <v>5224.84776542709</v>
      </c>
      <c r="AT18" s="1" t="n">
        <v>5224.84776542709</v>
      </c>
      <c r="AU18" s="1" t="n">
        <v>6992.65340034603</v>
      </c>
      <c r="AV18" s="1" t="n">
        <v>6992.65340034603</v>
      </c>
      <c r="AW18" s="1" t="n">
        <v>6992.65340034603</v>
      </c>
      <c r="AX18" s="1" t="n">
        <v>6992.65340034603</v>
      </c>
      <c r="AY18" s="1" t="n">
        <v>6874.79969135143</v>
      </c>
      <c r="AZ18" s="1" t="n">
        <v>6874.79969135143</v>
      </c>
      <c r="BA18" s="1" t="n">
        <v>6874.79969135143</v>
      </c>
      <c r="BB18" s="1" t="n">
        <v>6874.79969135143</v>
      </c>
    </row>
    <row r="19" customFormat="false" ht="15" hidden="false" customHeight="false" outlineLevel="0" collapsed="false">
      <c r="A19" s="0" t="s">
        <v>69</v>
      </c>
      <c r="B19" s="1" t="n">
        <f aca="false">AVERAGE(C19:BB19)</f>
        <v>2666.87805390545</v>
      </c>
      <c r="C19" s="1" t="n">
        <v>1937.95775827558</v>
      </c>
      <c r="D19" s="1" t="n">
        <v>1937.95775827558</v>
      </c>
      <c r="E19" s="1" t="n">
        <v>1937.95775827558</v>
      </c>
      <c r="F19" s="1" t="n">
        <v>1937.95775827558</v>
      </c>
      <c r="G19" s="1" t="n">
        <v>2241.10198862036</v>
      </c>
      <c r="H19" s="1" t="n">
        <v>2241.10198862036</v>
      </c>
      <c r="I19" s="1" t="n">
        <v>2241.10198862036</v>
      </c>
      <c r="J19" s="1" t="n">
        <v>2241.10198862036</v>
      </c>
      <c r="K19" s="1" t="n">
        <v>2944.82966620647</v>
      </c>
      <c r="L19" s="1" t="n">
        <v>2944.82966620647</v>
      </c>
      <c r="M19" s="1" t="n">
        <v>2944.82966620647</v>
      </c>
      <c r="N19" s="1" t="n">
        <v>2944.82966620647</v>
      </c>
      <c r="O19" s="1" t="n">
        <v>3042.268883103</v>
      </c>
      <c r="P19" s="1" t="n">
        <v>3042.268883103</v>
      </c>
      <c r="Q19" s="1" t="n">
        <v>3042.268883103</v>
      </c>
      <c r="R19" s="1" t="n">
        <v>3042.268883103</v>
      </c>
      <c r="S19" s="1" t="n">
        <v>3042.268883103</v>
      </c>
      <c r="T19" s="1" t="n">
        <v>1786.38564310319</v>
      </c>
      <c r="U19" s="1" t="n">
        <v>1786.38564310319</v>
      </c>
      <c r="V19" s="1" t="n">
        <v>1786.38564310319</v>
      </c>
      <c r="W19" s="1" t="n">
        <v>1786.38564310319</v>
      </c>
      <c r="X19" s="1" t="n">
        <v>3031.44230344783</v>
      </c>
      <c r="Y19" s="1" t="n">
        <v>3031.44230344783</v>
      </c>
      <c r="Z19" s="1" t="n">
        <v>3031.44230344783</v>
      </c>
      <c r="AA19" s="1" t="n">
        <v>3031.44230344783</v>
      </c>
      <c r="AB19" s="1" t="n">
        <v>3031.44230344783</v>
      </c>
      <c r="AC19" s="1" t="n">
        <v>1678.11984655148</v>
      </c>
      <c r="AD19" s="1" t="n">
        <v>1678.11984655148</v>
      </c>
      <c r="AE19" s="1" t="n">
        <v>1678.11984655148</v>
      </c>
      <c r="AF19" s="1" t="n">
        <v>1678.11984655148</v>
      </c>
      <c r="AG19" s="1" t="n">
        <v>1678.11984655148</v>
      </c>
      <c r="AH19" s="1" t="n">
        <v>1634.8135279308</v>
      </c>
      <c r="AI19" s="1" t="n">
        <v>1634.8135279308</v>
      </c>
      <c r="AJ19" s="1" t="n">
        <v>1634.8135279308</v>
      </c>
      <c r="AK19" s="1" t="n">
        <v>1634.8135279308</v>
      </c>
      <c r="AL19" s="1" t="n">
        <v>3128.88152034437</v>
      </c>
      <c r="AM19" s="1" t="n">
        <v>3128.88152034437</v>
      </c>
      <c r="AN19" s="1" t="n">
        <v>3128.88152034437</v>
      </c>
      <c r="AO19" s="1" t="n">
        <v>3128.88152034437</v>
      </c>
      <c r="AP19" s="1" t="n">
        <v>3128.88152034437</v>
      </c>
      <c r="AQ19" s="1" t="n">
        <v>2879.87018827544</v>
      </c>
      <c r="AR19" s="1" t="n">
        <v>2879.87018827544</v>
      </c>
      <c r="AS19" s="1" t="n">
        <v>2879.87018827544</v>
      </c>
      <c r="AT19" s="1" t="n">
        <v>2879.87018827544</v>
      </c>
      <c r="AU19" s="1" t="n">
        <v>3854.26235724082</v>
      </c>
      <c r="AV19" s="1" t="n">
        <v>3854.26235724082</v>
      </c>
      <c r="AW19" s="1" t="n">
        <v>3854.26235724082</v>
      </c>
      <c r="AX19" s="1" t="n">
        <v>3854.26235724082</v>
      </c>
      <c r="AY19" s="1" t="n">
        <v>3789.30287930979</v>
      </c>
      <c r="AZ19" s="1" t="n">
        <v>3789.30287930979</v>
      </c>
      <c r="BA19" s="1" t="n">
        <v>3789.30287930979</v>
      </c>
      <c r="BB19" s="1" t="n">
        <v>3789.30287930979</v>
      </c>
    </row>
    <row r="20" customFormat="false" ht="15" hidden="false" customHeight="false" outlineLevel="0" collapsed="false">
      <c r="A20" s="0" t="s">
        <v>70</v>
      </c>
      <c r="B20" s="1" t="n">
        <f aca="false">AVERAGE(C20:BB20)</f>
        <v>2666.87805390545</v>
      </c>
      <c r="C20" s="1" t="n">
        <v>1937.95775827558</v>
      </c>
      <c r="D20" s="1" t="n">
        <v>1937.95775827558</v>
      </c>
      <c r="E20" s="1" t="n">
        <v>1937.95775827558</v>
      </c>
      <c r="F20" s="1" t="n">
        <v>1937.95775827558</v>
      </c>
      <c r="G20" s="1" t="n">
        <v>2241.10198862036</v>
      </c>
      <c r="H20" s="1" t="n">
        <v>2241.10198862036</v>
      </c>
      <c r="I20" s="1" t="n">
        <v>2241.10198862036</v>
      </c>
      <c r="J20" s="1" t="n">
        <v>2241.10198862036</v>
      </c>
      <c r="K20" s="1" t="n">
        <v>2944.82966620647</v>
      </c>
      <c r="L20" s="1" t="n">
        <v>2944.82966620647</v>
      </c>
      <c r="M20" s="1" t="n">
        <v>2944.82966620647</v>
      </c>
      <c r="N20" s="1" t="n">
        <v>2944.82966620647</v>
      </c>
      <c r="O20" s="1" t="n">
        <v>3042.268883103</v>
      </c>
      <c r="P20" s="1" t="n">
        <v>3042.268883103</v>
      </c>
      <c r="Q20" s="1" t="n">
        <v>3042.268883103</v>
      </c>
      <c r="R20" s="1" t="n">
        <v>3042.268883103</v>
      </c>
      <c r="S20" s="1" t="n">
        <v>3042.268883103</v>
      </c>
      <c r="T20" s="1" t="n">
        <v>1786.38564310319</v>
      </c>
      <c r="U20" s="1" t="n">
        <v>1786.38564310319</v>
      </c>
      <c r="V20" s="1" t="n">
        <v>1786.38564310319</v>
      </c>
      <c r="W20" s="1" t="n">
        <v>1786.38564310319</v>
      </c>
      <c r="X20" s="1" t="n">
        <v>3031.44230344783</v>
      </c>
      <c r="Y20" s="1" t="n">
        <v>3031.44230344783</v>
      </c>
      <c r="Z20" s="1" t="n">
        <v>3031.44230344783</v>
      </c>
      <c r="AA20" s="1" t="n">
        <v>3031.44230344783</v>
      </c>
      <c r="AB20" s="1" t="n">
        <v>3031.44230344783</v>
      </c>
      <c r="AC20" s="1" t="n">
        <v>1678.11984655148</v>
      </c>
      <c r="AD20" s="1" t="n">
        <v>1678.11984655148</v>
      </c>
      <c r="AE20" s="1" t="n">
        <v>1678.11984655148</v>
      </c>
      <c r="AF20" s="1" t="n">
        <v>1678.11984655148</v>
      </c>
      <c r="AG20" s="1" t="n">
        <v>1678.11984655148</v>
      </c>
      <c r="AH20" s="1" t="n">
        <v>1634.8135279308</v>
      </c>
      <c r="AI20" s="1" t="n">
        <v>1634.8135279308</v>
      </c>
      <c r="AJ20" s="1" t="n">
        <v>1634.8135279308</v>
      </c>
      <c r="AK20" s="1" t="n">
        <v>1634.8135279308</v>
      </c>
      <c r="AL20" s="1" t="n">
        <v>3128.88152034437</v>
      </c>
      <c r="AM20" s="1" t="n">
        <v>3128.88152034437</v>
      </c>
      <c r="AN20" s="1" t="n">
        <v>3128.88152034437</v>
      </c>
      <c r="AO20" s="1" t="n">
        <v>3128.88152034437</v>
      </c>
      <c r="AP20" s="1" t="n">
        <v>3128.88152034437</v>
      </c>
      <c r="AQ20" s="1" t="n">
        <v>2879.87018827544</v>
      </c>
      <c r="AR20" s="1" t="n">
        <v>2879.87018827544</v>
      </c>
      <c r="AS20" s="1" t="n">
        <v>2879.87018827544</v>
      </c>
      <c r="AT20" s="1" t="n">
        <v>2879.87018827544</v>
      </c>
      <c r="AU20" s="1" t="n">
        <v>3854.26235724082</v>
      </c>
      <c r="AV20" s="1" t="n">
        <v>3854.26235724082</v>
      </c>
      <c r="AW20" s="1" t="n">
        <v>3854.26235724082</v>
      </c>
      <c r="AX20" s="1" t="n">
        <v>3854.26235724082</v>
      </c>
      <c r="AY20" s="1" t="n">
        <v>3789.30287930979</v>
      </c>
      <c r="AZ20" s="1" t="n">
        <v>3789.30287930979</v>
      </c>
      <c r="BA20" s="1" t="n">
        <v>3789.30287930979</v>
      </c>
      <c r="BB20" s="1" t="n">
        <v>3789.30287930979</v>
      </c>
    </row>
    <row r="21" customFormat="false" ht="15" hidden="false" customHeight="false" outlineLevel="0" collapsed="false">
      <c r="A21" s="0" t="s">
        <v>71</v>
      </c>
      <c r="B21" s="1" t="n">
        <f aca="false">AVERAGE(C21:BB21)</f>
        <v>4838.42358497365</v>
      </c>
      <c r="C21" s="1" t="n">
        <v>3515.96898500544</v>
      </c>
      <c r="D21" s="1" t="n">
        <v>3515.96898500544</v>
      </c>
      <c r="E21" s="1" t="n">
        <v>3515.96898500544</v>
      </c>
      <c r="F21" s="1" t="n">
        <v>3515.96898500544</v>
      </c>
      <c r="G21" s="1" t="n">
        <v>4065.95296031356</v>
      </c>
      <c r="H21" s="1" t="n">
        <v>4065.95296031356</v>
      </c>
      <c r="I21" s="1" t="n">
        <v>4065.95296031356</v>
      </c>
      <c r="J21" s="1" t="n">
        <v>4065.95296031356</v>
      </c>
      <c r="K21" s="1" t="n">
        <v>5342.70147442168</v>
      </c>
      <c r="L21" s="1" t="n">
        <v>5342.70147442168</v>
      </c>
      <c r="M21" s="1" t="n">
        <v>5342.70147442168</v>
      </c>
      <c r="N21" s="1" t="n">
        <v>5342.70147442168</v>
      </c>
      <c r="O21" s="1" t="n">
        <v>5519.48203791358</v>
      </c>
      <c r="P21" s="1" t="n">
        <v>5519.48203791358</v>
      </c>
      <c r="Q21" s="1" t="n">
        <v>5519.48203791358</v>
      </c>
      <c r="R21" s="1" t="n">
        <v>5519.48203791358</v>
      </c>
      <c r="S21" s="1" t="n">
        <v>5519.48203791358</v>
      </c>
      <c r="T21" s="1" t="n">
        <v>3240.97699735139</v>
      </c>
      <c r="U21" s="1" t="n">
        <v>3240.97699735139</v>
      </c>
      <c r="V21" s="1" t="n">
        <v>3240.97699735139</v>
      </c>
      <c r="W21" s="1" t="n">
        <v>3240.97699735139</v>
      </c>
      <c r="X21" s="1" t="n">
        <v>5499.83975308114</v>
      </c>
      <c r="Y21" s="1" t="n">
        <v>5499.83975308114</v>
      </c>
      <c r="Z21" s="1" t="n">
        <v>5499.83975308114</v>
      </c>
      <c r="AA21" s="1" t="n">
        <v>5499.83975308114</v>
      </c>
      <c r="AB21" s="1" t="n">
        <v>5499.83975308114</v>
      </c>
      <c r="AC21" s="1" t="n">
        <v>3044.55414902706</v>
      </c>
      <c r="AD21" s="1" t="n">
        <v>3044.55414902706</v>
      </c>
      <c r="AE21" s="1" t="n">
        <v>3044.55414902706</v>
      </c>
      <c r="AF21" s="1" t="n">
        <v>3044.55414902706</v>
      </c>
      <c r="AG21" s="1" t="n">
        <v>3044.55414902706</v>
      </c>
      <c r="AH21" s="1" t="n">
        <v>2965.98500969733</v>
      </c>
      <c r="AI21" s="1" t="n">
        <v>2965.98500969733</v>
      </c>
      <c r="AJ21" s="1" t="n">
        <v>2965.98500969733</v>
      </c>
      <c r="AK21" s="1" t="n">
        <v>2965.98500969733</v>
      </c>
      <c r="AL21" s="1" t="n">
        <v>5676.62031657304</v>
      </c>
      <c r="AM21" s="1" t="n">
        <v>5676.62031657304</v>
      </c>
      <c r="AN21" s="1" t="n">
        <v>5676.62031657304</v>
      </c>
      <c r="AO21" s="1" t="n">
        <v>5676.62031657304</v>
      </c>
      <c r="AP21" s="1" t="n">
        <v>5676.62031657304</v>
      </c>
      <c r="AQ21" s="1" t="n">
        <v>5224.84776542709</v>
      </c>
      <c r="AR21" s="1" t="n">
        <v>5224.84776542709</v>
      </c>
      <c r="AS21" s="1" t="n">
        <v>5224.84776542709</v>
      </c>
      <c r="AT21" s="1" t="n">
        <v>5224.84776542709</v>
      </c>
      <c r="AU21" s="1" t="n">
        <v>6992.65340034603</v>
      </c>
      <c r="AV21" s="1" t="n">
        <v>6992.65340034603</v>
      </c>
      <c r="AW21" s="1" t="n">
        <v>6992.65340034603</v>
      </c>
      <c r="AX21" s="1" t="n">
        <v>6992.65340034603</v>
      </c>
      <c r="AY21" s="1" t="n">
        <v>6874.79969135143</v>
      </c>
      <c r="AZ21" s="1" t="n">
        <v>6874.79969135143</v>
      </c>
      <c r="BA21" s="1" t="n">
        <v>6874.79969135143</v>
      </c>
      <c r="BB21" s="1" t="n">
        <v>6874.79969135143</v>
      </c>
    </row>
    <row r="22" customFormat="false" ht="15" hidden="false" customHeight="false" outlineLevel="0" collapsed="false">
      <c r="A22" s="0" t="s">
        <v>72</v>
      </c>
      <c r="B22" s="1" t="n">
        <f aca="false">AVERAGE(C22:BB22)</f>
        <v>2666.87805390545</v>
      </c>
      <c r="C22" s="1" t="n">
        <v>1937.95775827558</v>
      </c>
      <c r="D22" s="1" t="n">
        <v>1937.95775827558</v>
      </c>
      <c r="E22" s="1" t="n">
        <v>1937.95775827558</v>
      </c>
      <c r="F22" s="1" t="n">
        <v>1937.95775827558</v>
      </c>
      <c r="G22" s="1" t="n">
        <v>2241.10198862036</v>
      </c>
      <c r="H22" s="1" t="n">
        <v>2241.10198862036</v>
      </c>
      <c r="I22" s="1" t="n">
        <v>2241.10198862036</v>
      </c>
      <c r="J22" s="1" t="n">
        <v>2241.10198862036</v>
      </c>
      <c r="K22" s="1" t="n">
        <v>2944.82966620647</v>
      </c>
      <c r="L22" s="1" t="n">
        <v>2944.82966620647</v>
      </c>
      <c r="M22" s="1" t="n">
        <v>2944.82966620647</v>
      </c>
      <c r="N22" s="1" t="n">
        <v>2944.82966620647</v>
      </c>
      <c r="O22" s="1" t="n">
        <v>3042.268883103</v>
      </c>
      <c r="P22" s="1" t="n">
        <v>3042.268883103</v>
      </c>
      <c r="Q22" s="1" t="n">
        <v>3042.268883103</v>
      </c>
      <c r="R22" s="1" t="n">
        <v>3042.268883103</v>
      </c>
      <c r="S22" s="1" t="n">
        <v>3042.268883103</v>
      </c>
      <c r="T22" s="1" t="n">
        <v>1786.38564310319</v>
      </c>
      <c r="U22" s="1" t="n">
        <v>1786.38564310319</v>
      </c>
      <c r="V22" s="1" t="n">
        <v>1786.38564310319</v>
      </c>
      <c r="W22" s="1" t="n">
        <v>1786.38564310319</v>
      </c>
      <c r="X22" s="1" t="n">
        <v>3031.44230344783</v>
      </c>
      <c r="Y22" s="1" t="n">
        <v>3031.44230344783</v>
      </c>
      <c r="Z22" s="1" t="n">
        <v>3031.44230344783</v>
      </c>
      <c r="AA22" s="1" t="n">
        <v>3031.44230344783</v>
      </c>
      <c r="AB22" s="1" t="n">
        <v>3031.44230344783</v>
      </c>
      <c r="AC22" s="1" t="n">
        <v>1678.11984655148</v>
      </c>
      <c r="AD22" s="1" t="n">
        <v>1678.11984655148</v>
      </c>
      <c r="AE22" s="1" t="n">
        <v>1678.11984655148</v>
      </c>
      <c r="AF22" s="1" t="n">
        <v>1678.11984655148</v>
      </c>
      <c r="AG22" s="1" t="n">
        <v>1678.11984655148</v>
      </c>
      <c r="AH22" s="1" t="n">
        <v>1634.8135279308</v>
      </c>
      <c r="AI22" s="1" t="n">
        <v>1634.8135279308</v>
      </c>
      <c r="AJ22" s="1" t="n">
        <v>1634.8135279308</v>
      </c>
      <c r="AK22" s="1" t="n">
        <v>1634.8135279308</v>
      </c>
      <c r="AL22" s="1" t="n">
        <v>3128.88152034437</v>
      </c>
      <c r="AM22" s="1" t="n">
        <v>3128.88152034437</v>
      </c>
      <c r="AN22" s="1" t="n">
        <v>3128.88152034437</v>
      </c>
      <c r="AO22" s="1" t="n">
        <v>3128.88152034437</v>
      </c>
      <c r="AP22" s="1" t="n">
        <v>3128.88152034437</v>
      </c>
      <c r="AQ22" s="1" t="n">
        <v>2879.87018827544</v>
      </c>
      <c r="AR22" s="1" t="n">
        <v>2879.87018827544</v>
      </c>
      <c r="AS22" s="1" t="n">
        <v>2879.87018827544</v>
      </c>
      <c r="AT22" s="1" t="n">
        <v>2879.87018827544</v>
      </c>
      <c r="AU22" s="1" t="n">
        <v>3854.26235724082</v>
      </c>
      <c r="AV22" s="1" t="n">
        <v>3854.26235724082</v>
      </c>
      <c r="AW22" s="1" t="n">
        <v>3854.26235724082</v>
      </c>
      <c r="AX22" s="1" t="n">
        <v>3854.26235724082</v>
      </c>
      <c r="AY22" s="1" t="n">
        <v>3789.30287930979</v>
      </c>
      <c r="AZ22" s="1" t="n">
        <v>3789.30287930979</v>
      </c>
      <c r="BA22" s="1" t="n">
        <v>3789.30287930979</v>
      </c>
      <c r="BB22" s="1" t="n">
        <v>3789.30287930979</v>
      </c>
    </row>
    <row r="23" customFormat="false" ht="15" hidden="false" customHeight="false" outlineLevel="0" collapsed="false">
      <c r="A23" s="0" t="s">
        <v>73</v>
      </c>
      <c r="B23" s="1" t="n">
        <f aca="false">AVERAGE(C23:BB23)</f>
        <v>2666.87805390545</v>
      </c>
      <c r="C23" s="1" t="n">
        <v>1937.95775827558</v>
      </c>
      <c r="D23" s="1" t="n">
        <v>1937.95775827558</v>
      </c>
      <c r="E23" s="1" t="n">
        <v>1937.95775827558</v>
      </c>
      <c r="F23" s="1" t="n">
        <v>1937.95775827558</v>
      </c>
      <c r="G23" s="1" t="n">
        <v>2241.10198862036</v>
      </c>
      <c r="H23" s="1" t="n">
        <v>2241.10198862036</v>
      </c>
      <c r="I23" s="1" t="n">
        <v>2241.10198862036</v>
      </c>
      <c r="J23" s="1" t="n">
        <v>2241.10198862036</v>
      </c>
      <c r="K23" s="1" t="n">
        <v>2944.82966620647</v>
      </c>
      <c r="L23" s="1" t="n">
        <v>2944.82966620647</v>
      </c>
      <c r="M23" s="1" t="n">
        <v>2944.82966620647</v>
      </c>
      <c r="N23" s="1" t="n">
        <v>2944.82966620647</v>
      </c>
      <c r="O23" s="1" t="n">
        <v>3042.268883103</v>
      </c>
      <c r="P23" s="1" t="n">
        <v>3042.268883103</v>
      </c>
      <c r="Q23" s="1" t="n">
        <v>3042.268883103</v>
      </c>
      <c r="R23" s="1" t="n">
        <v>3042.268883103</v>
      </c>
      <c r="S23" s="1" t="n">
        <v>3042.268883103</v>
      </c>
      <c r="T23" s="1" t="n">
        <v>1786.38564310319</v>
      </c>
      <c r="U23" s="1" t="n">
        <v>1786.38564310319</v>
      </c>
      <c r="V23" s="1" t="n">
        <v>1786.38564310319</v>
      </c>
      <c r="W23" s="1" t="n">
        <v>1786.38564310319</v>
      </c>
      <c r="X23" s="1" t="n">
        <v>3031.44230344783</v>
      </c>
      <c r="Y23" s="1" t="n">
        <v>3031.44230344783</v>
      </c>
      <c r="Z23" s="1" t="n">
        <v>3031.44230344783</v>
      </c>
      <c r="AA23" s="1" t="n">
        <v>3031.44230344783</v>
      </c>
      <c r="AB23" s="1" t="n">
        <v>3031.44230344783</v>
      </c>
      <c r="AC23" s="1" t="n">
        <v>1678.11984655148</v>
      </c>
      <c r="AD23" s="1" t="n">
        <v>1678.11984655148</v>
      </c>
      <c r="AE23" s="1" t="n">
        <v>1678.11984655148</v>
      </c>
      <c r="AF23" s="1" t="n">
        <v>1678.11984655148</v>
      </c>
      <c r="AG23" s="1" t="n">
        <v>1678.11984655148</v>
      </c>
      <c r="AH23" s="1" t="n">
        <v>1634.8135279308</v>
      </c>
      <c r="AI23" s="1" t="n">
        <v>1634.8135279308</v>
      </c>
      <c r="AJ23" s="1" t="n">
        <v>1634.8135279308</v>
      </c>
      <c r="AK23" s="1" t="n">
        <v>1634.8135279308</v>
      </c>
      <c r="AL23" s="1" t="n">
        <v>3128.88152034437</v>
      </c>
      <c r="AM23" s="1" t="n">
        <v>3128.88152034437</v>
      </c>
      <c r="AN23" s="1" t="n">
        <v>3128.88152034437</v>
      </c>
      <c r="AO23" s="1" t="n">
        <v>3128.88152034437</v>
      </c>
      <c r="AP23" s="1" t="n">
        <v>3128.88152034437</v>
      </c>
      <c r="AQ23" s="1" t="n">
        <v>2879.87018827544</v>
      </c>
      <c r="AR23" s="1" t="n">
        <v>2879.87018827544</v>
      </c>
      <c r="AS23" s="1" t="n">
        <v>2879.87018827544</v>
      </c>
      <c r="AT23" s="1" t="n">
        <v>2879.87018827544</v>
      </c>
      <c r="AU23" s="1" t="n">
        <v>3854.26235724082</v>
      </c>
      <c r="AV23" s="1" t="n">
        <v>3854.26235724082</v>
      </c>
      <c r="AW23" s="1" t="n">
        <v>3854.26235724082</v>
      </c>
      <c r="AX23" s="1" t="n">
        <v>3854.26235724082</v>
      </c>
      <c r="AY23" s="1" t="n">
        <v>3789.30287930979</v>
      </c>
      <c r="AZ23" s="1" t="n">
        <v>3789.30287930979</v>
      </c>
      <c r="BA23" s="1" t="n">
        <v>3789.30287930979</v>
      </c>
      <c r="BB23" s="1" t="n">
        <v>3789.30287930979</v>
      </c>
    </row>
    <row r="24" customFormat="false" ht="15" hidden="false" customHeight="false" outlineLevel="0" collapsed="false">
      <c r="A24" s="0" t="s">
        <v>74</v>
      </c>
      <c r="B24" s="1" t="n">
        <f aca="false">AVERAGE(C24:BB24)</f>
        <v>4838.42358497365</v>
      </c>
      <c r="C24" s="1" t="n">
        <v>3515.96898500544</v>
      </c>
      <c r="D24" s="1" t="n">
        <v>3515.96898500544</v>
      </c>
      <c r="E24" s="1" t="n">
        <v>3515.96898500544</v>
      </c>
      <c r="F24" s="1" t="n">
        <v>3515.96898500544</v>
      </c>
      <c r="G24" s="1" t="n">
        <v>4065.95296031356</v>
      </c>
      <c r="H24" s="1" t="n">
        <v>4065.95296031356</v>
      </c>
      <c r="I24" s="1" t="n">
        <v>4065.95296031356</v>
      </c>
      <c r="J24" s="1" t="n">
        <v>4065.95296031356</v>
      </c>
      <c r="K24" s="1" t="n">
        <v>5342.70147442168</v>
      </c>
      <c r="L24" s="1" t="n">
        <v>5342.70147442168</v>
      </c>
      <c r="M24" s="1" t="n">
        <v>5342.70147442168</v>
      </c>
      <c r="N24" s="1" t="n">
        <v>5342.70147442168</v>
      </c>
      <c r="O24" s="1" t="n">
        <v>5519.48203791358</v>
      </c>
      <c r="P24" s="1" t="n">
        <v>5519.48203791358</v>
      </c>
      <c r="Q24" s="1" t="n">
        <v>5519.48203791358</v>
      </c>
      <c r="R24" s="1" t="n">
        <v>5519.48203791358</v>
      </c>
      <c r="S24" s="1" t="n">
        <v>5519.48203791358</v>
      </c>
      <c r="T24" s="1" t="n">
        <v>3240.97699735139</v>
      </c>
      <c r="U24" s="1" t="n">
        <v>3240.97699735139</v>
      </c>
      <c r="V24" s="1" t="n">
        <v>3240.97699735139</v>
      </c>
      <c r="W24" s="1" t="n">
        <v>3240.97699735139</v>
      </c>
      <c r="X24" s="1" t="n">
        <v>5499.83975308114</v>
      </c>
      <c r="Y24" s="1" t="n">
        <v>5499.83975308114</v>
      </c>
      <c r="Z24" s="1" t="n">
        <v>5499.83975308114</v>
      </c>
      <c r="AA24" s="1" t="n">
        <v>5499.83975308114</v>
      </c>
      <c r="AB24" s="1" t="n">
        <v>5499.83975308114</v>
      </c>
      <c r="AC24" s="1" t="n">
        <v>3044.55414902706</v>
      </c>
      <c r="AD24" s="1" t="n">
        <v>3044.55414902706</v>
      </c>
      <c r="AE24" s="1" t="n">
        <v>3044.55414902706</v>
      </c>
      <c r="AF24" s="1" t="n">
        <v>3044.55414902706</v>
      </c>
      <c r="AG24" s="1" t="n">
        <v>3044.55414902706</v>
      </c>
      <c r="AH24" s="1" t="n">
        <v>2965.98500969733</v>
      </c>
      <c r="AI24" s="1" t="n">
        <v>2965.98500969733</v>
      </c>
      <c r="AJ24" s="1" t="n">
        <v>2965.98500969733</v>
      </c>
      <c r="AK24" s="1" t="n">
        <v>2965.98500969733</v>
      </c>
      <c r="AL24" s="1" t="n">
        <v>5676.62031657304</v>
      </c>
      <c r="AM24" s="1" t="n">
        <v>5676.62031657304</v>
      </c>
      <c r="AN24" s="1" t="n">
        <v>5676.62031657304</v>
      </c>
      <c r="AO24" s="1" t="n">
        <v>5676.62031657304</v>
      </c>
      <c r="AP24" s="1" t="n">
        <v>5676.62031657304</v>
      </c>
      <c r="AQ24" s="1" t="n">
        <v>5224.84776542709</v>
      </c>
      <c r="AR24" s="1" t="n">
        <v>5224.84776542709</v>
      </c>
      <c r="AS24" s="1" t="n">
        <v>5224.84776542709</v>
      </c>
      <c r="AT24" s="1" t="n">
        <v>5224.84776542709</v>
      </c>
      <c r="AU24" s="1" t="n">
        <v>6992.65340034603</v>
      </c>
      <c r="AV24" s="1" t="n">
        <v>6992.65340034603</v>
      </c>
      <c r="AW24" s="1" t="n">
        <v>6992.65340034603</v>
      </c>
      <c r="AX24" s="1" t="n">
        <v>6992.65340034603</v>
      </c>
      <c r="AY24" s="1" t="n">
        <v>6874.79969135143</v>
      </c>
      <c r="AZ24" s="1" t="n">
        <v>6874.79969135143</v>
      </c>
      <c r="BA24" s="1" t="n">
        <v>6874.79969135143</v>
      </c>
      <c r="BB24" s="1" t="n">
        <v>6874.79969135143</v>
      </c>
    </row>
    <row r="25" customFormat="false" ht="15" hidden="false" customHeight="false" outlineLevel="0" collapsed="false">
      <c r="A25" s="0" t="s">
        <v>75</v>
      </c>
      <c r="B25" s="1" t="n">
        <f aca="false">AVERAGE(C25:BB25)</f>
        <v>2666.87805390545</v>
      </c>
      <c r="C25" s="1" t="n">
        <v>1937.95775827558</v>
      </c>
      <c r="D25" s="1" t="n">
        <v>1937.95775827558</v>
      </c>
      <c r="E25" s="1" t="n">
        <v>1937.95775827558</v>
      </c>
      <c r="F25" s="1" t="n">
        <v>1937.95775827558</v>
      </c>
      <c r="G25" s="1" t="n">
        <v>2241.10198862036</v>
      </c>
      <c r="H25" s="1" t="n">
        <v>2241.10198862036</v>
      </c>
      <c r="I25" s="1" t="n">
        <v>2241.10198862036</v>
      </c>
      <c r="J25" s="1" t="n">
        <v>2241.10198862036</v>
      </c>
      <c r="K25" s="1" t="n">
        <v>2944.82966620647</v>
      </c>
      <c r="L25" s="1" t="n">
        <v>2944.82966620647</v>
      </c>
      <c r="M25" s="1" t="n">
        <v>2944.82966620647</v>
      </c>
      <c r="N25" s="1" t="n">
        <v>2944.82966620647</v>
      </c>
      <c r="O25" s="1" t="n">
        <v>3042.268883103</v>
      </c>
      <c r="P25" s="1" t="n">
        <v>3042.268883103</v>
      </c>
      <c r="Q25" s="1" t="n">
        <v>3042.268883103</v>
      </c>
      <c r="R25" s="1" t="n">
        <v>3042.268883103</v>
      </c>
      <c r="S25" s="1" t="n">
        <v>3042.268883103</v>
      </c>
      <c r="T25" s="1" t="n">
        <v>1786.38564310319</v>
      </c>
      <c r="U25" s="1" t="n">
        <v>1786.38564310319</v>
      </c>
      <c r="V25" s="1" t="n">
        <v>1786.38564310319</v>
      </c>
      <c r="W25" s="1" t="n">
        <v>1786.38564310319</v>
      </c>
      <c r="X25" s="1" t="n">
        <v>3031.44230344783</v>
      </c>
      <c r="Y25" s="1" t="n">
        <v>3031.44230344783</v>
      </c>
      <c r="Z25" s="1" t="n">
        <v>3031.44230344783</v>
      </c>
      <c r="AA25" s="1" t="n">
        <v>3031.44230344783</v>
      </c>
      <c r="AB25" s="1" t="n">
        <v>3031.44230344783</v>
      </c>
      <c r="AC25" s="1" t="n">
        <v>1678.11984655148</v>
      </c>
      <c r="AD25" s="1" t="n">
        <v>1678.11984655148</v>
      </c>
      <c r="AE25" s="1" t="n">
        <v>1678.11984655148</v>
      </c>
      <c r="AF25" s="1" t="n">
        <v>1678.11984655148</v>
      </c>
      <c r="AG25" s="1" t="n">
        <v>1678.11984655148</v>
      </c>
      <c r="AH25" s="1" t="n">
        <v>1634.8135279308</v>
      </c>
      <c r="AI25" s="1" t="n">
        <v>1634.8135279308</v>
      </c>
      <c r="AJ25" s="1" t="n">
        <v>1634.8135279308</v>
      </c>
      <c r="AK25" s="1" t="n">
        <v>1634.8135279308</v>
      </c>
      <c r="AL25" s="1" t="n">
        <v>3128.88152034437</v>
      </c>
      <c r="AM25" s="1" t="n">
        <v>3128.88152034437</v>
      </c>
      <c r="AN25" s="1" t="n">
        <v>3128.88152034437</v>
      </c>
      <c r="AO25" s="1" t="n">
        <v>3128.88152034437</v>
      </c>
      <c r="AP25" s="1" t="n">
        <v>3128.88152034437</v>
      </c>
      <c r="AQ25" s="1" t="n">
        <v>2879.87018827544</v>
      </c>
      <c r="AR25" s="1" t="n">
        <v>2879.87018827544</v>
      </c>
      <c r="AS25" s="1" t="n">
        <v>2879.87018827544</v>
      </c>
      <c r="AT25" s="1" t="n">
        <v>2879.87018827544</v>
      </c>
      <c r="AU25" s="1" t="n">
        <v>3854.26235724082</v>
      </c>
      <c r="AV25" s="1" t="n">
        <v>3854.26235724082</v>
      </c>
      <c r="AW25" s="1" t="n">
        <v>3854.26235724082</v>
      </c>
      <c r="AX25" s="1" t="n">
        <v>3854.26235724082</v>
      </c>
      <c r="AY25" s="1" t="n">
        <v>3789.30287930979</v>
      </c>
      <c r="AZ25" s="1" t="n">
        <v>3789.30287930979</v>
      </c>
      <c r="BA25" s="1" t="n">
        <v>3789.30287930979</v>
      </c>
      <c r="BB25" s="1" t="n">
        <v>3789.30287930979</v>
      </c>
    </row>
    <row r="26" customFormat="false" ht="15" hidden="false" customHeight="false" outlineLevel="0" collapsed="false">
      <c r="A26" s="0" t="s">
        <v>76</v>
      </c>
      <c r="B26" s="1" t="n">
        <f aca="false">AVERAGE(C26:BB26)</f>
        <v>2666.87805390545</v>
      </c>
      <c r="C26" s="1" t="n">
        <v>1937.95775827558</v>
      </c>
      <c r="D26" s="1" t="n">
        <v>1937.95775827558</v>
      </c>
      <c r="E26" s="1" t="n">
        <v>1937.95775827558</v>
      </c>
      <c r="F26" s="1" t="n">
        <v>1937.95775827558</v>
      </c>
      <c r="G26" s="1" t="n">
        <v>2241.10198862036</v>
      </c>
      <c r="H26" s="1" t="n">
        <v>2241.10198862036</v>
      </c>
      <c r="I26" s="1" t="n">
        <v>2241.10198862036</v>
      </c>
      <c r="J26" s="1" t="n">
        <v>2241.10198862036</v>
      </c>
      <c r="K26" s="1" t="n">
        <v>2944.82966620647</v>
      </c>
      <c r="L26" s="1" t="n">
        <v>2944.82966620647</v>
      </c>
      <c r="M26" s="1" t="n">
        <v>2944.82966620647</v>
      </c>
      <c r="N26" s="1" t="n">
        <v>2944.82966620647</v>
      </c>
      <c r="O26" s="1" t="n">
        <v>3042.268883103</v>
      </c>
      <c r="P26" s="1" t="n">
        <v>3042.268883103</v>
      </c>
      <c r="Q26" s="1" t="n">
        <v>3042.268883103</v>
      </c>
      <c r="R26" s="1" t="n">
        <v>3042.268883103</v>
      </c>
      <c r="S26" s="1" t="n">
        <v>3042.268883103</v>
      </c>
      <c r="T26" s="1" t="n">
        <v>1786.38564310319</v>
      </c>
      <c r="U26" s="1" t="n">
        <v>1786.38564310319</v>
      </c>
      <c r="V26" s="1" t="n">
        <v>1786.38564310319</v>
      </c>
      <c r="W26" s="1" t="n">
        <v>1786.38564310319</v>
      </c>
      <c r="X26" s="1" t="n">
        <v>3031.44230344783</v>
      </c>
      <c r="Y26" s="1" t="n">
        <v>3031.44230344783</v>
      </c>
      <c r="Z26" s="1" t="n">
        <v>3031.44230344783</v>
      </c>
      <c r="AA26" s="1" t="n">
        <v>3031.44230344783</v>
      </c>
      <c r="AB26" s="1" t="n">
        <v>3031.44230344783</v>
      </c>
      <c r="AC26" s="1" t="n">
        <v>1678.11984655148</v>
      </c>
      <c r="AD26" s="1" t="n">
        <v>1678.11984655148</v>
      </c>
      <c r="AE26" s="1" t="n">
        <v>1678.11984655148</v>
      </c>
      <c r="AF26" s="1" t="n">
        <v>1678.11984655148</v>
      </c>
      <c r="AG26" s="1" t="n">
        <v>1678.11984655148</v>
      </c>
      <c r="AH26" s="1" t="n">
        <v>1634.8135279308</v>
      </c>
      <c r="AI26" s="1" t="n">
        <v>1634.8135279308</v>
      </c>
      <c r="AJ26" s="1" t="n">
        <v>1634.8135279308</v>
      </c>
      <c r="AK26" s="1" t="n">
        <v>1634.8135279308</v>
      </c>
      <c r="AL26" s="1" t="n">
        <v>3128.88152034437</v>
      </c>
      <c r="AM26" s="1" t="n">
        <v>3128.88152034437</v>
      </c>
      <c r="AN26" s="1" t="n">
        <v>3128.88152034437</v>
      </c>
      <c r="AO26" s="1" t="n">
        <v>3128.88152034437</v>
      </c>
      <c r="AP26" s="1" t="n">
        <v>3128.88152034437</v>
      </c>
      <c r="AQ26" s="1" t="n">
        <v>2879.87018827544</v>
      </c>
      <c r="AR26" s="1" t="n">
        <v>2879.87018827544</v>
      </c>
      <c r="AS26" s="1" t="n">
        <v>2879.87018827544</v>
      </c>
      <c r="AT26" s="1" t="n">
        <v>2879.87018827544</v>
      </c>
      <c r="AU26" s="1" t="n">
        <v>3854.26235724082</v>
      </c>
      <c r="AV26" s="1" t="n">
        <v>3854.26235724082</v>
      </c>
      <c r="AW26" s="1" t="n">
        <v>3854.26235724082</v>
      </c>
      <c r="AX26" s="1" t="n">
        <v>3854.26235724082</v>
      </c>
      <c r="AY26" s="1" t="n">
        <v>3789.30287930979</v>
      </c>
      <c r="AZ26" s="1" t="n">
        <v>3789.30287930979</v>
      </c>
      <c r="BA26" s="1" t="n">
        <v>3789.30287930979</v>
      </c>
      <c r="BB26" s="1" t="n">
        <v>3789.30287930979</v>
      </c>
    </row>
    <row r="27" customFormat="false" ht="15" hidden="false" customHeight="false" outlineLevel="0" collapsed="false">
      <c r="A27" s="0" t="s">
        <v>77</v>
      </c>
      <c r="B27" s="1" t="n">
        <f aca="false">AVERAGE(C27:BB27)</f>
        <v>4838.42358497365</v>
      </c>
      <c r="C27" s="1" t="n">
        <v>3515.96898500544</v>
      </c>
      <c r="D27" s="1" t="n">
        <v>3515.96898500544</v>
      </c>
      <c r="E27" s="1" t="n">
        <v>3515.96898500544</v>
      </c>
      <c r="F27" s="1" t="n">
        <v>3515.96898500544</v>
      </c>
      <c r="G27" s="1" t="n">
        <v>4065.95296031356</v>
      </c>
      <c r="H27" s="1" t="n">
        <v>4065.95296031356</v>
      </c>
      <c r="I27" s="1" t="n">
        <v>4065.95296031356</v>
      </c>
      <c r="J27" s="1" t="n">
        <v>4065.95296031356</v>
      </c>
      <c r="K27" s="1" t="n">
        <v>5342.70147442168</v>
      </c>
      <c r="L27" s="1" t="n">
        <v>5342.70147442168</v>
      </c>
      <c r="M27" s="1" t="n">
        <v>5342.70147442168</v>
      </c>
      <c r="N27" s="1" t="n">
        <v>5342.70147442168</v>
      </c>
      <c r="O27" s="1" t="n">
        <v>5519.48203791358</v>
      </c>
      <c r="P27" s="1" t="n">
        <v>5519.48203791358</v>
      </c>
      <c r="Q27" s="1" t="n">
        <v>5519.48203791358</v>
      </c>
      <c r="R27" s="1" t="n">
        <v>5519.48203791358</v>
      </c>
      <c r="S27" s="1" t="n">
        <v>5519.48203791358</v>
      </c>
      <c r="T27" s="1" t="n">
        <v>3240.97699735139</v>
      </c>
      <c r="U27" s="1" t="n">
        <v>3240.97699735139</v>
      </c>
      <c r="V27" s="1" t="n">
        <v>3240.97699735139</v>
      </c>
      <c r="W27" s="1" t="n">
        <v>3240.97699735139</v>
      </c>
      <c r="X27" s="1" t="n">
        <v>5499.83975308114</v>
      </c>
      <c r="Y27" s="1" t="n">
        <v>5499.83975308114</v>
      </c>
      <c r="Z27" s="1" t="n">
        <v>5499.83975308114</v>
      </c>
      <c r="AA27" s="1" t="n">
        <v>5499.83975308114</v>
      </c>
      <c r="AB27" s="1" t="n">
        <v>5499.83975308114</v>
      </c>
      <c r="AC27" s="1" t="n">
        <v>3044.55414902706</v>
      </c>
      <c r="AD27" s="1" t="n">
        <v>3044.55414902706</v>
      </c>
      <c r="AE27" s="1" t="n">
        <v>3044.55414902706</v>
      </c>
      <c r="AF27" s="1" t="n">
        <v>3044.55414902706</v>
      </c>
      <c r="AG27" s="1" t="n">
        <v>3044.55414902706</v>
      </c>
      <c r="AH27" s="1" t="n">
        <v>2965.98500969733</v>
      </c>
      <c r="AI27" s="1" t="n">
        <v>2965.98500969733</v>
      </c>
      <c r="AJ27" s="1" t="n">
        <v>2965.98500969733</v>
      </c>
      <c r="AK27" s="1" t="n">
        <v>2965.98500969733</v>
      </c>
      <c r="AL27" s="1" t="n">
        <v>5676.62031657304</v>
      </c>
      <c r="AM27" s="1" t="n">
        <v>5676.62031657304</v>
      </c>
      <c r="AN27" s="1" t="n">
        <v>5676.62031657304</v>
      </c>
      <c r="AO27" s="1" t="n">
        <v>5676.62031657304</v>
      </c>
      <c r="AP27" s="1" t="n">
        <v>5676.62031657304</v>
      </c>
      <c r="AQ27" s="1" t="n">
        <v>5224.84776542709</v>
      </c>
      <c r="AR27" s="1" t="n">
        <v>5224.84776542709</v>
      </c>
      <c r="AS27" s="1" t="n">
        <v>5224.84776542709</v>
      </c>
      <c r="AT27" s="1" t="n">
        <v>5224.84776542709</v>
      </c>
      <c r="AU27" s="1" t="n">
        <v>6992.65340034603</v>
      </c>
      <c r="AV27" s="1" t="n">
        <v>6992.65340034603</v>
      </c>
      <c r="AW27" s="1" t="n">
        <v>6992.65340034603</v>
      </c>
      <c r="AX27" s="1" t="n">
        <v>6992.65340034603</v>
      </c>
      <c r="AY27" s="1" t="n">
        <v>6874.79969135143</v>
      </c>
      <c r="AZ27" s="1" t="n">
        <v>6874.79969135143</v>
      </c>
      <c r="BA27" s="1" t="n">
        <v>6874.79969135143</v>
      </c>
      <c r="BB27" s="1" t="n">
        <v>6874.79969135143</v>
      </c>
    </row>
    <row r="28" customFormat="false" ht="15" hidden="false" customHeight="false" outlineLevel="0" collapsed="false">
      <c r="A28" s="0" t="s">
        <v>78</v>
      </c>
      <c r="B28" s="1" t="n">
        <f aca="false">AVERAGE(C28:BB28)</f>
        <v>2666.87805390545</v>
      </c>
      <c r="C28" s="1" t="n">
        <v>1937.95775827558</v>
      </c>
      <c r="D28" s="1" t="n">
        <v>1937.95775827558</v>
      </c>
      <c r="E28" s="1" t="n">
        <v>1937.95775827558</v>
      </c>
      <c r="F28" s="1" t="n">
        <v>1937.95775827558</v>
      </c>
      <c r="G28" s="1" t="n">
        <v>2241.10198862036</v>
      </c>
      <c r="H28" s="1" t="n">
        <v>2241.10198862036</v>
      </c>
      <c r="I28" s="1" t="n">
        <v>2241.10198862036</v>
      </c>
      <c r="J28" s="1" t="n">
        <v>2241.10198862036</v>
      </c>
      <c r="K28" s="1" t="n">
        <v>2944.82966620647</v>
      </c>
      <c r="L28" s="1" t="n">
        <v>2944.82966620647</v>
      </c>
      <c r="M28" s="1" t="n">
        <v>2944.82966620647</v>
      </c>
      <c r="N28" s="1" t="n">
        <v>2944.82966620647</v>
      </c>
      <c r="O28" s="1" t="n">
        <v>3042.268883103</v>
      </c>
      <c r="P28" s="1" t="n">
        <v>3042.268883103</v>
      </c>
      <c r="Q28" s="1" t="n">
        <v>3042.268883103</v>
      </c>
      <c r="R28" s="1" t="n">
        <v>3042.268883103</v>
      </c>
      <c r="S28" s="1" t="n">
        <v>3042.268883103</v>
      </c>
      <c r="T28" s="1" t="n">
        <v>1786.38564310319</v>
      </c>
      <c r="U28" s="1" t="n">
        <v>1786.38564310319</v>
      </c>
      <c r="V28" s="1" t="n">
        <v>1786.38564310319</v>
      </c>
      <c r="W28" s="1" t="n">
        <v>1786.38564310319</v>
      </c>
      <c r="X28" s="1" t="n">
        <v>3031.44230344783</v>
      </c>
      <c r="Y28" s="1" t="n">
        <v>3031.44230344783</v>
      </c>
      <c r="Z28" s="1" t="n">
        <v>3031.44230344783</v>
      </c>
      <c r="AA28" s="1" t="n">
        <v>3031.44230344783</v>
      </c>
      <c r="AB28" s="1" t="n">
        <v>3031.44230344783</v>
      </c>
      <c r="AC28" s="1" t="n">
        <v>1678.11984655148</v>
      </c>
      <c r="AD28" s="1" t="n">
        <v>1678.11984655148</v>
      </c>
      <c r="AE28" s="1" t="n">
        <v>1678.11984655148</v>
      </c>
      <c r="AF28" s="1" t="n">
        <v>1678.11984655148</v>
      </c>
      <c r="AG28" s="1" t="n">
        <v>1678.11984655148</v>
      </c>
      <c r="AH28" s="1" t="n">
        <v>1634.8135279308</v>
      </c>
      <c r="AI28" s="1" t="n">
        <v>1634.8135279308</v>
      </c>
      <c r="AJ28" s="1" t="n">
        <v>1634.8135279308</v>
      </c>
      <c r="AK28" s="1" t="n">
        <v>1634.8135279308</v>
      </c>
      <c r="AL28" s="1" t="n">
        <v>3128.88152034437</v>
      </c>
      <c r="AM28" s="1" t="n">
        <v>3128.88152034437</v>
      </c>
      <c r="AN28" s="1" t="n">
        <v>3128.88152034437</v>
      </c>
      <c r="AO28" s="1" t="n">
        <v>3128.88152034437</v>
      </c>
      <c r="AP28" s="1" t="n">
        <v>3128.88152034437</v>
      </c>
      <c r="AQ28" s="1" t="n">
        <v>2879.87018827544</v>
      </c>
      <c r="AR28" s="1" t="n">
        <v>2879.87018827544</v>
      </c>
      <c r="AS28" s="1" t="n">
        <v>2879.87018827544</v>
      </c>
      <c r="AT28" s="1" t="n">
        <v>2879.87018827544</v>
      </c>
      <c r="AU28" s="1" t="n">
        <v>3854.26235724082</v>
      </c>
      <c r="AV28" s="1" t="n">
        <v>3854.26235724082</v>
      </c>
      <c r="AW28" s="1" t="n">
        <v>3854.26235724082</v>
      </c>
      <c r="AX28" s="1" t="n">
        <v>3854.26235724082</v>
      </c>
      <c r="AY28" s="1" t="n">
        <v>3789.30287930979</v>
      </c>
      <c r="AZ28" s="1" t="n">
        <v>3789.30287930979</v>
      </c>
      <c r="BA28" s="1" t="n">
        <v>3789.30287930979</v>
      </c>
      <c r="BB28" s="1" t="n">
        <v>3789.30287930979</v>
      </c>
    </row>
    <row r="29" customFormat="false" ht="15" hidden="false" customHeight="false" outlineLevel="0" collapsed="false">
      <c r="A29" s="0" t="s">
        <v>79</v>
      </c>
      <c r="B29" s="1" t="n">
        <f aca="false">AVERAGE(C29:BB29)</f>
        <v>2666.87805390545</v>
      </c>
      <c r="C29" s="1" t="n">
        <v>1937.95775827558</v>
      </c>
      <c r="D29" s="1" t="n">
        <v>1937.95775827558</v>
      </c>
      <c r="E29" s="1" t="n">
        <v>1937.95775827558</v>
      </c>
      <c r="F29" s="1" t="n">
        <v>1937.95775827558</v>
      </c>
      <c r="G29" s="1" t="n">
        <v>2241.10198862036</v>
      </c>
      <c r="H29" s="1" t="n">
        <v>2241.10198862036</v>
      </c>
      <c r="I29" s="1" t="n">
        <v>2241.10198862036</v>
      </c>
      <c r="J29" s="1" t="n">
        <v>2241.10198862036</v>
      </c>
      <c r="K29" s="1" t="n">
        <v>2944.82966620647</v>
      </c>
      <c r="L29" s="1" t="n">
        <v>2944.82966620647</v>
      </c>
      <c r="M29" s="1" t="n">
        <v>2944.82966620647</v>
      </c>
      <c r="N29" s="1" t="n">
        <v>2944.82966620647</v>
      </c>
      <c r="O29" s="1" t="n">
        <v>3042.268883103</v>
      </c>
      <c r="P29" s="1" t="n">
        <v>3042.268883103</v>
      </c>
      <c r="Q29" s="1" t="n">
        <v>3042.268883103</v>
      </c>
      <c r="R29" s="1" t="n">
        <v>3042.268883103</v>
      </c>
      <c r="S29" s="1" t="n">
        <v>3042.268883103</v>
      </c>
      <c r="T29" s="1" t="n">
        <v>1786.38564310319</v>
      </c>
      <c r="U29" s="1" t="n">
        <v>1786.38564310319</v>
      </c>
      <c r="V29" s="1" t="n">
        <v>1786.38564310319</v>
      </c>
      <c r="W29" s="1" t="n">
        <v>1786.38564310319</v>
      </c>
      <c r="X29" s="1" t="n">
        <v>3031.44230344783</v>
      </c>
      <c r="Y29" s="1" t="n">
        <v>3031.44230344783</v>
      </c>
      <c r="Z29" s="1" t="n">
        <v>3031.44230344783</v>
      </c>
      <c r="AA29" s="1" t="n">
        <v>3031.44230344783</v>
      </c>
      <c r="AB29" s="1" t="n">
        <v>3031.44230344783</v>
      </c>
      <c r="AC29" s="1" t="n">
        <v>1678.11984655148</v>
      </c>
      <c r="AD29" s="1" t="n">
        <v>1678.11984655148</v>
      </c>
      <c r="AE29" s="1" t="n">
        <v>1678.11984655148</v>
      </c>
      <c r="AF29" s="1" t="n">
        <v>1678.11984655148</v>
      </c>
      <c r="AG29" s="1" t="n">
        <v>1678.11984655148</v>
      </c>
      <c r="AH29" s="1" t="n">
        <v>1634.8135279308</v>
      </c>
      <c r="AI29" s="1" t="n">
        <v>1634.8135279308</v>
      </c>
      <c r="AJ29" s="1" t="n">
        <v>1634.8135279308</v>
      </c>
      <c r="AK29" s="1" t="n">
        <v>1634.8135279308</v>
      </c>
      <c r="AL29" s="1" t="n">
        <v>3128.88152034437</v>
      </c>
      <c r="AM29" s="1" t="n">
        <v>3128.88152034437</v>
      </c>
      <c r="AN29" s="1" t="n">
        <v>3128.88152034437</v>
      </c>
      <c r="AO29" s="1" t="n">
        <v>3128.88152034437</v>
      </c>
      <c r="AP29" s="1" t="n">
        <v>3128.88152034437</v>
      </c>
      <c r="AQ29" s="1" t="n">
        <v>2879.87018827544</v>
      </c>
      <c r="AR29" s="1" t="n">
        <v>2879.87018827544</v>
      </c>
      <c r="AS29" s="1" t="n">
        <v>2879.87018827544</v>
      </c>
      <c r="AT29" s="1" t="n">
        <v>2879.87018827544</v>
      </c>
      <c r="AU29" s="1" t="n">
        <v>3854.26235724082</v>
      </c>
      <c r="AV29" s="1" t="n">
        <v>3854.26235724082</v>
      </c>
      <c r="AW29" s="1" t="n">
        <v>3854.26235724082</v>
      </c>
      <c r="AX29" s="1" t="n">
        <v>3854.26235724082</v>
      </c>
      <c r="AY29" s="1" t="n">
        <v>3789.30287930979</v>
      </c>
      <c r="AZ29" s="1" t="n">
        <v>3789.30287930979</v>
      </c>
      <c r="BA29" s="1" t="n">
        <v>3789.30287930979</v>
      </c>
      <c r="BB29" s="1" t="n">
        <v>3789.30287930979</v>
      </c>
    </row>
    <row r="30" customFormat="false" ht="15" hidden="false" customHeight="false" outlineLevel="0" collapsed="false">
      <c r="A30" s="0" t="s">
        <v>80</v>
      </c>
      <c r="B30" s="1" t="n">
        <f aca="false">AVERAGE(C30:BB30)</f>
        <v>4838.42358497365</v>
      </c>
      <c r="C30" s="1" t="n">
        <v>3515.96898500544</v>
      </c>
      <c r="D30" s="1" t="n">
        <v>3515.96898500544</v>
      </c>
      <c r="E30" s="1" t="n">
        <v>3515.96898500544</v>
      </c>
      <c r="F30" s="1" t="n">
        <v>3515.96898500544</v>
      </c>
      <c r="G30" s="1" t="n">
        <v>4065.95296031356</v>
      </c>
      <c r="H30" s="1" t="n">
        <v>4065.95296031356</v>
      </c>
      <c r="I30" s="1" t="n">
        <v>4065.95296031356</v>
      </c>
      <c r="J30" s="1" t="n">
        <v>4065.95296031356</v>
      </c>
      <c r="K30" s="1" t="n">
        <v>5342.70147442168</v>
      </c>
      <c r="L30" s="1" t="n">
        <v>5342.70147442168</v>
      </c>
      <c r="M30" s="1" t="n">
        <v>5342.70147442168</v>
      </c>
      <c r="N30" s="1" t="n">
        <v>5342.70147442168</v>
      </c>
      <c r="O30" s="1" t="n">
        <v>5519.48203791358</v>
      </c>
      <c r="P30" s="1" t="n">
        <v>5519.48203791358</v>
      </c>
      <c r="Q30" s="1" t="n">
        <v>5519.48203791358</v>
      </c>
      <c r="R30" s="1" t="n">
        <v>5519.48203791358</v>
      </c>
      <c r="S30" s="1" t="n">
        <v>5519.48203791358</v>
      </c>
      <c r="T30" s="1" t="n">
        <v>3240.97699735139</v>
      </c>
      <c r="U30" s="1" t="n">
        <v>3240.97699735139</v>
      </c>
      <c r="V30" s="1" t="n">
        <v>3240.97699735139</v>
      </c>
      <c r="W30" s="1" t="n">
        <v>3240.97699735139</v>
      </c>
      <c r="X30" s="1" t="n">
        <v>5499.83975308114</v>
      </c>
      <c r="Y30" s="1" t="n">
        <v>5499.83975308114</v>
      </c>
      <c r="Z30" s="1" t="n">
        <v>5499.83975308114</v>
      </c>
      <c r="AA30" s="1" t="n">
        <v>5499.83975308114</v>
      </c>
      <c r="AB30" s="1" t="n">
        <v>5499.83975308114</v>
      </c>
      <c r="AC30" s="1" t="n">
        <v>3044.55414902706</v>
      </c>
      <c r="AD30" s="1" t="n">
        <v>3044.55414902706</v>
      </c>
      <c r="AE30" s="1" t="n">
        <v>3044.55414902706</v>
      </c>
      <c r="AF30" s="1" t="n">
        <v>3044.55414902706</v>
      </c>
      <c r="AG30" s="1" t="n">
        <v>3044.55414902706</v>
      </c>
      <c r="AH30" s="1" t="n">
        <v>2965.98500969733</v>
      </c>
      <c r="AI30" s="1" t="n">
        <v>2965.98500969733</v>
      </c>
      <c r="AJ30" s="1" t="n">
        <v>2965.98500969733</v>
      </c>
      <c r="AK30" s="1" t="n">
        <v>2965.98500969733</v>
      </c>
      <c r="AL30" s="1" t="n">
        <v>5676.62031657304</v>
      </c>
      <c r="AM30" s="1" t="n">
        <v>5676.62031657304</v>
      </c>
      <c r="AN30" s="1" t="n">
        <v>5676.62031657304</v>
      </c>
      <c r="AO30" s="1" t="n">
        <v>5676.62031657304</v>
      </c>
      <c r="AP30" s="1" t="n">
        <v>5676.62031657304</v>
      </c>
      <c r="AQ30" s="1" t="n">
        <v>5224.84776542709</v>
      </c>
      <c r="AR30" s="1" t="n">
        <v>5224.84776542709</v>
      </c>
      <c r="AS30" s="1" t="n">
        <v>5224.84776542709</v>
      </c>
      <c r="AT30" s="1" t="n">
        <v>5224.84776542709</v>
      </c>
      <c r="AU30" s="1" t="n">
        <v>6992.65340034603</v>
      </c>
      <c r="AV30" s="1" t="n">
        <v>6992.65340034603</v>
      </c>
      <c r="AW30" s="1" t="n">
        <v>6992.65340034603</v>
      </c>
      <c r="AX30" s="1" t="n">
        <v>6992.65340034603</v>
      </c>
      <c r="AY30" s="1" t="n">
        <v>6874.79969135143</v>
      </c>
      <c r="AZ30" s="1" t="n">
        <v>6874.79969135143</v>
      </c>
      <c r="BA30" s="1" t="n">
        <v>6874.79969135143</v>
      </c>
      <c r="BB30" s="1" t="n">
        <v>6874.79969135143</v>
      </c>
    </row>
    <row r="31" customFormat="false" ht="15" hidden="false" customHeight="false" outlineLevel="0" collapsed="false">
      <c r="A31" s="0" t="s">
        <v>81</v>
      </c>
      <c r="B31" s="1" t="n">
        <f aca="false">AVERAGE(C31:BB31)</f>
        <v>2666.87805390545</v>
      </c>
      <c r="C31" s="1" t="n">
        <v>1937.95775827558</v>
      </c>
      <c r="D31" s="1" t="n">
        <v>1937.95775827558</v>
      </c>
      <c r="E31" s="1" t="n">
        <v>1937.95775827558</v>
      </c>
      <c r="F31" s="1" t="n">
        <v>1937.95775827558</v>
      </c>
      <c r="G31" s="1" t="n">
        <v>2241.10198862036</v>
      </c>
      <c r="H31" s="1" t="n">
        <v>2241.10198862036</v>
      </c>
      <c r="I31" s="1" t="n">
        <v>2241.10198862036</v>
      </c>
      <c r="J31" s="1" t="n">
        <v>2241.10198862036</v>
      </c>
      <c r="K31" s="1" t="n">
        <v>2944.82966620647</v>
      </c>
      <c r="L31" s="1" t="n">
        <v>2944.82966620647</v>
      </c>
      <c r="M31" s="1" t="n">
        <v>2944.82966620647</v>
      </c>
      <c r="N31" s="1" t="n">
        <v>2944.82966620647</v>
      </c>
      <c r="O31" s="1" t="n">
        <v>3042.268883103</v>
      </c>
      <c r="P31" s="1" t="n">
        <v>3042.268883103</v>
      </c>
      <c r="Q31" s="1" t="n">
        <v>3042.268883103</v>
      </c>
      <c r="R31" s="1" t="n">
        <v>3042.268883103</v>
      </c>
      <c r="S31" s="1" t="n">
        <v>3042.268883103</v>
      </c>
      <c r="T31" s="1" t="n">
        <v>1786.38564310319</v>
      </c>
      <c r="U31" s="1" t="n">
        <v>1786.38564310319</v>
      </c>
      <c r="V31" s="1" t="n">
        <v>1786.38564310319</v>
      </c>
      <c r="W31" s="1" t="n">
        <v>1786.38564310319</v>
      </c>
      <c r="X31" s="1" t="n">
        <v>3031.44230344783</v>
      </c>
      <c r="Y31" s="1" t="n">
        <v>3031.44230344783</v>
      </c>
      <c r="Z31" s="1" t="n">
        <v>3031.44230344783</v>
      </c>
      <c r="AA31" s="1" t="n">
        <v>3031.44230344783</v>
      </c>
      <c r="AB31" s="1" t="n">
        <v>3031.44230344783</v>
      </c>
      <c r="AC31" s="1" t="n">
        <v>1678.11984655148</v>
      </c>
      <c r="AD31" s="1" t="n">
        <v>1678.11984655148</v>
      </c>
      <c r="AE31" s="1" t="n">
        <v>1678.11984655148</v>
      </c>
      <c r="AF31" s="1" t="n">
        <v>1678.11984655148</v>
      </c>
      <c r="AG31" s="1" t="n">
        <v>1678.11984655148</v>
      </c>
      <c r="AH31" s="1" t="n">
        <v>1634.8135279308</v>
      </c>
      <c r="AI31" s="1" t="n">
        <v>1634.8135279308</v>
      </c>
      <c r="AJ31" s="1" t="n">
        <v>1634.8135279308</v>
      </c>
      <c r="AK31" s="1" t="n">
        <v>1634.8135279308</v>
      </c>
      <c r="AL31" s="1" t="n">
        <v>3128.88152034437</v>
      </c>
      <c r="AM31" s="1" t="n">
        <v>3128.88152034437</v>
      </c>
      <c r="AN31" s="1" t="n">
        <v>3128.88152034437</v>
      </c>
      <c r="AO31" s="1" t="n">
        <v>3128.88152034437</v>
      </c>
      <c r="AP31" s="1" t="n">
        <v>3128.88152034437</v>
      </c>
      <c r="AQ31" s="1" t="n">
        <v>2879.87018827544</v>
      </c>
      <c r="AR31" s="1" t="n">
        <v>2879.87018827544</v>
      </c>
      <c r="AS31" s="1" t="n">
        <v>2879.87018827544</v>
      </c>
      <c r="AT31" s="1" t="n">
        <v>2879.87018827544</v>
      </c>
      <c r="AU31" s="1" t="n">
        <v>3854.26235724082</v>
      </c>
      <c r="AV31" s="1" t="n">
        <v>3854.26235724082</v>
      </c>
      <c r="AW31" s="1" t="n">
        <v>3854.26235724082</v>
      </c>
      <c r="AX31" s="1" t="n">
        <v>3854.26235724082</v>
      </c>
      <c r="AY31" s="1" t="n">
        <v>3789.30287930979</v>
      </c>
      <c r="AZ31" s="1" t="n">
        <v>3789.30287930979</v>
      </c>
      <c r="BA31" s="1" t="n">
        <v>3789.30287930979</v>
      </c>
      <c r="BB31" s="1" t="n">
        <v>3789.30287930979</v>
      </c>
    </row>
    <row r="32" customFormat="false" ht="15" hidden="false" customHeight="false" outlineLevel="0" collapsed="false">
      <c r="A32" s="0" t="s">
        <v>82</v>
      </c>
      <c r="B32" s="1" t="n">
        <f aca="false">AVERAGE(C32:BB32)</f>
        <v>905.003996699307</v>
      </c>
      <c r="C32" s="1" t="n">
        <v>657.645187077614</v>
      </c>
      <c r="D32" s="1" t="n">
        <v>657.645187077614</v>
      </c>
      <c r="E32" s="1" t="n">
        <v>657.645187077614</v>
      </c>
      <c r="F32" s="1" t="n">
        <v>657.645187077614</v>
      </c>
      <c r="G32" s="1" t="n">
        <v>760.517059916571</v>
      </c>
      <c r="H32" s="1" t="n">
        <v>760.517059916571</v>
      </c>
      <c r="I32" s="1" t="n">
        <v>760.517059916571</v>
      </c>
      <c r="J32" s="1" t="n">
        <v>760.517059916571</v>
      </c>
      <c r="K32" s="1" t="n">
        <v>999.32676472129</v>
      </c>
      <c r="L32" s="1" t="n">
        <v>999.32676472129</v>
      </c>
      <c r="M32" s="1" t="n">
        <v>999.32676472129</v>
      </c>
      <c r="N32" s="1" t="n">
        <v>999.32676472129</v>
      </c>
      <c r="O32" s="1" t="n">
        <v>1032.3927238481</v>
      </c>
      <c r="P32" s="1" t="n">
        <v>1032.3927238481</v>
      </c>
      <c r="Q32" s="1" t="n">
        <v>1032.3927238481</v>
      </c>
      <c r="R32" s="1" t="n">
        <v>1032.3927238481</v>
      </c>
      <c r="S32" s="1" t="n">
        <v>1032.3927238481</v>
      </c>
      <c r="T32" s="1" t="n">
        <v>606.209250658136</v>
      </c>
      <c r="U32" s="1" t="n">
        <v>606.209250658136</v>
      </c>
      <c r="V32" s="1" t="n">
        <v>606.209250658136</v>
      </c>
      <c r="W32" s="1" t="n">
        <v>606.209250658136</v>
      </c>
      <c r="X32" s="1" t="n">
        <v>1028.71872838956</v>
      </c>
      <c r="Y32" s="1" t="n">
        <v>1028.71872838956</v>
      </c>
      <c r="Z32" s="1" t="n">
        <v>1028.71872838956</v>
      </c>
      <c r="AA32" s="1" t="n">
        <v>1028.71872838956</v>
      </c>
      <c r="AB32" s="1" t="n">
        <v>1028.71872838956</v>
      </c>
      <c r="AC32" s="1" t="n">
        <v>569.469296072794</v>
      </c>
      <c r="AD32" s="1" t="n">
        <v>569.469296072794</v>
      </c>
      <c r="AE32" s="1" t="n">
        <v>569.469296072794</v>
      </c>
      <c r="AF32" s="1" t="n">
        <v>569.469296072794</v>
      </c>
      <c r="AG32" s="1" t="n">
        <v>569.469296072794</v>
      </c>
      <c r="AH32" s="1" t="n">
        <v>554.773314238658</v>
      </c>
      <c r="AI32" s="1" t="n">
        <v>554.773314238658</v>
      </c>
      <c r="AJ32" s="1" t="n">
        <v>554.773314238658</v>
      </c>
      <c r="AK32" s="1" t="n">
        <v>554.773314238658</v>
      </c>
      <c r="AL32" s="1" t="n">
        <v>1061.78468751637</v>
      </c>
      <c r="AM32" s="1" t="n">
        <v>1061.78468751637</v>
      </c>
      <c r="AN32" s="1" t="n">
        <v>1061.78468751637</v>
      </c>
      <c r="AO32" s="1" t="n">
        <v>1061.78468751637</v>
      </c>
      <c r="AP32" s="1" t="n">
        <v>1061.78468751637</v>
      </c>
      <c r="AQ32" s="1" t="n">
        <v>977.282791970085</v>
      </c>
      <c r="AR32" s="1" t="n">
        <v>977.282791970085</v>
      </c>
      <c r="AS32" s="1" t="n">
        <v>977.282791970085</v>
      </c>
      <c r="AT32" s="1" t="n">
        <v>977.282791970085</v>
      </c>
      <c r="AU32" s="1" t="n">
        <v>1307.94238323816</v>
      </c>
      <c r="AV32" s="1" t="n">
        <v>1307.94238323816</v>
      </c>
      <c r="AW32" s="1" t="n">
        <v>1307.94238323816</v>
      </c>
      <c r="AX32" s="1" t="n">
        <v>1307.94238323816</v>
      </c>
      <c r="AY32" s="1" t="n">
        <v>1285.89841048695</v>
      </c>
      <c r="AZ32" s="1" t="n">
        <v>1285.89841048695</v>
      </c>
      <c r="BA32" s="1" t="n">
        <v>1285.89841048695</v>
      </c>
      <c r="BB32" s="1" t="n">
        <v>1285.89841048695</v>
      </c>
    </row>
    <row r="33" customFormat="false" ht="15" hidden="false" customHeight="false" outlineLevel="0" collapsed="false">
      <c r="A33" s="0" t="s">
        <v>83</v>
      </c>
      <c r="B33" s="1" t="n">
        <f aca="false">AVERAGE(C33:BB33)</f>
        <v>905.003996699307</v>
      </c>
      <c r="C33" s="1" t="n">
        <v>657.645187077614</v>
      </c>
      <c r="D33" s="1" t="n">
        <v>657.645187077614</v>
      </c>
      <c r="E33" s="1" t="n">
        <v>657.645187077614</v>
      </c>
      <c r="F33" s="1" t="n">
        <v>657.645187077614</v>
      </c>
      <c r="G33" s="1" t="n">
        <v>760.517059916571</v>
      </c>
      <c r="H33" s="1" t="n">
        <v>760.517059916571</v>
      </c>
      <c r="I33" s="1" t="n">
        <v>760.517059916571</v>
      </c>
      <c r="J33" s="1" t="n">
        <v>760.517059916571</v>
      </c>
      <c r="K33" s="1" t="n">
        <v>999.32676472129</v>
      </c>
      <c r="L33" s="1" t="n">
        <v>999.32676472129</v>
      </c>
      <c r="M33" s="1" t="n">
        <v>999.32676472129</v>
      </c>
      <c r="N33" s="1" t="n">
        <v>999.32676472129</v>
      </c>
      <c r="O33" s="1" t="n">
        <v>1032.3927238481</v>
      </c>
      <c r="P33" s="1" t="n">
        <v>1032.3927238481</v>
      </c>
      <c r="Q33" s="1" t="n">
        <v>1032.3927238481</v>
      </c>
      <c r="R33" s="1" t="n">
        <v>1032.3927238481</v>
      </c>
      <c r="S33" s="1" t="n">
        <v>1032.3927238481</v>
      </c>
      <c r="T33" s="1" t="n">
        <v>606.209250658136</v>
      </c>
      <c r="U33" s="1" t="n">
        <v>606.209250658136</v>
      </c>
      <c r="V33" s="1" t="n">
        <v>606.209250658136</v>
      </c>
      <c r="W33" s="1" t="n">
        <v>606.209250658136</v>
      </c>
      <c r="X33" s="1" t="n">
        <v>1028.71872838956</v>
      </c>
      <c r="Y33" s="1" t="n">
        <v>1028.71872838956</v>
      </c>
      <c r="Z33" s="1" t="n">
        <v>1028.71872838956</v>
      </c>
      <c r="AA33" s="1" t="n">
        <v>1028.71872838956</v>
      </c>
      <c r="AB33" s="1" t="n">
        <v>1028.71872838956</v>
      </c>
      <c r="AC33" s="1" t="n">
        <v>569.469296072794</v>
      </c>
      <c r="AD33" s="1" t="n">
        <v>569.469296072794</v>
      </c>
      <c r="AE33" s="1" t="n">
        <v>569.469296072794</v>
      </c>
      <c r="AF33" s="1" t="n">
        <v>569.469296072794</v>
      </c>
      <c r="AG33" s="1" t="n">
        <v>569.469296072794</v>
      </c>
      <c r="AH33" s="1" t="n">
        <v>554.773314238658</v>
      </c>
      <c r="AI33" s="1" t="n">
        <v>554.773314238658</v>
      </c>
      <c r="AJ33" s="1" t="n">
        <v>554.773314238658</v>
      </c>
      <c r="AK33" s="1" t="n">
        <v>554.773314238658</v>
      </c>
      <c r="AL33" s="1" t="n">
        <v>1061.78468751637</v>
      </c>
      <c r="AM33" s="1" t="n">
        <v>1061.78468751637</v>
      </c>
      <c r="AN33" s="1" t="n">
        <v>1061.78468751637</v>
      </c>
      <c r="AO33" s="1" t="n">
        <v>1061.78468751637</v>
      </c>
      <c r="AP33" s="1" t="n">
        <v>1061.78468751637</v>
      </c>
      <c r="AQ33" s="1" t="n">
        <v>977.282791970085</v>
      </c>
      <c r="AR33" s="1" t="n">
        <v>977.282791970085</v>
      </c>
      <c r="AS33" s="1" t="n">
        <v>977.282791970085</v>
      </c>
      <c r="AT33" s="1" t="n">
        <v>977.282791970085</v>
      </c>
      <c r="AU33" s="1" t="n">
        <v>1307.94238323816</v>
      </c>
      <c r="AV33" s="1" t="n">
        <v>1307.94238323816</v>
      </c>
      <c r="AW33" s="1" t="n">
        <v>1307.94238323816</v>
      </c>
      <c r="AX33" s="1" t="n">
        <v>1307.94238323816</v>
      </c>
      <c r="AY33" s="1" t="n">
        <v>1285.89841048695</v>
      </c>
      <c r="AZ33" s="1" t="n">
        <v>1285.89841048695</v>
      </c>
      <c r="BA33" s="1" t="n">
        <v>1285.89841048695</v>
      </c>
      <c r="BB33" s="1" t="n">
        <v>1285.89841048695</v>
      </c>
    </row>
    <row r="34" customFormat="false" ht="15" hidden="false" customHeight="false" outlineLevel="0" collapsed="false">
      <c r="A34" s="0" t="s">
        <v>84</v>
      </c>
      <c r="B34" s="1" t="n">
        <f aca="false">AVERAGE(C34:BB34)</f>
        <v>905.003996699307</v>
      </c>
      <c r="C34" s="1" t="n">
        <v>657.645187077614</v>
      </c>
      <c r="D34" s="1" t="n">
        <v>657.645187077614</v>
      </c>
      <c r="E34" s="1" t="n">
        <v>657.645187077614</v>
      </c>
      <c r="F34" s="1" t="n">
        <v>657.645187077614</v>
      </c>
      <c r="G34" s="1" t="n">
        <v>760.517059916571</v>
      </c>
      <c r="H34" s="1" t="n">
        <v>760.517059916571</v>
      </c>
      <c r="I34" s="1" t="n">
        <v>760.517059916571</v>
      </c>
      <c r="J34" s="1" t="n">
        <v>760.517059916571</v>
      </c>
      <c r="K34" s="1" t="n">
        <v>999.32676472129</v>
      </c>
      <c r="L34" s="1" t="n">
        <v>999.32676472129</v>
      </c>
      <c r="M34" s="1" t="n">
        <v>999.32676472129</v>
      </c>
      <c r="N34" s="1" t="n">
        <v>999.32676472129</v>
      </c>
      <c r="O34" s="1" t="n">
        <v>1032.3927238481</v>
      </c>
      <c r="P34" s="1" t="n">
        <v>1032.3927238481</v>
      </c>
      <c r="Q34" s="1" t="n">
        <v>1032.3927238481</v>
      </c>
      <c r="R34" s="1" t="n">
        <v>1032.3927238481</v>
      </c>
      <c r="S34" s="1" t="n">
        <v>1032.3927238481</v>
      </c>
      <c r="T34" s="1" t="n">
        <v>606.209250658136</v>
      </c>
      <c r="U34" s="1" t="n">
        <v>606.209250658136</v>
      </c>
      <c r="V34" s="1" t="n">
        <v>606.209250658136</v>
      </c>
      <c r="W34" s="1" t="n">
        <v>606.209250658136</v>
      </c>
      <c r="X34" s="1" t="n">
        <v>1028.71872838956</v>
      </c>
      <c r="Y34" s="1" t="n">
        <v>1028.71872838956</v>
      </c>
      <c r="Z34" s="1" t="n">
        <v>1028.71872838956</v>
      </c>
      <c r="AA34" s="1" t="n">
        <v>1028.71872838956</v>
      </c>
      <c r="AB34" s="1" t="n">
        <v>1028.71872838956</v>
      </c>
      <c r="AC34" s="1" t="n">
        <v>569.469296072794</v>
      </c>
      <c r="AD34" s="1" t="n">
        <v>569.469296072794</v>
      </c>
      <c r="AE34" s="1" t="n">
        <v>569.469296072794</v>
      </c>
      <c r="AF34" s="1" t="n">
        <v>569.469296072794</v>
      </c>
      <c r="AG34" s="1" t="n">
        <v>569.469296072794</v>
      </c>
      <c r="AH34" s="1" t="n">
        <v>554.773314238658</v>
      </c>
      <c r="AI34" s="1" t="n">
        <v>554.773314238658</v>
      </c>
      <c r="AJ34" s="1" t="n">
        <v>554.773314238658</v>
      </c>
      <c r="AK34" s="1" t="n">
        <v>554.773314238658</v>
      </c>
      <c r="AL34" s="1" t="n">
        <v>1061.78468751637</v>
      </c>
      <c r="AM34" s="1" t="n">
        <v>1061.78468751637</v>
      </c>
      <c r="AN34" s="1" t="n">
        <v>1061.78468751637</v>
      </c>
      <c r="AO34" s="1" t="n">
        <v>1061.78468751637</v>
      </c>
      <c r="AP34" s="1" t="n">
        <v>1061.78468751637</v>
      </c>
      <c r="AQ34" s="1" t="n">
        <v>977.282791970085</v>
      </c>
      <c r="AR34" s="1" t="n">
        <v>977.282791970085</v>
      </c>
      <c r="AS34" s="1" t="n">
        <v>977.282791970085</v>
      </c>
      <c r="AT34" s="1" t="n">
        <v>977.282791970085</v>
      </c>
      <c r="AU34" s="1" t="n">
        <v>1307.94238323816</v>
      </c>
      <c r="AV34" s="1" t="n">
        <v>1307.94238323816</v>
      </c>
      <c r="AW34" s="1" t="n">
        <v>1307.94238323816</v>
      </c>
      <c r="AX34" s="1" t="n">
        <v>1307.94238323816</v>
      </c>
      <c r="AY34" s="1" t="n">
        <v>1285.89841048695</v>
      </c>
      <c r="AZ34" s="1" t="n">
        <v>1285.89841048695</v>
      </c>
      <c r="BA34" s="1" t="n">
        <v>1285.89841048695</v>
      </c>
      <c r="BB34" s="1" t="n">
        <v>1285.89841048695</v>
      </c>
    </row>
    <row r="35" customFormat="false" ht="15" hidden="false" customHeight="false" outlineLevel="0" collapsed="false">
      <c r="A35" s="0" t="s">
        <v>85</v>
      </c>
      <c r="B35" s="1" t="n">
        <f aca="false">AVERAGE(C35:BB35)</f>
        <v>905.003996699307</v>
      </c>
      <c r="C35" s="1" t="n">
        <v>657.645187077614</v>
      </c>
      <c r="D35" s="1" t="n">
        <v>657.645187077614</v>
      </c>
      <c r="E35" s="1" t="n">
        <v>657.645187077614</v>
      </c>
      <c r="F35" s="1" t="n">
        <v>657.645187077614</v>
      </c>
      <c r="G35" s="1" t="n">
        <v>760.517059916571</v>
      </c>
      <c r="H35" s="1" t="n">
        <v>760.517059916571</v>
      </c>
      <c r="I35" s="1" t="n">
        <v>760.517059916571</v>
      </c>
      <c r="J35" s="1" t="n">
        <v>760.517059916571</v>
      </c>
      <c r="K35" s="1" t="n">
        <v>999.32676472129</v>
      </c>
      <c r="L35" s="1" t="n">
        <v>999.32676472129</v>
      </c>
      <c r="M35" s="1" t="n">
        <v>999.32676472129</v>
      </c>
      <c r="N35" s="1" t="n">
        <v>999.32676472129</v>
      </c>
      <c r="O35" s="1" t="n">
        <v>1032.3927238481</v>
      </c>
      <c r="P35" s="1" t="n">
        <v>1032.3927238481</v>
      </c>
      <c r="Q35" s="1" t="n">
        <v>1032.3927238481</v>
      </c>
      <c r="R35" s="1" t="n">
        <v>1032.3927238481</v>
      </c>
      <c r="S35" s="1" t="n">
        <v>1032.3927238481</v>
      </c>
      <c r="T35" s="1" t="n">
        <v>606.209250658136</v>
      </c>
      <c r="U35" s="1" t="n">
        <v>606.209250658136</v>
      </c>
      <c r="V35" s="1" t="n">
        <v>606.209250658136</v>
      </c>
      <c r="W35" s="1" t="n">
        <v>606.209250658136</v>
      </c>
      <c r="X35" s="1" t="n">
        <v>1028.71872838956</v>
      </c>
      <c r="Y35" s="1" t="n">
        <v>1028.71872838956</v>
      </c>
      <c r="Z35" s="1" t="n">
        <v>1028.71872838956</v>
      </c>
      <c r="AA35" s="1" t="n">
        <v>1028.71872838956</v>
      </c>
      <c r="AB35" s="1" t="n">
        <v>1028.71872838956</v>
      </c>
      <c r="AC35" s="1" t="n">
        <v>569.469296072794</v>
      </c>
      <c r="AD35" s="1" t="n">
        <v>569.469296072794</v>
      </c>
      <c r="AE35" s="1" t="n">
        <v>569.469296072794</v>
      </c>
      <c r="AF35" s="1" t="n">
        <v>569.469296072794</v>
      </c>
      <c r="AG35" s="1" t="n">
        <v>569.469296072794</v>
      </c>
      <c r="AH35" s="1" t="n">
        <v>554.773314238658</v>
      </c>
      <c r="AI35" s="1" t="n">
        <v>554.773314238658</v>
      </c>
      <c r="AJ35" s="1" t="n">
        <v>554.773314238658</v>
      </c>
      <c r="AK35" s="1" t="n">
        <v>554.773314238658</v>
      </c>
      <c r="AL35" s="1" t="n">
        <v>1061.78468751637</v>
      </c>
      <c r="AM35" s="1" t="n">
        <v>1061.78468751637</v>
      </c>
      <c r="AN35" s="1" t="n">
        <v>1061.78468751637</v>
      </c>
      <c r="AO35" s="1" t="n">
        <v>1061.78468751637</v>
      </c>
      <c r="AP35" s="1" t="n">
        <v>1061.78468751637</v>
      </c>
      <c r="AQ35" s="1" t="n">
        <v>977.282791970085</v>
      </c>
      <c r="AR35" s="1" t="n">
        <v>977.282791970085</v>
      </c>
      <c r="AS35" s="1" t="n">
        <v>977.282791970085</v>
      </c>
      <c r="AT35" s="1" t="n">
        <v>977.282791970085</v>
      </c>
      <c r="AU35" s="1" t="n">
        <v>1307.94238323816</v>
      </c>
      <c r="AV35" s="1" t="n">
        <v>1307.94238323816</v>
      </c>
      <c r="AW35" s="1" t="n">
        <v>1307.94238323816</v>
      </c>
      <c r="AX35" s="1" t="n">
        <v>1307.94238323816</v>
      </c>
      <c r="AY35" s="1" t="n">
        <v>1285.89841048695</v>
      </c>
      <c r="AZ35" s="1" t="n">
        <v>1285.89841048695</v>
      </c>
      <c r="BA35" s="1" t="n">
        <v>1285.89841048695</v>
      </c>
      <c r="BB35" s="1" t="n">
        <v>1285.89841048695</v>
      </c>
    </row>
    <row r="36" customFormat="false" ht="15" hidden="false" customHeight="false" outlineLevel="0" collapsed="false">
      <c r="A36" s="0" t="s">
        <v>86</v>
      </c>
      <c r="B36" s="1" t="n">
        <f aca="false">AVERAGE(C36:BB36)</f>
        <v>905.003996699307</v>
      </c>
      <c r="C36" s="1" t="n">
        <v>657.645187077614</v>
      </c>
      <c r="D36" s="1" t="n">
        <v>657.645187077614</v>
      </c>
      <c r="E36" s="1" t="n">
        <v>657.645187077614</v>
      </c>
      <c r="F36" s="1" t="n">
        <v>657.645187077614</v>
      </c>
      <c r="G36" s="1" t="n">
        <v>760.517059916571</v>
      </c>
      <c r="H36" s="1" t="n">
        <v>760.517059916571</v>
      </c>
      <c r="I36" s="1" t="n">
        <v>760.517059916571</v>
      </c>
      <c r="J36" s="1" t="n">
        <v>760.517059916571</v>
      </c>
      <c r="K36" s="1" t="n">
        <v>999.32676472129</v>
      </c>
      <c r="L36" s="1" t="n">
        <v>999.32676472129</v>
      </c>
      <c r="M36" s="1" t="n">
        <v>999.32676472129</v>
      </c>
      <c r="N36" s="1" t="n">
        <v>999.32676472129</v>
      </c>
      <c r="O36" s="1" t="n">
        <v>1032.3927238481</v>
      </c>
      <c r="P36" s="1" t="n">
        <v>1032.3927238481</v>
      </c>
      <c r="Q36" s="1" t="n">
        <v>1032.3927238481</v>
      </c>
      <c r="R36" s="1" t="n">
        <v>1032.3927238481</v>
      </c>
      <c r="S36" s="1" t="n">
        <v>1032.3927238481</v>
      </c>
      <c r="T36" s="1" t="n">
        <v>606.209250658136</v>
      </c>
      <c r="U36" s="1" t="n">
        <v>606.209250658136</v>
      </c>
      <c r="V36" s="1" t="n">
        <v>606.209250658136</v>
      </c>
      <c r="W36" s="1" t="n">
        <v>606.209250658136</v>
      </c>
      <c r="X36" s="1" t="n">
        <v>1028.71872838956</v>
      </c>
      <c r="Y36" s="1" t="n">
        <v>1028.71872838956</v>
      </c>
      <c r="Z36" s="1" t="n">
        <v>1028.71872838956</v>
      </c>
      <c r="AA36" s="1" t="n">
        <v>1028.71872838956</v>
      </c>
      <c r="AB36" s="1" t="n">
        <v>1028.71872838956</v>
      </c>
      <c r="AC36" s="1" t="n">
        <v>569.469296072794</v>
      </c>
      <c r="AD36" s="1" t="n">
        <v>569.469296072794</v>
      </c>
      <c r="AE36" s="1" t="n">
        <v>569.469296072794</v>
      </c>
      <c r="AF36" s="1" t="n">
        <v>569.469296072794</v>
      </c>
      <c r="AG36" s="1" t="n">
        <v>569.469296072794</v>
      </c>
      <c r="AH36" s="1" t="n">
        <v>554.773314238658</v>
      </c>
      <c r="AI36" s="1" t="n">
        <v>554.773314238658</v>
      </c>
      <c r="AJ36" s="1" t="n">
        <v>554.773314238658</v>
      </c>
      <c r="AK36" s="1" t="n">
        <v>554.773314238658</v>
      </c>
      <c r="AL36" s="1" t="n">
        <v>1061.78468751637</v>
      </c>
      <c r="AM36" s="1" t="n">
        <v>1061.78468751637</v>
      </c>
      <c r="AN36" s="1" t="n">
        <v>1061.78468751637</v>
      </c>
      <c r="AO36" s="1" t="n">
        <v>1061.78468751637</v>
      </c>
      <c r="AP36" s="1" t="n">
        <v>1061.78468751637</v>
      </c>
      <c r="AQ36" s="1" t="n">
        <v>977.282791970085</v>
      </c>
      <c r="AR36" s="1" t="n">
        <v>977.282791970085</v>
      </c>
      <c r="AS36" s="1" t="n">
        <v>977.282791970085</v>
      </c>
      <c r="AT36" s="1" t="n">
        <v>977.282791970085</v>
      </c>
      <c r="AU36" s="1" t="n">
        <v>1307.94238323816</v>
      </c>
      <c r="AV36" s="1" t="n">
        <v>1307.94238323816</v>
      </c>
      <c r="AW36" s="1" t="n">
        <v>1307.94238323816</v>
      </c>
      <c r="AX36" s="1" t="n">
        <v>1307.94238323816</v>
      </c>
      <c r="AY36" s="1" t="n">
        <v>1285.89841048695</v>
      </c>
      <c r="AZ36" s="1" t="n">
        <v>1285.89841048695</v>
      </c>
      <c r="BA36" s="1" t="n">
        <v>1285.89841048695</v>
      </c>
      <c r="BB36" s="1" t="n">
        <v>1285.89841048695</v>
      </c>
    </row>
    <row r="37" customFormat="false" ht="15" hidden="false" customHeight="false" outlineLevel="0" collapsed="false">
      <c r="A37" s="0" t="s">
        <v>87</v>
      </c>
      <c r="B37" s="1" t="n">
        <f aca="false">AVERAGE(C37:BB37)</f>
        <v>905.003996699307</v>
      </c>
      <c r="C37" s="1" t="n">
        <v>657.645187077614</v>
      </c>
      <c r="D37" s="1" t="n">
        <v>657.645187077614</v>
      </c>
      <c r="E37" s="1" t="n">
        <v>657.645187077614</v>
      </c>
      <c r="F37" s="1" t="n">
        <v>657.645187077614</v>
      </c>
      <c r="G37" s="1" t="n">
        <v>760.517059916571</v>
      </c>
      <c r="H37" s="1" t="n">
        <v>760.517059916571</v>
      </c>
      <c r="I37" s="1" t="n">
        <v>760.517059916571</v>
      </c>
      <c r="J37" s="1" t="n">
        <v>760.517059916571</v>
      </c>
      <c r="K37" s="1" t="n">
        <v>999.32676472129</v>
      </c>
      <c r="L37" s="1" t="n">
        <v>999.32676472129</v>
      </c>
      <c r="M37" s="1" t="n">
        <v>999.32676472129</v>
      </c>
      <c r="N37" s="1" t="n">
        <v>999.32676472129</v>
      </c>
      <c r="O37" s="1" t="n">
        <v>1032.3927238481</v>
      </c>
      <c r="P37" s="1" t="n">
        <v>1032.3927238481</v>
      </c>
      <c r="Q37" s="1" t="n">
        <v>1032.3927238481</v>
      </c>
      <c r="R37" s="1" t="n">
        <v>1032.3927238481</v>
      </c>
      <c r="S37" s="1" t="n">
        <v>1032.3927238481</v>
      </c>
      <c r="T37" s="1" t="n">
        <v>606.209250658136</v>
      </c>
      <c r="U37" s="1" t="n">
        <v>606.209250658136</v>
      </c>
      <c r="V37" s="1" t="n">
        <v>606.209250658136</v>
      </c>
      <c r="W37" s="1" t="n">
        <v>606.209250658136</v>
      </c>
      <c r="X37" s="1" t="n">
        <v>1028.71872838956</v>
      </c>
      <c r="Y37" s="1" t="n">
        <v>1028.71872838956</v>
      </c>
      <c r="Z37" s="1" t="n">
        <v>1028.71872838956</v>
      </c>
      <c r="AA37" s="1" t="n">
        <v>1028.71872838956</v>
      </c>
      <c r="AB37" s="1" t="n">
        <v>1028.71872838956</v>
      </c>
      <c r="AC37" s="1" t="n">
        <v>569.469296072794</v>
      </c>
      <c r="AD37" s="1" t="n">
        <v>569.469296072794</v>
      </c>
      <c r="AE37" s="1" t="n">
        <v>569.469296072794</v>
      </c>
      <c r="AF37" s="1" t="n">
        <v>569.469296072794</v>
      </c>
      <c r="AG37" s="1" t="n">
        <v>569.469296072794</v>
      </c>
      <c r="AH37" s="1" t="n">
        <v>554.773314238658</v>
      </c>
      <c r="AI37" s="1" t="n">
        <v>554.773314238658</v>
      </c>
      <c r="AJ37" s="1" t="n">
        <v>554.773314238658</v>
      </c>
      <c r="AK37" s="1" t="n">
        <v>554.773314238658</v>
      </c>
      <c r="AL37" s="1" t="n">
        <v>1061.78468751637</v>
      </c>
      <c r="AM37" s="1" t="n">
        <v>1061.78468751637</v>
      </c>
      <c r="AN37" s="1" t="n">
        <v>1061.78468751637</v>
      </c>
      <c r="AO37" s="1" t="n">
        <v>1061.78468751637</v>
      </c>
      <c r="AP37" s="1" t="n">
        <v>1061.78468751637</v>
      </c>
      <c r="AQ37" s="1" t="n">
        <v>977.282791970085</v>
      </c>
      <c r="AR37" s="1" t="n">
        <v>977.282791970085</v>
      </c>
      <c r="AS37" s="1" t="n">
        <v>977.282791970085</v>
      </c>
      <c r="AT37" s="1" t="n">
        <v>977.282791970085</v>
      </c>
      <c r="AU37" s="1" t="n">
        <v>1307.94238323816</v>
      </c>
      <c r="AV37" s="1" t="n">
        <v>1307.94238323816</v>
      </c>
      <c r="AW37" s="1" t="n">
        <v>1307.94238323816</v>
      </c>
      <c r="AX37" s="1" t="n">
        <v>1307.94238323816</v>
      </c>
      <c r="AY37" s="1" t="n">
        <v>1285.89841048695</v>
      </c>
      <c r="AZ37" s="1" t="n">
        <v>1285.89841048695</v>
      </c>
      <c r="BA37" s="1" t="n">
        <v>1285.89841048695</v>
      </c>
      <c r="BB37" s="1" t="n">
        <v>1285.89841048695</v>
      </c>
    </row>
    <row r="38" customFormat="false" ht="15" hidden="false" customHeight="false" outlineLevel="0" collapsed="false">
      <c r="A38" s="0" t="s">
        <v>88</v>
      </c>
      <c r="B38" s="1" t="n">
        <f aca="false">AVERAGE(C38:BB38)</f>
        <v>905.003996699307</v>
      </c>
      <c r="C38" s="1" t="n">
        <v>657.645187077614</v>
      </c>
      <c r="D38" s="1" t="n">
        <v>657.645187077614</v>
      </c>
      <c r="E38" s="1" t="n">
        <v>657.645187077614</v>
      </c>
      <c r="F38" s="1" t="n">
        <v>657.645187077614</v>
      </c>
      <c r="G38" s="1" t="n">
        <v>760.517059916571</v>
      </c>
      <c r="H38" s="1" t="n">
        <v>760.517059916571</v>
      </c>
      <c r="I38" s="1" t="n">
        <v>760.517059916571</v>
      </c>
      <c r="J38" s="1" t="n">
        <v>760.517059916571</v>
      </c>
      <c r="K38" s="1" t="n">
        <v>999.32676472129</v>
      </c>
      <c r="L38" s="1" t="n">
        <v>999.32676472129</v>
      </c>
      <c r="M38" s="1" t="n">
        <v>999.32676472129</v>
      </c>
      <c r="N38" s="1" t="n">
        <v>999.32676472129</v>
      </c>
      <c r="O38" s="1" t="n">
        <v>1032.3927238481</v>
      </c>
      <c r="P38" s="1" t="n">
        <v>1032.3927238481</v>
      </c>
      <c r="Q38" s="1" t="n">
        <v>1032.3927238481</v>
      </c>
      <c r="R38" s="1" t="n">
        <v>1032.3927238481</v>
      </c>
      <c r="S38" s="1" t="n">
        <v>1032.3927238481</v>
      </c>
      <c r="T38" s="1" t="n">
        <v>606.209250658136</v>
      </c>
      <c r="U38" s="1" t="n">
        <v>606.209250658136</v>
      </c>
      <c r="V38" s="1" t="n">
        <v>606.209250658136</v>
      </c>
      <c r="W38" s="1" t="n">
        <v>606.209250658136</v>
      </c>
      <c r="X38" s="1" t="n">
        <v>1028.71872838956</v>
      </c>
      <c r="Y38" s="1" t="n">
        <v>1028.71872838956</v>
      </c>
      <c r="Z38" s="1" t="n">
        <v>1028.71872838956</v>
      </c>
      <c r="AA38" s="1" t="n">
        <v>1028.71872838956</v>
      </c>
      <c r="AB38" s="1" t="n">
        <v>1028.71872838956</v>
      </c>
      <c r="AC38" s="1" t="n">
        <v>569.469296072794</v>
      </c>
      <c r="AD38" s="1" t="n">
        <v>569.469296072794</v>
      </c>
      <c r="AE38" s="1" t="n">
        <v>569.469296072794</v>
      </c>
      <c r="AF38" s="1" t="n">
        <v>569.469296072794</v>
      </c>
      <c r="AG38" s="1" t="n">
        <v>569.469296072794</v>
      </c>
      <c r="AH38" s="1" t="n">
        <v>554.773314238658</v>
      </c>
      <c r="AI38" s="1" t="n">
        <v>554.773314238658</v>
      </c>
      <c r="AJ38" s="1" t="n">
        <v>554.773314238658</v>
      </c>
      <c r="AK38" s="1" t="n">
        <v>554.773314238658</v>
      </c>
      <c r="AL38" s="1" t="n">
        <v>1061.78468751637</v>
      </c>
      <c r="AM38" s="1" t="n">
        <v>1061.78468751637</v>
      </c>
      <c r="AN38" s="1" t="n">
        <v>1061.78468751637</v>
      </c>
      <c r="AO38" s="1" t="n">
        <v>1061.78468751637</v>
      </c>
      <c r="AP38" s="1" t="n">
        <v>1061.78468751637</v>
      </c>
      <c r="AQ38" s="1" t="n">
        <v>977.282791970085</v>
      </c>
      <c r="AR38" s="1" t="n">
        <v>977.282791970085</v>
      </c>
      <c r="AS38" s="1" t="n">
        <v>977.282791970085</v>
      </c>
      <c r="AT38" s="1" t="n">
        <v>977.282791970085</v>
      </c>
      <c r="AU38" s="1" t="n">
        <v>1307.94238323816</v>
      </c>
      <c r="AV38" s="1" t="n">
        <v>1307.94238323816</v>
      </c>
      <c r="AW38" s="1" t="n">
        <v>1307.94238323816</v>
      </c>
      <c r="AX38" s="1" t="n">
        <v>1307.94238323816</v>
      </c>
      <c r="AY38" s="1" t="n">
        <v>1285.89841048695</v>
      </c>
      <c r="AZ38" s="1" t="n">
        <v>1285.89841048695</v>
      </c>
      <c r="BA38" s="1" t="n">
        <v>1285.89841048695</v>
      </c>
      <c r="BB38" s="1" t="n">
        <v>1285.89841048695</v>
      </c>
    </row>
    <row r="39" customFormat="false" ht="15" hidden="false" customHeight="false" outlineLevel="0" collapsed="false">
      <c r="A39" s="0" t="s">
        <v>89</v>
      </c>
      <c r="B39" s="1" t="n">
        <f aca="false">AVERAGE(C39:BB39)</f>
        <v>905.003996699307</v>
      </c>
      <c r="C39" s="1" t="n">
        <v>657.645187077614</v>
      </c>
      <c r="D39" s="1" t="n">
        <v>657.645187077614</v>
      </c>
      <c r="E39" s="1" t="n">
        <v>657.645187077614</v>
      </c>
      <c r="F39" s="1" t="n">
        <v>657.645187077614</v>
      </c>
      <c r="G39" s="1" t="n">
        <v>760.517059916571</v>
      </c>
      <c r="H39" s="1" t="n">
        <v>760.517059916571</v>
      </c>
      <c r="I39" s="1" t="n">
        <v>760.517059916571</v>
      </c>
      <c r="J39" s="1" t="n">
        <v>760.517059916571</v>
      </c>
      <c r="K39" s="1" t="n">
        <v>999.32676472129</v>
      </c>
      <c r="L39" s="1" t="n">
        <v>999.32676472129</v>
      </c>
      <c r="M39" s="1" t="n">
        <v>999.32676472129</v>
      </c>
      <c r="N39" s="1" t="n">
        <v>999.32676472129</v>
      </c>
      <c r="O39" s="1" t="n">
        <v>1032.3927238481</v>
      </c>
      <c r="P39" s="1" t="n">
        <v>1032.3927238481</v>
      </c>
      <c r="Q39" s="1" t="n">
        <v>1032.3927238481</v>
      </c>
      <c r="R39" s="1" t="n">
        <v>1032.3927238481</v>
      </c>
      <c r="S39" s="1" t="n">
        <v>1032.3927238481</v>
      </c>
      <c r="T39" s="1" t="n">
        <v>606.209250658136</v>
      </c>
      <c r="U39" s="1" t="n">
        <v>606.209250658136</v>
      </c>
      <c r="V39" s="1" t="n">
        <v>606.209250658136</v>
      </c>
      <c r="W39" s="1" t="n">
        <v>606.209250658136</v>
      </c>
      <c r="X39" s="1" t="n">
        <v>1028.71872838956</v>
      </c>
      <c r="Y39" s="1" t="n">
        <v>1028.71872838956</v>
      </c>
      <c r="Z39" s="1" t="n">
        <v>1028.71872838956</v>
      </c>
      <c r="AA39" s="1" t="n">
        <v>1028.71872838956</v>
      </c>
      <c r="AB39" s="1" t="n">
        <v>1028.71872838956</v>
      </c>
      <c r="AC39" s="1" t="n">
        <v>569.469296072794</v>
      </c>
      <c r="AD39" s="1" t="n">
        <v>569.469296072794</v>
      </c>
      <c r="AE39" s="1" t="n">
        <v>569.469296072794</v>
      </c>
      <c r="AF39" s="1" t="n">
        <v>569.469296072794</v>
      </c>
      <c r="AG39" s="1" t="n">
        <v>569.469296072794</v>
      </c>
      <c r="AH39" s="1" t="n">
        <v>554.773314238658</v>
      </c>
      <c r="AI39" s="1" t="n">
        <v>554.773314238658</v>
      </c>
      <c r="AJ39" s="1" t="n">
        <v>554.773314238658</v>
      </c>
      <c r="AK39" s="1" t="n">
        <v>554.773314238658</v>
      </c>
      <c r="AL39" s="1" t="n">
        <v>1061.78468751637</v>
      </c>
      <c r="AM39" s="1" t="n">
        <v>1061.78468751637</v>
      </c>
      <c r="AN39" s="1" t="n">
        <v>1061.78468751637</v>
      </c>
      <c r="AO39" s="1" t="n">
        <v>1061.78468751637</v>
      </c>
      <c r="AP39" s="1" t="n">
        <v>1061.78468751637</v>
      </c>
      <c r="AQ39" s="1" t="n">
        <v>977.282791970085</v>
      </c>
      <c r="AR39" s="1" t="n">
        <v>977.282791970085</v>
      </c>
      <c r="AS39" s="1" t="n">
        <v>977.282791970085</v>
      </c>
      <c r="AT39" s="1" t="n">
        <v>977.282791970085</v>
      </c>
      <c r="AU39" s="1" t="n">
        <v>1307.94238323816</v>
      </c>
      <c r="AV39" s="1" t="n">
        <v>1307.94238323816</v>
      </c>
      <c r="AW39" s="1" t="n">
        <v>1307.94238323816</v>
      </c>
      <c r="AX39" s="1" t="n">
        <v>1307.94238323816</v>
      </c>
      <c r="AY39" s="1" t="n">
        <v>1285.89841048695</v>
      </c>
      <c r="AZ39" s="1" t="n">
        <v>1285.89841048695</v>
      </c>
      <c r="BA39" s="1" t="n">
        <v>1285.89841048695</v>
      </c>
      <c r="BB39" s="1" t="n">
        <v>1285.89841048695</v>
      </c>
    </row>
    <row r="40" customFormat="false" ht="15" hidden="false" customHeight="false" outlineLevel="0" collapsed="false">
      <c r="A40" s="0" t="s">
        <v>90</v>
      </c>
      <c r="B40" s="1" t="n">
        <f aca="false">AVERAGE(C40:BB40)</f>
        <v>905.003996699307</v>
      </c>
      <c r="C40" s="1" t="n">
        <v>657.645187077614</v>
      </c>
      <c r="D40" s="1" t="n">
        <v>657.645187077614</v>
      </c>
      <c r="E40" s="1" t="n">
        <v>657.645187077614</v>
      </c>
      <c r="F40" s="1" t="n">
        <v>657.645187077614</v>
      </c>
      <c r="G40" s="1" t="n">
        <v>760.517059916571</v>
      </c>
      <c r="H40" s="1" t="n">
        <v>760.517059916571</v>
      </c>
      <c r="I40" s="1" t="n">
        <v>760.517059916571</v>
      </c>
      <c r="J40" s="1" t="n">
        <v>760.517059916571</v>
      </c>
      <c r="K40" s="1" t="n">
        <v>999.32676472129</v>
      </c>
      <c r="L40" s="1" t="n">
        <v>999.32676472129</v>
      </c>
      <c r="M40" s="1" t="n">
        <v>999.32676472129</v>
      </c>
      <c r="N40" s="1" t="n">
        <v>999.32676472129</v>
      </c>
      <c r="O40" s="1" t="n">
        <v>1032.3927238481</v>
      </c>
      <c r="P40" s="1" t="n">
        <v>1032.3927238481</v>
      </c>
      <c r="Q40" s="1" t="n">
        <v>1032.3927238481</v>
      </c>
      <c r="R40" s="1" t="n">
        <v>1032.3927238481</v>
      </c>
      <c r="S40" s="1" t="n">
        <v>1032.3927238481</v>
      </c>
      <c r="T40" s="1" t="n">
        <v>606.209250658136</v>
      </c>
      <c r="U40" s="1" t="n">
        <v>606.209250658136</v>
      </c>
      <c r="V40" s="1" t="n">
        <v>606.209250658136</v>
      </c>
      <c r="W40" s="1" t="n">
        <v>606.209250658136</v>
      </c>
      <c r="X40" s="1" t="n">
        <v>1028.71872838956</v>
      </c>
      <c r="Y40" s="1" t="n">
        <v>1028.71872838956</v>
      </c>
      <c r="Z40" s="1" t="n">
        <v>1028.71872838956</v>
      </c>
      <c r="AA40" s="1" t="n">
        <v>1028.71872838956</v>
      </c>
      <c r="AB40" s="1" t="n">
        <v>1028.71872838956</v>
      </c>
      <c r="AC40" s="1" t="n">
        <v>569.469296072794</v>
      </c>
      <c r="AD40" s="1" t="n">
        <v>569.469296072794</v>
      </c>
      <c r="AE40" s="1" t="n">
        <v>569.469296072794</v>
      </c>
      <c r="AF40" s="1" t="n">
        <v>569.469296072794</v>
      </c>
      <c r="AG40" s="1" t="n">
        <v>569.469296072794</v>
      </c>
      <c r="AH40" s="1" t="n">
        <v>554.773314238658</v>
      </c>
      <c r="AI40" s="1" t="n">
        <v>554.773314238658</v>
      </c>
      <c r="AJ40" s="1" t="n">
        <v>554.773314238658</v>
      </c>
      <c r="AK40" s="1" t="n">
        <v>554.773314238658</v>
      </c>
      <c r="AL40" s="1" t="n">
        <v>1061.78468751637</v>
      </c>
      <c r="AM40" s="1" t="n">
        <v>1061.78468751637</v>
      </c>
      <c r="AN40" s="1" t="n">
        <v>1061.78468751637</v>
      </c>
      <c r="AO40" s="1" t="n">
        <v>1061.78468751637</v>
      </c>
      <c r="AP40" s="1" t="n">
        <v>1061.78468751637</v>
      </c>
      <c r="AQ40" s="1" t="n">
        <v>977.282791970085</v>
      </c>
      <c r="AR40" s="1" t="n">
        <v>977.282791970085</v>
      </c>
      <c r="AS40" s="1" t="n">
        <v>977.282791970085</v>
      </c>
      <c r="AT40" s="1" t="n">
        <v>977.282791970085</v>
      </c>
      <c r="AU40" s="1" t="n">
        <v>1307.94238323816</v>
      </c>
      <c r="AV40" s="1" t="n">
        <v>1307.94238323816</v>
      </c>
      <c r="AW40" s="1" t="n">
        <v>1307.94238323816</v>
      </c>
      <c r="AX40" s="1" t="n">
        <v>1307.94238323816</v>
      </c>
      <c r="AY40" s="1" t="n">
        <v>1285.89841048695</v>
      </c>
      <c r="AZ40" s="1" t="n">
        <v>1285.89841048695</v>
      </c>
      <c r="BA40" s="1" t="n">
        <v>1285.89841048695</v>
      </c>
      <c r="BB40" s="1" t="n">
        <v>1285.89841048695</v>
      </c>
    </row>
    <row r="41" customFormat="false" ht="15" hidden="false" customHeight="false" outlineLevel="0" collapsed="false">
      <c r="A41" s="0" t="s">
        <v>91</v>
      </c>
      <c r="B41" s="1" t="n">
        <f aca="false">AVERAGE(C41:BB41)</f>
        <v>905.003996699307</v>
      </c>
      <c r="C41" s="1" t="n">
        <v>657.645187077614</v>
      </c>
      <c r="D41" s="1" t="n">
        <v>657.645187077614</v>
      </c>
      <c r="E41" s="1" t="n">
        <v>657.645187077614</v>
      </c>
      <c r="F41" s="1" t="n">
        <v>657.645187077614</v>
      </c>
      <c r="G41" s="1" t="n">
        <v>760.517059916571</v>
      </c>
      <c r="H41" s="1" t="n">
        <v>760.517059916571</v>
      </c>
      <c r="I41" s="1" t="n">
        <v>760.517059916571</v>
      </c>
      <c r="J41" s="1" t="n">
        <v>760.517059916571</v>
      </c>
      <c r="K41" s="1" t="n">
        <v>999.32676472129</v>
      </c>
      <c r="L41" s="1" t="n">
        <v>999.32676472129</v>
      </c>
      <c r="M41" s="1" t="n">
        <v>999.32676472129</v>
      </c>
      <c r="N41" s="1" t="n">
        <v>999.32676472129</v>
      </c>
      <c r="O41" s="1" t="n">
        <v>1032.3927238481</v>
      </c>
      <c r="P41" s="1" t="n">
        <v>1032.3927238481</v>
      </c>
      <c r="Q41" s="1" t="n">
        <v>1032.3927238481</v>
      </c>
      <c r="R41" s="1" t="n">
        <v>1032.3927238481</v>
      </c>
      <c r="S41" s="1" t="n">
        <v>1032.3927238481</v>
      </c>
      <c r="T41" s="1" t="n">
        <v>606.209250658136</v>
      </c>
      <c r="U41" s="1" t="n">
        <v>606.209250658136</v>
      </c>
      <c r="V41" s="1" t="n">
        <v>606.209250658136</v>
      </c>
      <c r="W41" s="1" t="n">
        <v>606.209250658136</v>
      </c>
      <c r="X41" s="1" t="n">
        <v>1028.71872838956</v>
      </c>
      <c r="Y41" s="1" t="n">
        <v>1028.71872838956</v>
      </c>
      <c r="Z41" s="1" t="n">
        <v>1028.71872838956</v>
      </c>
      <c r="AA41" s="1" t="n">
        <v>1028.71872838956</v>
      </c>
      <c r="AB41" s="1" t="n">
        <v>1028.71872838956</v>
      </c>
      <c r="AC41" s="1" t="n">
        <v>569.469296072794</v>
      </c>
      <c r="AD41" s="1" t="n">
        <v>569.469296072794</v>
      </c>
      <c r="AE41" s="1" t="n">
        <v>569.469296072794</v>
      </c>
      <c r="AF41" s="1" t="n">
        <v>569.469296072794</v>
      </c>
      <c r="AG41" s="1" t="n">
        <v>569.469296072794</v>
      </c>
      <c r="AH41" s="1" t="n">
        <v>554.773314238658</v>
      </c>
      <c r="AI41" s="1" t="n">
        <v>554.773314238658</v>
      </c>
      <c r="AJ41" s="1" t="n">
        <v>554.773314238658</v>
      </c>
      <c r="AK41" s="1" t="n">
        <v>554.773314238658</v>
      </c>
      <c r="AL41" s="1" t="n">
        <v>1061.78468751637</v>
      </c>
      <c r="AM41" s="1" t="n">
        <v>1061.78468751637</v>
      </c>
      <c r="AN41" s="1" t="n">
        <v>1061.78468751637</v>
      </c>
      <c r="AO41" s="1" t="n">
        <v>1061.78468751637</v>
      </c>
      <c r="AP41" s="1" t="n">
        <v>1061.78468751637</v>
      </c>
      <c r="AQ41" s="1" t="n">
        <v>977.282791970085</v>
      </c>
      <c r="AR41" s="1" t="n">
        <v>977.282791970085</v>
      </c>
      <c r="AS41" s="1" t="n">
        <v>977.282791970085</v>
      </c>
      <c r="AT41" s="1" t="n">
        <v>977.282791970085</v>
      </c>
      <c r="AU41" s="1" t="n">
        <v>1307.94238323816</v>
      </c>
      <c r="AV41" s="1" t="n">
        <v>1307.94238323816</v>
      </c>
      <c r="AW41" s="1" t="n">
        <v>1307.94238323816</v>
      </c>
      <c r="AX41" s="1" t="n">
        <v>1307.94238323816</v>
      </c>
      <c r="AY41" s="1" t="n">
        <v>1285.89841048695</v>
      </c>
      <c r="AZ41" s="1" t="n">
        <v>1285.89841048695</v>
      </c>
      <c r="BA41" s="1" t="n">
        <v>1285.89841048695</v>
      </c>
      <c r="BB41" s="1" t="n">
        <v>1285.89841048695</v>
      </c>
    </row>
    <row r="42" customFormat="false" ht="15" hidden="false" customHeight="false" outlineLevel="0" collapsed="false">
      <c r="A42" s="0" t="s">
        <v>92</v>
      </c>
      <c r="B42" s="1" t="n">
        <f aca="false">AVERAGE(C42:BB42)</f>
        <v>5838.52621972803</v>
      </c>
      <c r="C42" s="1" t="n">
        <v>4242.72012282211</v>
      </c>
      <c r="D42" s="1" t="n">
        <v>4242.72012282211</v>
      </c>
      <c r="E42" s="1" t="n">
        <v>4242.72012282211</v>
      </c>
      <c r="F42" s="1" t="n">
        <v>4242.72012282211</v>
      </c>
      <c r="G42" s="1" t="n">
        <v>4906.38584035854</v>
      </c>
      <c r="H42" s="1" t="n">
        <v>4906.38584035854</v>
      </c>
      <c r="I42" s="1" t="n">
        <v>4906.38584035854</v>
      </c>
      <c r="J42" s="1" t="n">
        <v>4906.38584035854</v>
      </c>
      <c r="K42" s="1" t="n">
        <v>6447.03839892523</v>
      </c>
      <c r="L42" s="1" t="n">
        <v>6447.03839892523</v>
      </c>
      <c r="M42" s="1" t="n">
        <v>6447.03839892523</v>
      </c>
      <c r="N42" s="1" t="n">
        <v>6447.03839892523</v>
      </c>
      <c r="O42" s="1" t="n">
        <v>6660.35952241908</v>
      </c>
      <c r="P42" s="1" t="n">
        <v>6660.35952241908</v>
      </c>
      <c r="Q42" s="1" t="n">
        <v>6660.35952241908</v>
      </c>
      <c r="R42" s="1" t="n">
        <v>6660.35952241908</v>
      </c>
      <c r="S42" s="1" t="n">
        <v>6660.35952241908</v>
      </c>
      <c r="T42" s="1" t="n">
        <v>3910.88726405391</v>
      </c>
      <c r="U42" s="1" t="n">
        <v>3910.88726405391</v>
      </c>
      <c r="V42" s="1" t="n">
        <v>3910.88726405391</v>
      </c>
      <c r="W42" s="1" t="n">
        <v>3910.88726405391</v>
      </c>
      <c r="X42" s="1" t="n">
        <v>6636.6571753642</v>
      </c>
      <c r="Y42" s="1" t="n">
        <v>6636.6571753642</v>
      </c>
      <c r="Z42" s="1" t="n">
        <v>6636.6571753642</v>
      </c>
      <c r="AA42" s="1" t="n">
        <v>6636.6571753642</v>
      </c>
      <c r="AB42" s="1" t="n">
        <v>6636.6571753642</v>
      </c>
      <c r="AC42" s="1" t="n">
        <v>3673.86379350518</v>
      </c>
      <c r="AD42" s="1" t="n">
        <v>3673.86379350518</v>
      </c>
      <c r="AE42" s="1" t="n">
        <v>3673.86379350518</v>
      </c>
      <c r="AF42" s="1" t="n">
        <v>3673.86379350518</v>
      </c>
      <c r="AG42" s="1" t="n">
        <v>3673.86379350518</v>
      </c>
      <c r="AH42" s="1" t="n">
        <v>3579.0544052857</v>
      </c>
      <c r="AI42" s="1" t="n">
        <v>3579.0544052857</v>
      </c>
      <c r="AJ42" s="1" t="n">
        <v>3579.0544052857</v>
      </c>
      <c r="AK42" s="1" t="n">
        <v>3579.0544052857</v>
      </c>
      <c r="AL42" s="1" t="n">
        <v>6849.97829885805</v>
      </c>
      <c r="AM42" s="1" t="n">
        <v>6849.97829885805</v>
      </c>
      <c r="AN42" s="1" t="n">
        <v>6849.97829885805</v>
      </c>
      <c r="AO42" s="1" t="n">
        <v>6849.97829885805</v>
      </c>
      <c r="AP42" s="1" t="n">
        <v>6849.97829885805</v>
      </c>
      <c r="AQ42" s="1" t="n">
        <v>6304.82431659599</v>
      </c>
      <c r="AR42" s="1" t="n">
        <v>6304.82431659599</v>
      </c>
      <c r="AS42" s="1" t="n">
        <v>6304.82431659599</v>
      </c>
      <c r="AT42" s="1" t="n">
        <v>6304.82431659599</v>
      </c>
      <c r="AU42" s="1" t="n">
        <v>8438.03555153449</v>
      </c>
      <c r="AV42" s="1" t="n">
        <v>8438.03555153449</v>
      </c>
      <c r="AW42" s="1" t="n">
        <v>8438.03555153449</v>
      </c>
      <c r="AX42" s="1" t="n">
        <v>8438.03555153449</v>
      </c>
      <c r="AY42" s="1" t="n">
        <v>8295.82146920525</v>
      </c>
      <c r="AZ42" s="1" t="n">
        <v>8295.82146920525</v>
      </c>
      <c r="BA42" s="1" t="n">
        <v>8295.82146920525</v>
      </c>
      <c r="BB42" s="1" t="n">
        <v>8295.82146920525</v>
      </c>
    </row>
    <row r="43" customFormat="false" ht="15" hidden="false" customHeight="false" outlineLevel="0" collapsed="false">
      <c r="A43" s="0" t="s">
        <v>93</v>
      </c>
      <c r="B43" s="1" t="n">
        <f aca="false">AVERAGE(C43:BB43)</f>
        <v>5838.52621972803</v>
      </c>
      <c r="C43" s="1" t="n">
        <v>4242.72012282211</v>
      </c>
      <c r="D43" s="1" t="n">
        <v>4242.72012282211</v>
      </c>
      <c r="E43" s="1" t="n">
        <v>4242.72012282211</v>
      </c>
      <c r="F43" s="1" t="n">
        <v>4242.72012282211</v>
      </c>
      <c r="G43" s="1" t="n">
        <v>4906.38584035854</v>
      </c>
      <c r="H43" s="1" t="n">
        <v>4906.38584035854</v>
      </c>
      <c r="I43" s="1" t="n">
        <v>4906.38584035854</v>
      </c>
      <c r="J43" s="1" t="n">
        <v>4906.38584035854</v>
      </c>
      <c r="K43" s="1" t="n">
        <v>6447.03839892523</v>
      </c>
      <c r="L43" s="1" t="n">
        <v>6447.03839892523</v>
      </c>
      <c r="M43" s="1" t="n">
        <v>6447.03839892523</v>
      </c>
      <c r="N43" s="1" t="n">
        <v>6447.03839892523</v>
      </c>
      <c r="O43" s="1" t="n">
        <v>6660.35952241908</v>
      </c>
      <c r="P43" s="1" t="n">
        <v>6660.35952241908</v>
      </c>
      <c r="Q43" s="1" t="n">
        <v>6660.35952241908</v>
      </c>
      <c r="R43" s="1" t="n">
        <v>6660.35952241908</v>
      </c>
      <c r="S43" s="1" t="n">
        <v>6660.35952241908</v>
      </c>
      <c r="T43" s="1" t="n">
        <v>3910.88726405391</v>
      </c>
      <c r="U43" s="1" t="n">
        <v>3910.88726405391</v>
      </c>
      <c r="V43" s="1" t="n">
        <v>3910.88726405391</v>
      </c>
      <c r="W43" s="1" t="n">
        <v>3910.88726405391</v>
      </c>
      <c r="X43" s="1" t="n">
        <v>6636.6571753642</v>
      </c>
      <c r="Y43" s="1" t="n">
        <v>6636.6571753642</v>
      </c>
      <c r="Z43" s="1" t="n">
        <v>6636.6571753642</v>
      </c>
      <c r="AA43" s="1" t="n">
        <v>6636.6571753642</v>
      </c>
      <c r="AB43" s="1" t="n">
        <v>6636.6571753642</v>
      </c>
      <c r="AC43" s="1" t="n">
        <v>3673.86379350518</v>
      </c>
      <c r="AD43" s="1" t="n">
        <v>3673.86379350518</v>
      </c>
      <c r="AE43" s="1" t="n">
        <v>3673.86379350518</v>
      </c>
      <c r="AF43" s="1" t="n">
        <v>3673.86379350518</v>
      </c>
      <c r="AG43" s="1" t="n">
        <v>3673.86379350518</v>
      </c>
      <c r="AH43" s="1" t="n">
        <v>3579.0544052857</v>
      </c>
      <c r="AI43" s="1" t="n">
        <v>3579.0544052857</v>
      </c>
      <c r="AJ43" s="1" t="n">
        <v>3579.0544052857</v>
      </c>
      <c r="AK43" s="1" t="n">
        <v>3579.0544052857</v>
      </c>
      <c r="AL43" s="1" t="n">
        <v>6849.97829885805</v>
      </c>
      <c r="AM43" s="1" t="n">
        <v>6849.97829885805</v>
      </c>
      <c r="AN43" s="1" t="n">
        <v>6849.97829885805</v>
      </c>
      <c r="AO43" s="1" t="n">
        <v>6849.97829885805</v>
      </c>
      <c r="AP43" s="1" t="n">
        <v>6849.97829885805</v>
      </c>
      <c r="AQ43" s="1" t="n">
        <v>6304.82431659599</v>
      </c>
      <c r="AR43" s="1" t="n">
        <v>6304.82431659599</v>
      </c>
      <c r="AS43" s="1" t="n">
        <v>6304.82431659599</v>
      </c>
      <c r="AT43" s="1" t="n">
        <v>6304.82431659599</v>
      </c>
      <c r="AU43" s="1" t="n">
        <v>8438.03555153449</v>
      </c>
      <c r="AV43" s="1" t="n">
        <v>8438.03555153449</v>
      </c>
      <c r="AW43" s="1" t="n">
        <v>8438.03555153449</v>
      </c>
      <c r="AX43" s="1" t="n">
        <v>8438.03555153449</v>
      </c>
      <c r="AY43" s="1" t="n">
        <v>8295.82146920525</v>
      </c>
      <c r="AZ43" s="1" t="n">
        <v>8295.82146920525</v>
      </c>
      <c r="BA43" s="1" t="n">
        <v>8295.82146920525</v>
      </c>
      <c r="BB43" s="1" t="n">
        <v>8295.82146920525</v>
      </c>
    </row>
    <row r="44" customFormat="false" ht="15" hidden="false" customHeight="false" outlineLevel="0" collapsed="false">
      <c r="A44" s="0" t="s">
        <v>94</v>
      </c>
      <c r="B44" s="1" t="n">
        <f aca="false">AVERAGE(C44:BB44)</f>
        <v>5838.52621972803</v>
      </c>
      <c r="C44" s="1" t="n">
        <v>4242.72012282211</v>
      </c>
      <c r="D44" s="1" t="n">
        <v>4242.72012282211</v>
      </c>
      <c r="E44" s="1" t="n">
        <v>4242.72012282211</v>
      </c>
      <c r="F44" s="1" t="n">
        <v>4242.72012282211</v>
      </c>
      <c r="G44" s="1" t="n">
        <v>4906.38584035854</v>
      </c>
      <c r="H44" s="1" t="n">
        <v>4906.38584035854</v>
      </c>
      <c r="I44" s="1" t="n">
        <v>4906.38584035854</v>
      </c>
      <c r="J44" s="1" t="n">
        <v>4906.38584035854</v>
      </c>
      <c r="K44" s="1" t="n">
        <v>6447.03839892523</v>
      </c>
      <c r="L44" s="1" t="n">
        <v>6447.03839892523</v>
      </c>
      <c r="M44" s="1" t="n">
        <v>6447.03839892523</v>
      </c>
      <c r="N44" s="1" t="n">
        <v>6447.03839892523</v>
      </c>
      <c r="O44" s="1" t="n">
        <v>6660.35952241908</v>
      </c>
      <c r="P44" s="1" t="n">
        <v>6660.35952241908</v>
      </c>
      <c r="Q44" s="1" t="n">
        <v>6660.35952241908</v>
      </c>
      <c r="R44" s="1" t="n">
        <v>6660.35952241908</v>
      </c>
      <c r="S44" s="1" t="n">
        <v>6660.35952241908</v>
      </c>
      <c r="T44" s="1" t="n">
        <v>3910.88726405391</v>
      </c>
      <c r="U44" s="1" t="n">
        <v>3910.88726405391</v>
      </c>
      <c r="V44" s="1" t="n">
        <v>3910.88726405391</v>
      </c>
      <c r="W44" s="1" t="n">
        <v>3910.88726405391</v>
      </c>
      <c r="X44" s="1" t="n">
        <v>6636.6571753642</v>
      </c>
      <c r="Y44" s="1" t="n">
        <v>6636.6571753642</v>
      </c>
      <c r="Z44" s="1" t="n">
        <v>6636.6571753642</v>
      </c>
      <c r="AA44" s="1" t="n">
        <v>6636.6571753642</v>
      </c>
      <c r="AB44" s="1" t="n">
        <v>6636.6571753642</v>
      </c>
      <c r="AC44" s="1" t="n">
        <v>3673.86379350518</v>
      </c>
      <c r="AD44" s="1" t="n">
        <v>3673.86379350518</v>
      </c>
      <c r="AE44" s="1" t="n">
        <v>3673.86379350518</v>
      </c>
      <c r="AF44" s="1" t="n">
        <v>3673.86379350518</v>
      </c>
      <c r="AG44" s="1" t="n">
        <v>3673.86379350518</v>
      </c>
      <c r="AH44" s="1" t="n">
        <v>3579.0544052857</v>
      </c>
      <c r="AI44" s="1" t="n">
        <v>3579.0544052857</v>
      </c>
      <c r="AJ44" s="1" t="n">
        <v>3579.0544052857</v>
      </c>
      <c r="AK44" s="1" t="n">
        <v>3579.0544052857</v>
      </c>
      <c r="AL44" s="1" t="n">
        <v>6849.97829885805</v>
      </c>
      <c r="AM44" s="1" t="n">
        <v>6849.97829885805</v>
      </c>
      <c r="AN44" s="1" t="n">
        <v>6849.97829885805</v>
      </c>
      <c r="AO44" s="1" t="n">
        <v>6849.97829885805</v>
      </c>
      <c r="AP44" s="1" t="n">
        <v>6849.97829885805</v>
      </c>
      <c r="AQ44" s="1" t="n">
        <v>6304.82431659599</v>
      </c>
      <c r="AR44" s="1" t="n">
        <v>6304.82431659599</v>
      </c>
      <c r="AS44" s="1" t="n">
        <v>6304.82431659599</v>
      </c>
      <c r="AT44" s="1" t="n">
        <v>6304.82431659599</v>
      </c>
      <c r="AU44" s="1" t="n">
        <v>8438.03555153449</v>
      </c>
      <c r="AV44" s="1" t="n">
        <v>8438.03555153449</v>
      </c>
      <c r="AW44" s="1" t="n">
        <v>8438.03555153449</v>
      </c>
      <c r="AX44" s="1" t="n">
        <v>8438.03555153449</v>
      </c>
      <c r="AY44" s="1" t="n">
        <v>8295.82146920525</v>
      </c>
      <c r="AZ44" s="1" t="n">
        <v>8295.82146920525</v>
      </c>
      <c r="BA44" s="1" t="n">
        <v>8295.82146920525</v>
      </c>
      <c r="BB44" s="1" t="n">
        <v>8295.82146920525</v>
      </c>
    </row>
    <row r="45" customFormat="false" ht="15" hidden="false" customHeight="false" outlineLevel="0" collapsed="false">
      <c r="A45" s="0" t="s">
        <v>95</v>
      </c>
      <c r="B45" s="1" t="n">
        <f aca="false">AVERAGE(C45:BB45)</f>
        <v>5838.52621972803</v>
      </c>
      <c r="C45" s="1" t="n">
        <v>4242.72012282211</v>
      </c>
      <c r="D45" s="1" t="n">
        <v>4242.72012282211</v>
      </c>
      <c r="E45" s="1" t="n">
        <v>4242.72012282211</v>
      </c>
      <c r="F45" s="1" t="n">
        <v>4242.72012282211</v>
      </c>
      <c r="G45" s="1" t="n">
        <v>4906.38584035854</v>
      </c>
      <c r="H45" s="1" t="n">
        <v>4906.38584035854</v>
      </c>
      <c r="I45" s="1" t="n">
        <v>4906.38584035854</v>
      </c>
      <c r="J45" s="1" t="n">
        <v>4906.38584035854</v>
      </c>
      <c r="K45" s="1" t="n">
        <v>6447.03839892523</v>
      </c>
      <c r="L45" s="1" t="n">
        <v>6447.03839892523</v>
      </c>
      <c r="M45" s="1" t="n">
        <v>6447.03839892523</v>
      </c>
      <c r="N45" s="1" t="n">
        <v>6447.03839892523</v>
      </c>
      <c r="O45" s="1" t="n">
        <v>6660.35952241908</v>
      </c>
      <c r="P45" s="1" t="n">
        <v>6660.35952241908</v>
      </c>
      <c r="Q45" s="1" t="n">
        <v>6660.35952241908</v>
      </c>
      <c r="R45" s="1" t="n">
        <v>6660.35952241908</v>
      </c>
      <c r="S45" s="1" t="n">
        <v>6660.35952241908</v>
      </c>
      <c r="T45" s="1" t="n">
        <v>3910.88726405391</v>
      </c>
      <c r="U45" s="1" t="n">
        <v>3910.88726405391</v>
      </c>
      <c r="V45" s="1" t="n">
        <v>3910.88726405391</v>
      </c>
      <c r="W45" s="1" t="n">
        <v>3910.88726405391</v>
      </c>
      <c r="X45" s="1" t="n">
        <v>6636.6571753642</v>
      </c>
      <c r="Y45" s="1" t="n">
        <v>6636.6571753642</v>
      </c>
      <c r="Z45" s="1" t="n">
        <v>6636.6571753642</v>
      </c>
      <c r="AA45" s="1" t="n">
        <v>6636.6571753642</v>
      </c>
      <c r="AB45" s="1" t="n">
        <v>6636.6571753642</v>
      </c>
      <c r="AC45" s="1" t="n">
        <v>3673.86379350518</v>
      </c>
      <c r="AD45" s="1" t="n">
        <v>3673.86379350518</v>
      </c>
      <c r="AE45" s="1" t="n">
        <v>3673.86379350518</v>
      </c>
      <c r="AF45" s="1" t="n">
        <v>3673.86379350518</v>
      </c>
      <c r="AG45" s="1" t="n">
        <v>3673.86379350518</v>
      </c>
      <c r="AH45" s="1" t="n">
        <v>3579.0544052857</v>
      </c>
      <c r="AI45" s="1" t="n">
        <v>3579.0544052857</v>
      </c>
      <c r="AJ45" s="1" t="n">
        <v>3579.0544052857</v>
      </c>
      <c r="AK45" s="1" t="n">
        <v>3579.0544052857</v>
      </c>
      <c r="AL45" s="1" t="n">
        <v>6849.97829885805</v>
      </c>
      <c r="AM45" s="1" t="n">
        <v>6849.97829885805</v>
      </c>
      <c r="AN45" s="1" t="n">
        <v>6849.97829885805</v>
      </c>
      <c r="AO45" s="1" t="n">
        <v>6849.97829885805</v>
      </c>
      <c r="AP45" s="1" t="n">
        <v>6849.97829885805</v>
      </c>
      <c r="AQ45" s="1" t="n">
        <v>6304.82431659599</v>
      </c>
      <c r="AR45" s="1" t="n">
        <v>6304.82431659599</v>
      </c>
      <c r="AS45" s="1" t="n">
        <v>6304.82431659599</v>
      </c>
      <c r="AT45" s="1" t="n">
        <v>6304.82431659599</v>
      </c>
      <c r="AU45" s="1" t="n">
        <v>8438.03555153449</v>
      </c>
      <c r="AV45" s="1" t="n">
        <v>8438.03555153449</v>
      </c>
      <c r="AW45" s="1" t="n">
        <v>8438.03555153449</v>
      </c>
      <c r="AX45" s="1" t="n">
        <v>8438.03555153449</v>
      </c>
      <c r="AY45" s="1" t="n">
        <v>8295.82146920525</v>
      </c>
      <c r="AZ45" s="1" t="n">
        <v>8295.82146920525</v>
      </c>
      <c r="BA45" s="1" t="n">
        <v>8295.82146920525</v>
      </c>
      <c r="BB45" s="1" t="n">
        <v>8295.82146920525</v>
      </c>
    </row>
    <row r="46" customFormat="false" ht="15" hidden="false" customHeight="false" outlineLevel="0" collapsed="false">
      <c r="A46" s="0" t="s">
        <v>96</v>
      </c>
      <c r="B46" s="1" t="n">
        <f aca="false">AVERAGE(C46:BB46)</f>
        <v>5838.52621972803</v>
      </c>
      <c r="C46" s="1" t="n">
        <v>4242.72012282211</v>
      </c>
      <c r="D46" s="1" t="n">
        <v>4242.72012282211</v>
      </c>
      <c r="E46" s="1" t="n">
        <v>4242.72012282211</v>
      </c>
      <c r="F46" s="1" t="n">
        <v>4242.72012282211</v>
      </c>
      <c r="G46" s="1" t="n">
        <v>4906.38584035854</v>
      </c>
      <c r="H46" s="1" t="n">
        <v>4906.38584035854</v>
      </c>
      <c r="I46" s="1" t="n">
        <v>4906.38584035854</v>
      </c>
      <c r="J46" s="1" t="n">
        <v>4906.38584035854</v>
      </c>
      <c r="K46" s="1" t="n">
        <v>6447.03839892523</v>
      </c>
      <c r="L46" s="1" t="n">
        <v>6447.03839892523</v>
      </c>
      <c r="M46" s="1" t="n">
        <v>6447.03839892523</v>
      </c>
      <c r="N46" s="1" t="n">
        <v>6447.03839892523</v>
      </c>
      <c r="O46" s="1" t="n">
        <v>6660.35952241908</v>
      </c>
      <c r="P46" s="1" t="n">
        <v>6660.35952241908</v>
      </c>
      <c r="Q46" s="1" t="n">
        <v>6660.35952241908</v>
      </c>
      <c r="R46" s="1" t="n">
        <v>6660.35952241908</v>
      </c>
      <c r="S46" s="1" t="n">
        <v>6660.35952241908</v>
      </c>
      <c r="T46" s="1" t="n">
        <v>3910.88726405391</v>
      </c>
      <c r="U46" s="1" t="n">
        <v>3910.88726405391</v>
      </c>
      <c r="V46" s="1" t="n">
        <v>3910.88726405391</v>
      </c>
      <c r="W46" s="1" t="n">
        <v>3910.88726405391</v>
      </c>
      <c r="X46" s="1" t="n">
        <v>6636.6571753642</v>
      </c>
      <c r="Y46" s="1" t="n">
        <v>6636.6571753642</v>
      </c>
      <c r="Z46" s="1" t="n">
        <v>6636.6571753642</v>
      </c>
      <c r="AA46" s="1" t="n">
        <v>6636.6571753642</v>
      </c>
      <c r="AB46" s="1" t="n">
        <v>6636.6571753642</v>
      </c>
      <c r="AC46" s="1" t="n">
        <v>3673.86379350518</v>
      </c>
      <c r="AD46" s="1" t="n">
        <v>3673.86379350518</v>
      </c>
      <c r="AE46" s="1" t="n">
        <v>3673.86379350518</v>
      </c>
      <c r="AF46" s="1" t="n">
        <v>3673.86379350518</v>
      </c>
      <c r="AG46" s="1" t="n">
        <v>3673.86379350518</v>
      </c>
      <c r="AH46" s="1" t="n">
        <v>3579.0544052857</v>
      </c>
      <c r="AI46" s="1" t="n">
        <v>3579.0544052857</v>
      </c>
      <c r="AJ46" s="1" t="n">
        <v>3579.0544052857</v>
      </c>
      <c r="AK46" s="1" t="n">
        <v>3579.0544052857</v>
      </c>
      <c r="AL46" s="1" t="n">
        <v>6849.97829885805</v>
      </c>
      <c r="AM46" s="1" t="n">
        <v>6849.97829885805</v>
      </c>
      <c r="AN46" s="1" t="n">
        <v>6849.97829885805</v>
      </c>
      <c r="AO46" s="1" t="n">
        <v>6849.97829885805</v>
      </c>
      <c r="AP46" s="1" t="n">
        <v>6849.97829885805</v>
      </c>
      <c r="AQ46" s="1" t="n">
        <v>6304.82431659599</v>
      </c>
      <c r="AR46" s="1" t="n">
        <v>6304.82431659599</v>
      </c>
      <c r="AS46" s="1" t="n">
        <v>6304.82431659599</v>
      </c>
      <c r="AT46" s="1" t="n">
        <v>6304.82431659599</v>
      </c>
      <c r="AU46" s="1" t="n">
        <v>8438.03555153449</v>
      </c>
      <c r="AV46" s="1" t="n">
        <v>8438.03555153449</v>
      </c>
      <c r="AW46" s="1" t="n">
        <v>8438.03555153449</v>
      </c>
      <c r="AX46" s="1" t="n">
        <v>8438.03555153449</v>
      </c>
      <c r="AY46" s="1" t="n">
        <v>8295.82146920525</v>
      </c>
      <c r="AZ46" s="1" t="n">
        <v>8295.82146920525</v>
      </c>
      <c r="BA46" s="1" t="n">
        <v>8295.82146920525</v>
      </c>
      <c r="BB46" s="1" t="n">
        <v>8295.82146920525</v>
      </c>
    </row>
    <row r="47" customFormat="false" ht="15" hidden="false" customHeight="false" outlineLevel="0" collapsed="false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customFormat="false" ht="15" hidden="false" customHeight="false" outlineLevel="0" collapsed="false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customFormat="false" ht="15" hidden="false" customHeight="false" outlineLevel="0" collapsed="false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customFormat="false" ht="15" hidden="false" customHeight="false" outlineLevel="0" collapsed="false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customFormat="false" ht="15" hidden="false" customHeight="false" outlineLevel="0" collapsed="false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customFormat="false" ht="15" hidden="false" customHeight="false" outlineLevel="0" collapsed="false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customFormat="false" ht="15" hidden="false" customHeight="false" outlineLevel="0" collapsed="false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customFormat="false" ht="15" hidden="false" customHeight="false" outlineLevel="0" collapsed="false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customFormat="false" ht="15" hidden="false" customHeight="false" outlineLevel="0" collapsed="false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customFormat="false" ht="15" hidden="false" customHeight="false" outlineLevel="0" collapsed="false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customFormat="false" ht="15" hidden="false" customHeight="false" outlineLevel="0" collapsed="false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customFormat="false" ht="15" hidden="false" customHeight="false" outlineLevel="0" collapsed="false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customFormat="false" ht="15" hidden="false" customHeight="false" outlineLevel="0" collapsed="false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customFormat="false" ht="15" hidden="false" customHeight="false" outlineLevel="0" collapsed="false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customFormat="false" ht="15" hidden="false" customHeight="false" outlineLevel="0" collapsed="false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customFormat="false" ht="15" hidden="false" customHeight="false" outlineLevel="0" collapsed="false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customFormat="false" ht="15" hidden="false" customHeight="false" outlineLevel="0" collapsed="false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J27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3" ySplit="1" topLeftCell="D2" activePane="bottomRight" state="frozen"/>
      <selection pane="topLeft" activeCell="A1" activeCellId="0" sqref="A1"/>
      <selection pane="topRight" activeCell="D1" activeCellId="0" sqref="D1"/>
      <selection pane="bottomLeft" activeCell="A2" activeCellId="0" sqref="A2"/>
      <selection pane="bottomRight" activeCell="D2" activeCellId="0" sqref="D2"/>
    </sheetView>
  </sheetViews>
  <sheetFormatPr defaultRowHeight="15" zeroHeight="false" outlineLevelRow="0" outlineLevelCol="0"/>
  <cols>
    <col collapsed="false" customWidth="true" hidden="false" outlineLevel="0" max="1" min="1" style="2" width="9.29"/>
    <col collapsed="false" customWidth="true" hidden="false" outlineLevel="0" max="4" min="2" style="0" width="9.29"/>
    <col collapsed="false" customWidth="true" hidden="false" outlineLevel="0" max="6" min="5" style="0" width="15.86"/>
    <col collapsed="false" customWidth="true" hidden="false" outlineLevel="0" max="7" min="7" style="0" width="17"/>
    <col collapsed="false" customWidth="true" hidden="false" outlineLevel="0" max="8" min="8" style="1" width="9.29"/>
    <col collapsed="false" customWidth="true" hidden="false" outlineLevel="0" max="9" min="9" style="3" width="13.43"/>
    <col collapsed="false" customWidth="true" hidden="false" outlineLevel="0" max="10" min="10" style="1" width="9.29"/>
    <col collapsed="false" customWidth="true" hidden="false" outlineLevel="0" max="11" min="11" style="4" width="9.29"/>
    <col collapsed="false" customWidth="true" hidden="false" outlineLevel="0" max="12" min="12" style="1" width="9.29"/>
    <col collapsed="false" customWidth="true" hidden="false" outlineLevel="0" max="13" min="13" style="5" width="13.43"/>
    <col collapsed="false" customWidth="true" hidden="false" outlineLevel="0" max="14" min="14" style="5" width="15.86"/>
    <col collapsed="false" customWidth="true" hidden="false" outlineLevel="0" max="15" min="15" style="5" width="13.43"/>
    <col collapsed="false" customWidth="true" hidden="false" outlineLevel="0" max="16" min="16" style="6" width="10"/>
    <col collapsed="false" customWidth="true" hidden="false" outlineLevel="0" max="20" min="17" style="7" width="9.29"/>
    <col collapsed="false" customWidth="true" hidden="false" outlineLevel="0" max="21" min="21" style="8" width="9.29"/>
    <col collapsed="false" customWidth="true" hidden="false" outlineLevel="0" max="63" min="22" style="7" width="9.29"/>
    <col collapsed="false" customWidth="true" hidden="false" outlineLevel="0" max="64" min="64" style="9" width="9.14"/>
    <col collapsed="false" customWidth="true" hidden="false" outlineLevel="0" max="1025" min="65" style="0" width="8.67"/>
  </cols>
  <sheetData>
    <row r="1" customFormat="false" ht="15" hidden="false" customHeight="false" outlineLevel="0" collapsed="false">
      <c r="A1" s="2" t="s">
        <v>97</v>
      </c>
      <c r="B1" s="0" t="s">
        <v>98</v>
      </c>
      <c r="C1" s="0" t="s">
        <v>99</v>
      </c>
      <c r="D1" s="0" t="s">
        <v>100</v>
      </c>
      <c r="E1" s="0" t="s">
        <v>101</v>
      </c>
      <c r="F1" s="0" t="s">
        <v>102</v>
      </c>
      <c r="G1" s="0" t="s">
        <v>103</v>
      </c>
      <c r="H1" s="1" t="s">
        <v>104</v>
      </c>
      <c r="I1" s="3" t="s">
        <v>105</v>
      </c>
      <c r="J1" s="1" t="s">
        <v>106</v>
      </c>
      <c r="K1" s="4" t="s">
        <v>107</v>
      </c>
      <c r="L1" s="1" t="s">
        <v>108</v>
      </c>
      <c r="M1" s="5" t="s">
        <v>109</v>
      </c>
      <c r="N1" s="10" t="s">
        <v>110</v>
      </c>
      <c r="O1" s="5" t="s">
        <v>111</v>
      </c>
      <c r="P1" s="6" t="s">
        <v>52</v>
      </c>
      <c r="Q1" s="7" t="s">
        <v>53</v>
      </c>
      <c r="R1" s="7" t="s">
        <v>54</v>
      </c>
      <c r="S1" s="7" t="s">
        <v>55</v>
      </c>
      <c r="T1" s="7" t="s">
        <v>56</v>
      </c>
      <c r="U1" s="8" t="s">
        <v>57</v>
      </c>
      <c r="V1" s="7" t="s">
        <v>58</v>
      </c>
      <c r="W1" s="7" t="s">
        <v>59</v>
      </c>
      <c r="X1" s="7" t="s">
        <v>60</v>
      </c>
      <c r="Y1" s="7" t="s">
        <v>61</v>
      </c>
      <c r="Z1" s="7" t="s">
        <v>62</v>
      </c>
      <c r="AA1" s="7" t="s">
        <v>63</v>
      </c>
      <c r="AB1" s="7" t="s">
        <v>64</v>
      </c>
      <c r="AC1" s="7" t="s">
        <v>65</v>
      </c>
      <c r="AD1" s="7" t="s">
        <v>66</v>
      </c>
      <c r="AE1" s="7" t="s">
        <v>67</v>
      </c>
      <c r="AF1" s="7" t="s">
        <v>68</v>
      </c>
      <c r="AG1" s="7" t="s">
        <v>69</v>
      </c>
      <c r="AH1" s="7" t="s">
        <v>70</v>
      </c>
      <c r="AI1" s="7" t="s">
        <v>71</v>
      </c>
      <c r="AJ1" s="7" t="s">
        <v>72</v>
      </c>
      <c r="AK1" s="7" t="s">
        <v>73</v>
      </c>
      <c r="AL1" s="7" t="s">
        <v>74</v>
      </c>
      <c r="AM1" s="7" t="s">
        <v>75</v>
      </c>
      <c r="AN1" s="7" t="s">
        <v>76</v>
      </c>
      <c r="AO1" s="7" t="s">
        <v>77</v>
      </c>
      <c r="AP1" s="7" t="s">
        <v>78</v>
      </c>
      <c r="AQ1" s="7" t="s">
        <v>79</v>
      </c>
      <c r="AR1" s="7" t="s">
        <v>80</v>
      </c>
      <c r="AS1" s="7" t="s">
        <v>81</v>
      </c>
      <c r="AT1" s="7" t="s">
        <v>82</v>
      </c>
      <c r="AU1" s="7" t="s">
        <v>83</v>
      </c>
      <c r="AV1" s="7" t="s">
        <v>84</v>
      </c>
      <c r="AW1" s="7" t="s">
        <v>85</v>
      </c>
      <c r="AX1" s="7" t="s">
        <v>86</v>
      </c>
      <c r="AY1" s="7" t="s">
        <v>87</v>
      </c>
      <c r="AZ1" s="7" t="s">
        <v>88</v>
      </c>
      <c r="BA1" s="7" t="s">
        <v>89</v>
      </c>
      <c r="BB1" s="7" t="s">
        <v>90</v>
      </c>
      <c r="BC1" s="7" t="s">
        <v>91</v>
      </c>
      <c r="BD1" s="7" t="s">
        <v>92</v>
      </c>
      <c r="BE1" s="7" t="s">
        <v>93</v>
      </c>
      <c r="BF1" s="7" t="s">
        <v>94</v>
      </c>
      <c r="BG1" s="7" t="s">
        <v>95</v>
      </c>
      <c r="BH1" s="7" t="s">
        <v>96</v>
      </c>
    </row>
    <row r="2" customFormat="false" ht="15" hidden="false" customHeight="false" outlineLevel="0" collapsed="false">
      <c r="A2" s="2" t="n">
        <v>1</v>
      </c>
      <c r="B2" s="11" t="s">
        <v>52</v>
      </c>
      <c r="C2" s="0" t="n">
        <v>1</v>
      </c>
      <c r="D2" s="0" t="s">
        <v>112</v>
      </c>
      <c r="E2" s="12" t="str">
        <f aca="false">CONCATENATE("Als onderdeel van het programma 'Netwerk op zijn Best' omvat dit groot onderhoudsproject op de ",B2," een verbetermaatregel aan de binnenring door het plaatsen van fly-overs op de knooppunten tussen ",B2," grenzend aan de M1 en de M2.")</f>
        <v>Als onderdeel van het programma 'Netwerk op zijn Best' omvat dit groot onderhoudsproject op de B1-A een verbetermaatregel aan de binnenring door het plaatsen van fly-overs op de knooppunten tussen B1-A grenzend aan de M1 en de M2.</v>
      </c>
      <c r="F2" s="13" t="s">
        <v>113</v>
      </c>
      <c r="G2" s="1" t="s">
        <v>114</v>
      </c>
      <c r="H2" s="1" t="n">
        <v>8000</v>
      </c>
      <c r="I2" s="14" t="n">
        <v>3184500</v>
      </c>
      <c r="J2" s="1" t="n">
        <v>9.9</v>
      </c>
      <c r="K2" s="15" t="n">
        <f aca="false">1/3</f>
        <v>0.333333333333333</v>
      </c>
      <c r="L2" s="1" t="n">
        <v>2</v>
      </c>
      <c r="M2" s="10" t="n">
        <f aca="false">O2-I2</f>
        <v>1449500</v>
      </c>
      <c r="N2" s="10" t="n">
        <f aca="false">IF(P2=1,0,VLOOKUP($P$1,'TTL NORMAL'!$A$2:$B$46,2,0)*(J2+L2)*P2)+IF(Q2=1,0,VLOOKUP($Q$1,'TTL NORMAL'!$A$2:$B$46,2,0)*(J2+L2)*Q2)+IF(R2=1,0,VLOOKUP($R$1,'TTL NORMAL'!$A$2:$B$46,2,0)*(J2+L2)*R2)+IF(S2=1,0,VLOOKUP($S$1,'TTL NORMAL'!$A$2:$B$46,2,0)*(J2+L2)*S2)+IF(T2=1,0,VLOOKUP($T$1,'TTL NORMAL'!$A$2:$B$46,2,0)*(J2+L2)*T2)+IF(U2=1,0,VLOOKUP($U$1,'TTL NORMAL'!$A$2:$B$46,2,0)*(J2+L2)*U2)+IF(V2=1,0,VLOOKUP($V$1,'TTL NORMAL'!$A$2:$B$46,2,0)*(J2+L2)*V2)+IF(W2=1,0,VLOOKUP($W$1,'TTL NORMAL'!$A$2:$B$46,2,0)*(J2+L2)*W2)+IF(X2=1,0,VLOOKUP($X$1,'TTL NORMAL'!$A$2:$B$46,2,0)*(J2+L2)*X2)+IF(Y2=1,0,VLOOKUP($Y$1,'TTL NORMAL'!$A$2:$B$46,2,0)*(J2+L2)*Y2)+IF(Z2=1,0,VLOOKUP($Z$1,'TTL NORMAL'!$A$2:$B$46,2,0)*(J2+L2)*Z2)+IF(AA2=1,0,VLOOKUP($AA$1,'TTL NORMAL'!$A$2:$B$46,2,0)*(J2+L2)*AA2)+IF(AB2=1,0,VLOOKUP($AB$1,'TTL NORMAL'!$A$2:$B$46,2,0)*(J2+L2)*AB2)+IF(AC2=1,0,VLOOKUP($AC$1,'TTL NORMAL'!$A$2:$B$46,2,0)*(J2+L2)*AC2)+IF(AD2=1,0,VLOOKUP($AD$1,'TTL NORMAL'!$A$2:$B$46,2,0)*(J2+L2)*AD2)+IF(AE2=1,0,VLOOKUP($AE$1,'TTL NORMAL'!$A$2:$B$46,2,0)*(J2+L2)*AE2)+IF(AF2=1,0,VLOOKUP($AF$1,'TTL NORMAL'!$A$2:$B$46,2,0)*(J2+L2)*AF2)+IF(AG2=1,0,VLOOKUP($AG$1,'TTL NORMAL'!$A$2:$B$46,2,0)*(J2+L2)*AG2)+IF(AH2=1,0,VLOOKUP($AH$1,'TTL NORMAL'!$A$2:$B$46,2,0)*(J2+L2)*AH2)+IF(AI2=1,0,VLOOKUP($AI$1,'TTL NORMAL'!$A$2:$B$46,2,0)*(J2+L2)*AI2)+IF(AJ2=1,0,VLOOKUP($AJ$1,'TTL NORMAL'!$A$2:$B$46,2,0)*(J2+L2)*AJ2)+IF(AK2=1,0,VLOOKUP($AK$1,'TTL NORMAL'!$A$2:$B$46,2,0)*(J2+L2)*AK2)+IF(AL2=1,0,VLOOKUP($AL$1,'TTL NORMAL'!$A$2:$B$46,2,0)*(J2+L2)*AL2)+IF(AM2=1,0,VLOOKUP($AM$1,'TTL NORMAL'!$A$2:$B$46,2,0)*(J2+L2)*AM2)+IF(AN2=1,0,VLOOKUP($AN$1,'TTL NORMAL'!$A$2:$B$46,2,0)*(J2+L2)*AN2)+IF(AO2=1,0,VLOOKUP($AO$1,'TTL NORMAL'!$A$2:$B$46,2,0)*(J2+L2)*AO2)+IF(AP2=1,0,VLOOKUP($AP$1,'TTL NORMAL'!$A$2:$B$46,2,0)*(J2+L2)*AP2)+IF(AQ2=1,0,VLOOKUP($AQ$1,'TTL NORMAL'!$A$2:$B$46,2,0)*(J2+L2)*AQ2)+IF(AR2=1,0,VLOOKUP($AR$1,'TTL NORMAL'!$A$2:$B$46,2,0)*(J2+L2)*AR2)+IF(AS2=1,0,VLOOKUP($AS$1,'TTL NORMAL'!$A$2:$B$46,2,0)*(J2+L2)*AS2)+IF(AT2=1,0,VLOOKUP($AT$1,'TTL NORMAL'!$A$2:$B$46,2,0)*(J2+L2)*AT2)+IF(AU2=1,0,VLOOKUP($AU$1,'TTL NORMAL'!$A$2:$B$46,2,0)*(J2+L2)*AU2)+IF(AV2=1,0,VLOOKUP($AV$1,'TTL NORMAL'!$A$2:$B$46,2,0)*(J2+L2)*AV2)+IF(AW2=1,0,VLOOKUP($AW$1,'TTL NORMAL'!$A$2:$B$46,2,0)*(J2+L2)*AW2)+IF(AX2=1,0,VLOOKUP($AX$1,'TTL NORMAL'!$A$2:$B$46,2,0)*(J2+L2)*AX2)+IF(AY2=1,0,VLOOKUP($AY$1,'TTL NORMAL'!$A$2:$B$46,2,0)*(J2+L2)*AY2)+IF(AZ2=1,0,VLOOKUP($AZ$1,'TTL NORMAL'!$A$2:$B$46,2,0)*(J2+L2)*AZ2)+IF(BA2=1,0,VLOOKUP($BA$1,'TTL NORMAL'!$A$2:$B$46,2,0)*(J2+L2)*BA2)+IF(BB2=1,0,VLOOKUP($BB$1,'TTL NORMAL'!$A$2:$B$46,2,0)*(J2+L2)*BB2)+IF(BC2=1,0,VLOOKUP($BC$1,'TTL NORMAL'!$A$2:$B$46,2,0)*(J2+L2)*BC2)+IF(BD2=1,0,VLOOKUP($BD$1,'TTL NORMAL'!$A$2:$B$46,2,0)*(J2+L2)*BD2)+IF(BE2=1,0,VLOOKUP($BE$1,'TTL NORMAL'!$A$2:$B$46,2,0)*(J2+L2)*BE2)+IF(BF2=1,0,VLOOKUP($BF$1,'TTL NORMAL'!$A$2:$B$46,2,0)*(J2+L2)*BF2)+IF(BG2=1,0,VLOOKUP($BG$1,'TTL NORMAL'!$A$2:$B$46,2,0)*(J2+L2)*BG2)+IF(BH2=1,0,VLOOKUP($BH$1,'TTL NORMAL'!$A$2:$B$46,2,0)*(J2+L2)*BH2)</f>
        <v>1104090.1681781</v>
      </c>
      <c r="O2" s="5" t="n">
        <v>4634000</v>
      </c>
      <c r="P2" s="16" t="n">
        <v>1</v>
      </c>
      <c r="Q2" s="17" t="n">
        <v>1</v>
      </c>
      <c r="R2" s="17" t="n">
        <v>1.60302041926325</v>
      </c>
      <c r="S2" s="17" t="n">
        <v>1.30151020963162</v>
      </c>
      <c r="T2" s="17" t="n">
        <v>1.30151020963162</v>
      </c>
      <c r="U2" s="17" t="n">
        <v>1.60302041926325</v>
      </c>
      <c r="V2" s="17" t="n">
        <v>1</v>
      </c>
      <c r="W2" s="17" t="n">
        <v>1</v>
      </c>
      <c r="X2" s="17" t="n">
        <v>1</v>
      </c>
      <c r="Y2" s="17" t="n">
        <v>1</v>
      </c>
      <c r="Z2" s="17" t="n">
        <v>1</v>
      </c>
      <c r="AA2" s="17" t="n">
        <v>1</v>
      </c>
      <c r="AB2" s="17" t="n">
        <v>1</v>
      </c>
      <c r="AC2" s="17" t="n">
        <v>1</v>
      </c>
      <c r="AD2" s="17" t="n">
        <v>1</v>
      </c>
      <c r="AE2" s="17" t="n">
        <v>1</v>
      </c>
      <c r="AF2" s="17" t="n">
        <v>1</v>
      </c>
      <c r="AG2" s="17" t="n">
        <v>1.30151020963162</v>
      </c>
      <c r="AH2" s="17" t="n">
        <v>1</v>
      </c>
      <c r="AI2" s="17" t="n">
        <v>1</v>
      </c>
      <c r="AJ2" s="17" t="n">
        <v>1.30151020963162</v>
      </c>
      <c r="AK2" s="17" t="n">
        <v>1</v>
      </c>
      <c r="AL2" s="17" t="n">
        <v>1</v>
      </c>
      <c r="AM2" s="17" t="n">
        <v>1</v>
      </c>
      <c r="AN2" s="17" t="n">
        <v>1</v>
      </c>
      <c r="AO2" s="17" t="n">
        <v>1</v>
      </c>
      <c r="AP2" s="17" t="n">
        <v>1</v>
      </c>
      <c r="AQ2" s="17" t="n">
        <v>1</v>
      </c>
      <c r="AR2" s="17" t="n">
        <v>1</v>
      </c>
      <c r="AS2" s="17" t="n">
        <v>1</v>
      </c>
      <c r="AT2" s="17" t="n">
        <v>1</v>
      </c>
      <c r="AU2" s="17" t="n">
        <v>1</v>
      </c>
      <c r="AV2" s="17" t="n">
        <v>1</v>
      </c>
      <c r="AW2" s="17" t="n">
        <v>1</v>
      </c>
      <c r="AX2" s="17" t="n">
        <v>1</v>
      </c>
      <c r="AY2" s="17" t="n">
        <v>1</v>
      </c>
      <c r="AZ2" s="17" t="n">
        <v>1</v>
      </c>
      <c r="BA2" s="17" t="n">
        <v>1</v>
      </c>
      <c r="BB2" s="17" t="n">
        <v>1</v>
      </c>
      <c r="BC2" s="17" t="n">
        <v>1</v>
      </c>
      <c r="BD2" s="17" t="n">
        <v>1</v>
      </c>
      <c r="BE2" s="17" t="n">
        <v>1.60302041926325</v>
      </c>
      <c r="BF2" s="17" t="n">
        <v>1.60302041926325</v>
      </c>
      <c r="BG2" s="17" t="n">
        <v>1.30151020963162</v>
      </c>
      <c r="BH2" s="17" t="n">
        <v>1</v>
      </c>
      <c r="BI2" s="17"/>
      <c r="BJ2" s="17"/>
    </row>
    <row r="3" customFormat="false" ht="15" hidden="false" customHeight="false" outlineLevel="0" collapsed="false">
      <c r="A3" s="2" t="n">
        <v>1</v>
      </c>
      <c r="B3" s="11" t="s">
        <v>52</v>
      </c>
      <c r="C3" s="0" t="n">
        <v>2</v>
      </c>
      <c r="D3" s="0" t="s">
        <v>115</v>
      </c>
      <c r="E3" s="12" t="str">
        <f aca="false">CONCATENATE("Als onderdeel van het programma 'Netwerk op zijn Best' omvat dit groot onderhoudsproject op de ",B3," een verbetermaatregel aan de binnenring door het plaatsen van fly-overs op de knooppunten tussen ",B3," grenzend aan de M1 en de M2.")</f>
        <v>Als onderdeel van het programma 'Netwerk op zijn Best' omvat dit groot onderhoudsproject op de B1-A een verbetermaatregel aan de binnenring door het plaatsen van fly-overs op de knooppunten tussen B1-A grenzend aan de M1 en de M2.</v>
      </c>
      <c r="F3" s="13" t="s">
        <v>116</v>
      </c>
      <c r="G3" s="1" t="s">
        <v>114</v>
      </c>
      <c r="H3" s="1" t="n">
        <v>12000</v>
      </c>
      <c r="I3" s="14" t="n">
        <v>2026500</v>
      </c>
      <c r="J3" s="1" t="n">
        <v>9</v>
      </c>
      <c r="K3" s="15" t="n">
        <f aca="false">1/3</f>
        <v>0.333333333333333</v>
      </c>
      <c r="L3" s="1" t="n">
        <v>4</v>
      </c>
      <c r="M3" s="10" t="n">
        <f aca="false">O3-I3</f>
        <v>2607500</v>
      </c>
      <c r="N3" s="10" t="n">
        <f aca="false">IF(P3=1,0,VLOOKUP($P$1,'TTL NORMAL'!$A$2:$B$46,2,0)*(J3+L3)*P3)+IF(Q3=1,0,VLOOKUP($Q$1,'TTL NORMAL'!$A$2:$B$46,2,0)*(J3+L3)*Q3)+IF(R3=1,0,VLOOKUP($R$1,'TTL NORMAL'!$A$2:$B$46,2,0)*(J3+L3)*R3)+IF(S3=1,0,VLOOKUP($S$1,'TTL NORMAL'!$A$2:$B$46,2,0)*(J3+L3)*S3)+IF(T3=1,0,VLOOKUP($T$1,'TTL NORMAL'!$A$2:$B$46,2,0)*(J3+L3)*T3)+IF(U3=1,0,VLOOKUP($U$1,'TTL NORMAL'!$A$2:$B$46,2,0)*(J3+L3)*U3)+IF(V3=1,0,VLOOKUP($V$1,'TTL NORMAL'!$A$2:$B$46,2,0)*(J3+L3)*V3)+IF(W3=1,0,VLOOKUP($W$1,'TTL NORMAL'!$A$2:$B$46,2,0)*(J3+L3)*W3)+IF(X3=1,0,VLOOKUP($X$1,'TTL NORMAL'!$A$2:$B$46,2,0)*(J3+L3)*X3)+IF(Y3=1,0,VLOOKUP($Y$1,'TTL NORMAL'!$A$2:$B$46,2,0)*(J3+L3)*Y3)+IF(Z3=1,0,VLOOKUP($Z$1,'TTL NORMAL'!$A$2:$B$46,2,0)*(J3+L3)*Z3)+IF(AA3=1,0,VLOOKUP($AA$1,'TTL NORMAL'!$A$2:$B$46,2,0)*(J3+L3)*AA3)+IF(AB3=1,0,VLOOKUP($AB$1,'TTL NORMAL'!$A$2:$B$46,2,0)*(J3+L3)*AB3)+IF(AC3=1,0,VLOOKUP($AC$1,'TTL NORMAL'!$A$2:$B$46,2,0)*(J3+L3)*AC3)+IF(AD3=1,0,VLOOKUP($AD$1,'TTL NORMAL'!$A$2:$B$46,2,0)*(J3+L3)*AD3)+IF(AE3=1,0,VLOOKUP($AE$1,'TTL NORMAL'!$A$2:$B$46,2,0)*(J3+L3)*AE3)+IF(AF3=1,0,VLOOKUP($AF$1,'TTL NORMAL'!$A$2:$B$46,2,0)*(J3+L3)*AF3)+IF(AG3=1,0,VLOOKUP($AG$1,'TTL NORMAL'!$A$2:$B$46,2,0)*(J3+L3)*AG3)+IF(AH3=1,0,VLOOKUP($AH$1,'TTL NORMAL'!$A$2:$B$46,2,0)*(J3+L3)*AH3)+IF(AI3=1,0,VLOOKUP($AI$1,'TTL NORMAL'!$A$2:$B$46,2,0)*(J3+L3)*AI3)+IF(AJ3=1,0,VLOOKUP($AJ$1,'TTL NORMAL'!$A$2:$B$46,2,0)*(J3+L3)*AJ3)+IF(AK3=1,0,VLOOKUP($AK$1,'TTL NORMAL'!$A$2:$B$46,2,0)*(J3+L3)*AK3)+IF(AL3=1,0,VLOOKUP($AL$1,'TTL NORMAL'!$A$2:$B$46,2,0)*(J3+L3)*AL3)+IF(AM3=1,0,VLOOKUP($AM$1,'TTL NORMAL'!$A$2:$B$46,2,0)*(J3+L3)*AM3)+IF(AN3=1,0,VLOOKUP($AN$1,'TTL NORMAL'!$A$2:$B$46,2,0)*(J3+L3)*AN3)+IF(AO3=1,0,VLOOKUP($AO$1,'TTL NORMAL'!$A$2:$B$46,2,0)*(J3+L3)*AO3)+IF(AP3=1,0,VLOOKUP($AP$1,'TTL NORMAL'!$A$2:$B$46,2,0)*(J3+L3)*AP3)+IF(AQ3=1,0,VLOOKUP($AQ$1,'TTL NORMAL'!$A$2:$B$46,2,0)*(J3+L3)*AQ3)+IF(AR3=1,0,VLOOKUP($AR$1,'TTL NORMAL'!$A$2:$B$46,2,0)*(J3+L3)*AR3)+IF(AS3=1,0,VLOOKUP($AS$1,'TTL NORMAL'!$A$2:$B$46,2,0)*(J3+L3)*AS3)+IF(AT3=1,0,VLOOKUP($AT$1,'TTL NORMAL'!$A$2:$B$46,2,0)*(J3+L3)*AT3)+IF(AU3=1,0,VLOOKUP($AU$1,'TTL NORMAL'!$A$2:$B$46,2,0)*(J3+L3)*AU3)+IF(AV3=1,0,VLOOKUP($AV$1,'TTL NORMAL'!$A$2:$B$46,2,0)*(J3+L3)*AV3)+IF(AW3=1,0,VLOOKUP($AW$1,'TTL NORMAL'!$A$2:$B$46,2,0)*(J3+L3)*AW3)+IF(AX3=1,0,VLOOKUP($AX$1,'TTL NORMAL'!$A$2:$B$46,2,0)*(J3+L3)*AX3)+IF(AY3=1,0,VLOOKUP($AY$1,'TTL NORMAL'!$A$2:$B$46,2,0)*(J3+L3)*AY3)+IF(AZ3=1,0,VLOOKUP($AZ$1,'TTL NORMAL'!$A$2:$B$46,2,0)*(J3+L3)*AZ3)+IF(BA3=1,0,VLOOKUP($BA$1,'TTL NORMAL'!$A$2:$B$46,2,0)*(J3+L3)*BA3)+IF(BB3=1,0,VLOOKUP($BB$1,'TTL NORMAL'!$A$2:$B$46,2,0)*(J3+L3)*BB3)+IF(BC3=1,0,VLOOKUP($BC$1,'TTL NORMAL'!$A$2:$B$46,2,0)*(J3+L3)*BC3)+IF(BD3=1,0,VLOOKUP($BD$1,'TTL NORMAL'!$A$2:$B$46,2,0)*(J3+L3)*BD3)+IF(BE3=1,0,VLOOKUP($BE$1,'TTL NORMAL'!$A$2:$B$46,2,0)*(J3+L3)*BE3)+IF(BF3=1,0,VLOOKUP($BF$1,'TTL NORMAL'!$A$2:$B$46,2,0)*(J3+L3)*BF3)+IF(BG3=1,0,VLOOKUP($BG$1,'TTL NORMAL'!$A$2:$B$46,2,0)*(J3+L3)*BG3)+IF(BH3=1,0,VLOOKUP($BH$1,'TTL NORMAL'!$A$2:$B$46,2,0)*(J3+L3)*BH3)</f>
        <v>2043844.57838886</v>
      </c>
      <c r="O3" s="5" t="n">
        <v>4634000</v>
      </c>
      <c r="P3" s="16" t="n">
        <v>1.90453062889488</v>
      </c>
      <c r="Q3" s="17" t="n">
        <v>1.90453062889488</v>
      </c>
      <c r="R3" s="17" t="n">
        <v>1.90453062889488</v>
      </c>
      <c r="S3" s="17" t="n">
        <v>1.45226531444744</v>
      </c>
      <c r="T3" s="17" t="n">
        <v>1.45226531444744</v>
      </c>
      <c r="U3" s="17" t="n">
        <v>1.90453062889488</v>
      </c>
      <c r="V3" s="17" t="n">
        <v>1</v>
      </c>
      <c r="W3" s="17" t="n">
        <v>1</v>
      </c>
      <c r="X3" s="17" t="n">
        <v>1</v>
      </c>
      <c r="Y3" s="17" t="n">
        <v>1</v>
      </c>
      <c r="Z3" s="17" t="n">
        <v>1</v>
      </c>
      <c r="AA3" s="17" t="n">
        <v>1</v>
      </c>
      <c r="AB3" s="17" t="n">
        <v>1</v>
      </c>
      <c r="AC3" s="17" t="n">
        <v>1</v>
      </c>
      <c r="AD3" s="17" t="n">
        <v>1</v>
      </c>
      <c r="AE3" s="17" t="n">
        <v>1</v>
      </c>
      <c r="AF3" s="17" t="n">
        <v>1</v>
      </c>
      <c r="AG3" s="17" t="n">
        <v>1.45226531444744</v>
      </c>
      <c r="AH3" s="17" t="n">
        <v>1</v>
      </c>
      <c r="AI3" s="17" t="n">
        <v>1</v>
      </c>
      <c r="AJ3" s="17" t="n">
        <v>1.45226531444744</v>
      </c>
      <c r="AK3" s="17" t="n">
        <v>1</v>
      </c>
      <c r="AL3" s="17" t="n">
        <v>1</v>
      </c>
      <c r="AM3" s="17" t="n">
        <v>1</v>
      </c>
      <c r="AN3" s="17" t="n">
        <v>1</v>
      </c>
      <c r="AO3" s="17" t="n">
        <v>1</v>
      </c>
      <c r="AP3" s="17" t="n">
        <v>1</v>
      </c>
      <c r="AQ3" s="17" t="n">
        <v>1</v>
      </c>
      <c r="AR3" s="17" t="n">
        <v>1</v>
      </c>
      <c r="AS3" s="17" t="n">
        <v>1</v>
      </c>
      <c r="AT3" s="17" t="n">
        <v>1</v>
      </c>
      <c r="AU3" s="17" t="n">
        <v>1</v>
      </c>
      <c r="AV3" s="17" t="n">
        <v>1</v>
      </c>
      <c r="AW3" s="17" t="n">
        <v>1</v>
      </c>
      <c r="AX3" s="17" t="n">
        <v>1</v>
      </c>
      <c r="AY3" s="17" t="n">
        <v>1</v>
      </c>
      <c r="AZ3" s="17" t="n">
        <v>1</v>
      </c>
      <c r="BA3" s="17" t="n">
        <v>1</v>
      </c>
      <c r="BB3" s="17" t="n">
        <v>1</v>
      </c>
      <c r="BC3" s="17" t="n">
        <v>1</v>
      </c>
      <c r="BD3" s="17" t="n">
        <v>1</v>
      </c>
      <c r="BE3" s="17" t="n">
        <v>1.90453062889488</v>
      </c>
      <c r="BF3" s="17" t="n">
        <v>1.90453062889488</v>
      </c>
      <c r="BG3" s="17" t="n">
        <v>1.45226531444744</v>
      </c>
      <c r="BH3" s="17" t="n">
        <v>1</v>
      </c>
      <c r="BI3" s="17"/>
      <c r="BJ3" s="17"/>
    </row>
    <row r="4" customFormat="false" ht="15" hidden="false" customHeight="false" outlineLevel="0" collapsed="false">
      <c r="A4" s="2" t="n">
        <v>1</v>
      </c>
      <c r="B4" s="11" t="s">
        <v>52</v>
      </c>
      <c r="C4" s="0" t="n">
        <v>3</v>
      </c>
      <c r="D4" s="0" t="s">
        <v>117</v>
      </c>
      <c r="E4" s="12" t="str">
        <f aca="false">CONCATENATE("Als onderdeel van het programma 'Netwerk op zijn Best' omvat dit groot onderhoudsproject op de ",B4," een verbetermaatregel aan de binnenring door het plaatsen van fly-overs op de knooppunten tussen ",B4," grenzend aan de M1 en de M2.")</f>
        <v>Als onderdeel van het programma 'Netwerk op zijn Best' omvat dit groot onderhoudsproject op de B1-A een verbetermaatregel aan de binnenring door het plaatsen van fly-overs op de knooppunten tussen B1-A grenzend aan de M1 en de M2.</v>
      </c>
      <c r="F4" s="13" t="s">
        <v>118</v>
      </c>
      <c r="G4" s="1" t="s">
        <v>114</v>
      </c>
      <c r="H4" s="1" t="n">
        <v>10000</v>
      </c>
      <c r="I4" s="14" t="n">
        <v>3184500</v>
      </c>
      <c r="J4" s="1" t="n">
        <v>9</v>
      </c>
      <c r="K4" s="15" t="n">
        <f aca="false">1/3</f>
        <v>0.333333333333333</v>
      </c>
      <c r="L4" s="1" t="n">
        <v>0</v>
      </c>
      <c r="M4" s="10" t="n">
        <f aca="false">O4-I4</f>
        <v>1449500</v>
      </c>
      <c r="N4" s="10" t="n">
        <f aca="false">IF(P4=1,0,VLOOKUP($P$1,'TTL NORMAL'!$A$2:$B$46,2,0)*(J4+L4)*P4)+IF(Q4=1,0,VLOOKUP($Q$1,'TTL NORMAL'!$A$2:$B$46,2,0)*(J4+L4)*Q4)+IF(R4=1,0,VLOOKUP($R$1,'TTL NORMAL'!$A$2:$B$46,2,0)*(J4+L4)*R4)+IF(S4=1,0,VLOOKUP($S$1,'TTL NORMAL'!$A$2:$B$46,2,0)*(J4+L4)*S4)+IF(T4=1,0,VLOOKUP($T$1,'TTL NORMAL'!$A$2:$B$46,2,0)*(J4+L4)*T4)+IF(U4=1,0,VLOOKUP($U$1,'TTL NORMAL'!$A$2:$B$46,2,0)*(J4+L4)*U4)+IF(V4=1,0,VLOOKUP($V$1,'TTL NORMAL'!$A$2:$B$46,2,0)*(J4+L4)*V4)+IF(W4=1,0,VLOOKUP($W$1,'TTL NORMAL'!$A$2:$B$46,2,0)*(J4+L4)*W4)+IF(X4=1,0,VLOOKUP($X$1,'TTL NORMAL'!$A$2:$B$46,2,0)*(J4+L4)*X4)+IF(Y4=1,0,VLOOKUP($Y$1,'TTL NORMAL'!$A$2:$B$46,2,0)*(J4+L4)*Y4)+IF(Z4=1,0,VLOOKUP($Z$1,'TTL NORMAL'!$A$2:$B$46,2,0)*(J4+L4)*Z4)+IF(AA4=1,0,VLOOKUP($AA$1,'TTL NORMAL'!$A$2:$B$46,2,0)*(J4+L4)*AA4)+IF(AB4=1,0,VLOOKUP($AB$1,'TTL NORMAL'!$A$2:$B$46,2,0)*(J4+L4)*AB4)+IF(AC4=1,0,VLOOKUP($AC$1,'TTL NORMAL'!$A$2:$B$46,2,0)*(J4+L4)*AC4)+IF(AD4=1,0,VLOOKUP($AD$1,'TTL NORMAL'!$A$2:$B$46,2,0)*(J4+L4)*AD4)+IF(AE4=1,0,VLOOKUP($AE$1,'TTL NORMAL'!$A$2:$B$46,2,0)*(J4+L4)*AE4)+IF(AF4=1,0,VLOOKUP($AF$1,'TTL NORMAL'!$A$2:$B$46,2,0)*(J4+L4)*AF4)+IF(AG4=1,0,VLOOKUP($AG$1,'TTL NORMAL'!$A$2:$B$46,2,0)*(J4+L4)*AG4)+IF(AH4=1,0,VLOOKUP($AH$1,'TTL NORMAL'!$A$2:$B$46,2,0)*(J4+L4)*AH4)+IF(AI4=1,0,VLOOKUP($AI$1,'TTL NORMAL'!$A$2:$B$46,2,0)*(J4+L4)*AI4)+IF(AJ4=1,0,VLOOKUP($AJ$1,'TTL NORMAL'!$A$2:$B$46,2,0)*(J4+L4)*AJ4)+IF(AK4=1,0,VLOOKUP($AK$1,'TTL NORMAL'!$A$2:$B$46,2,0)*(J4+L4)*AK4)+IF(AL4=1,0,VLOOKUP($AL$1,'TTL NORMAL'!$A$2:$B$46,2,0)*(J4+L4)*AL4)+IF(AM4=1,0,VLOOKUP($AM$1,'TTL NORMAL'!$A$2:$B$46,2,0)*(J4+L4)*AM4)+IF(AN4=1,0,VLOOKUP($AN$1,'TTL NORMAL'!$A$2:$B$46,2,0)*(J4+L4)*AN4)+IF(AO4=1,0,VLOOKUP($AO$1,'TTL NORMAL'!$A$2:$B$46,2,0)*(J4+L4)*AO4)+IF(AP4=1,0,VLOOKUP($AP$1,'TTL NORMAL'!$A$2:$B$46,2,0)*(J4+L4)*AP4)+IF(AQ4=1,0,VLOOKUP($AQ$1,'TTL NORMAL'!$A$2:$B$46,2,0)*(J4+L4)*AQ4)+IF(AR4=1,0,VLOOKUP($AR$1,'TTL NORMAL'!$A$2:$B$46,2,0)*(J4+L4)*AR4)+IF(AS4=1,0,VLOOKUP($AS$1,'TTL NORMAL'!$A$2:$B$46,2,0)*(J4+L4)*AS4)+IF(AT4=1,0,VLOOKUP($AT$1,'TTL NORMAL'!$A$2:$B$46,2,0)*(J4+L4)*AT4)+IF(AU4=1,0,VLOOKUP($AU$1,'TTL NORMAL'!$A$2:$B$46,2,0)*(J4+L4)*AU4)+IF(AV4=1,0,VLOOKUP($AV$1,'TTL NORMAL'!$A$2:$B$46,2,0)*(J4+L4)*AV4)+IF(AW4=1,0,VLOOKUP($AW$1,'TTL NORMAL'!$A$2:$B$46,2,0)*(J4+L4)*AW4)+IF(AX4=1,0,VLOOKUP($AX$1,'TTL NORMAL'!$A$2:$B$46,2,0)*(J4+L4)*AX4)+IF(AY4=1,0,VLOOKUP($AY$1,'TTL NORMAL'!$A$2:$B$46,2,0)*(J4+L4)*AY4)+IF(AZ4=1,0,VLOOKUP($AZ$1,'TTL NORMAL'!$A$2:$B$46,2,0)*(J4+L4)*AZ4)+IF(BA4=1,0,VLOOKUP($BA$1,'TTL NORMAL'!$A$2:$B$46,2,0)*(J4+L4)*BA4)+IF(BB4=1,0,VLOOKUP($BB$1,'TTL NORMAL'!$A$2:$B$46,2,0)*(J4+L4)*BB4)+IF(BC4=1,0,VLOOKUP($BC$1,'TTL NORMAL'!$A$2:$B$46,2,0)*(J4+L4)*BC4)+IF(BD4=1,0,VLOOKUP($BD$1,'TTL NORMAL'!$A$2:$B$46,2,0)*(J4+L4)*BD4)+IF(BE4=1,0,VLOOKUP($BE$1,'TTL NORMAL'!$A$2:$B$46,2,0)*(J4+L4)*BE4)+IF(BF4=1,0,VLOOKUP($BF$1,'TTL NORMAL'!$A$2:$B$46,2,0)*(J4+L4)*BF4)+IF(BG4=1,0,VLOOKUP($BG$1,'TTL NORMAL'!$A$2:$B$46,2,0)*(J4+L4)*BG4)+IF(BH4=1,0,VLOOKUP($BH$1,'TTL NORMAL'!$A$2:$B$46,2,0)*(J4+L4)*BH4)</f>
        <v>1226396.69244999</v>
      </c>
      <c r="O4" s="5" t="n">
        <v>4634000</v>
      </c>
      <c r="P4" s="16" t="n">
        <v>1.37688776203953</v>
      </c>
      <c r="Q4" s="17" t="n">
        <v>1.37688776203953</v>
      </c>
      <c r="R4" s="17" t="n">
        <v>1.75377552407906</v>
      </c>
      <c r="S4" s="17" t="n">
        <v>1.37688776203953</v>
      </c>
      <c r="T4" s="17" t="n">
        <v>1.37688776203953</v>
      </c>
      <c r="U4" s="17" t="n">
        <v>1.75377552407906</v>
      </c>
      <c r="V4" s="17" t="n">
        <v>1</v>
      </c>
      <c r="W4" s="17" t="n">
        <v>1</v>
      </c>
      <c r="X4" s="17" t="n">
        <v>1</v>
      </c>
      <c r="Y4" s="17" t="n">
        <v>1</v>
      </c>
      <c r="Z4" s="17" t="n">
        <v>1</v>
      </c>
      <c r="AA4" s="17" t="n">
        <v>1</v>
      </c>
      <c r="AB4" s="17" t="n">
        <v>1</v>
      </c>
      <c r="AC4" s="17" t="n">
        <v>1</v>
      </c>
      <c r="AD4" s="17" t="n">
        <v>1</v>
      </c>
      <c r="AE4" s="17" t="n">
        <v>1</v>
      </c>
      <c r="AF4" s="17" t="n">
        <v>1</v>
      </c>
      <c r="AG4" s="17" t="n">
        <v>1.37688776203953</v>
      </c>
      <c r="AH4" s="17" t="n">
        <v>1</v>
      </c>
      <c r="AI4" s="17" t="n">
        <v>1</v>
      </c>
      <c r="AJ4" s="17" t="n">
        <v>1.37688776203953</v>
      </c>
      <c r="AK4" s="17" t="n">
        <v>1</v>
      </c>
      <c r="AL4" s="17" t="n">
        <v>1</v>
      </c>
      <c r="AM4" s="17" t="n">
        <v>1</v>
      </c>
      <c r="AN4" s="17" t="n">
        <v>1</v>
      </c>
      <c r="AO4" s="17" t="n">
        <v>1</v>
      </c>
      <c r="AP4" s="17" t="n">
        <v>1</v>
      </c>
      <c r="AQ4" s="17" t="n">
        <v>1</v>
      </c>
      <c r="AR4" s="17" t="n">
        <v>1</v>
      </c>
      <c r="AS4" s="17" t="n">
        <v>1</v>
      </c>
      <c r="AT4" s="17" t="n">
        <v>1</v>
      </c>
      <c r="AU4" s="17" t="n">
        <v>1</v>
      </c>
      <c r="AV4" s="17" t="n">
        <v>1</v>
      </c>
      <c r="AW4" s="17" t="n">
        <v>1</v>
      </c>
      <c r="AX4" s="17" t="n">
        <v>1</v>
      </c>
      <c r="AY4" s="17" t="n">
        <v>1</v>
      </c>
      <c r="AZ4" s="17" t="n">
        <v>1</v>
      </c>
      <c r="BA4" s="17" t="n">
        <v>1</v>
      </c>
      <c r="BB4" s="17" t="n">
        <v>1</v>
      </c>
      <c r="BC4" s="17" t="n">
        <v>1</v>
      </c>
      <c r="BD4" s="17" t="n">
        <v>1</v>
      </c>
      <c r="BE4" s="17" t="n">
        <v>1.75377552407906</v>
      </c>
      <c r="BF4" s="17" t="n">
        <v>1.75377552407906</v>
      </c>
      <c r="BG4" s="17" t="n">
        <v>1.37688776203953</v>
      </c>
      <c r="BH4" s="17" t="n">
        <v>1</v>
      </c>
      <c r="BI4" s="17"/>
      <c r="BJ4" s="17"/>
    </row>
    <row r="5" customFormat="false" ht="15" hidden="false" customHeight="false" outlineLevel="0" collapsed="false">
      <c r="A5" s="2" t="n">
        <v>1</v>
      </c>
      <c r="B5" s="11" t="s">
        <v>52</v>
      </c>
      <c r="C5" s="0" t="n">
        <v>4</v>
      </c>
      <c r="D5" s="0" t="s">
        <v>119</v>
      </c>
      <c r="E5" s="12" t="str">
        <f aca="false">CONCATENATE("Als onderdeel van het programma 'Netwerk op zijn Best' omvat dit groot onderhoudsproject op de ",B5," een verbetermaatregel aan de binnenring door het plaatsen van fly-overs op de knooppunten tussen ",B5," grenzend aan de M1 en de M2.")</f>
        <v>Als onderdeel van het programma 'Netwerk op zijn Best' omvat dit groot onderhoudsproject op de B1-A een verbetermaatregel aan de binnenring door het plaatsen van fly-overs op de knooppunten tussen B1-A grenzend aan de M1 en de M2.</v>
      </c>
      <c r="F5" s="13" t="s">
        <v>120</v>
      </c>
      <c r="G5" s="1" t="s">
        <v>114</v>
      </c>
      <c r="H5" s="1" t="n">
        <v>12000</v>
      </c>
      <c r="I5" s="14" t="n">
        <v>2895000</v>
      </c>
      <c r="J5" s="1" t="n">
        <v>6.3</v>
      </c>
      <c r="K5" s="15" t="n">
        <f aca="false">1/3</f>
        <v>0.333333333333333</v>
      </c>
      <c r="L5" s="1" t="n">
        <v>2</v>
      </c>
      <c r="M5" s="10" t="n">
        <f aca="false">O5-I5</f>
        <v>1739000</v>
      </c>
      <c r="N5" s="10" t="n">
        <f aca="false">IF(P5=1,0,VLOOKUP($P$1,'TTL NORMAL'!$A$2:$B$46,2,0)*(J5+L5)*P5)+IF(Q5=1,0,VLOOKUP($Q$1,'TTL NORMAL'!$A$2:$B$46,2,0)*(J5+L5)*Q5)+IF(R5=1,0,VLOOKUP($R$1,'TTL NORMAL'!$A$2:$B$46,2,0)*(J5+L5)*R5)+IF(S5=1,0,VLOOKUP($S$1,'TTL NORMAL'!$A$2:$B$46,2,0)*(J5+L5)*S5)+IF(T5=1,0,VLOOKUP($T$1,'TTL NORMAL'!$A$2:$B$46,2,0)*(J5+L5)*T5)+IF(U5=1,0,VLOOKUP($U$1,'TTL NORMAL'!$A$2:$B$46,2,0)*(J5+L5)*U5)+IF(V5=1,0,VLOOKUP($V$1,'TTL NORMAL'!$A$2:$B$46,2,0)*(J5+L5)*V5)+IF(W5=1,0,VLOOKUP($W$1,'TTL NORMAL'!$A$2:$B$46,2,0)*(J5+L5)*W5)+IF(X5=1,0,VLOOKUP($X$1,'TTL NORMAL'!$A$2:$B$46,2,0)*(J5+L5)*X5)+IF(Y5=1,0,VLOOKUP($Y$1,'TTL NORMAL'!$A$2:$B$46,2,0)*(J5+L5)*Y5)+IF(Z5=1,0,VLOOKUP($Z$1,'TTL NORMAL'!$A$2:$B$46,2,0)*(J5+L5)*Z5)+IF(AA5=1,0,VLOOKUP($AA$1,'TTL NORMAL'!$A$2:$B$46,2,0)*(J5+L5)*AA5)+IF(AB5=1,0,VLOOKUP($AB$1,'TTL NORMAL'!$A$2:$B$46,2,0)*(J5+L5)*AB5)+IF(AC5=1,0,VLOOKUP($AC$1,'TTL NORMAL'!$A$2:$B$46,2,0)*(J5+L5)*AC5)+IF(AD5=1,0,VLOOKUP($AD$1,'TTL NORMAL'!$A$2:$B$46,2,0)*(J5+L5)*AD5)+IF(AE5=1,0,VLOOKUP($AE$1,'TTL NORMAL'!$A$2:$B$46,2,0)*(J5+L5)*AE5)+IF(AF5=1,0,VLOOKUP($AF$1,'TTL NORMAL'!$A$2:$B$46,2,0)*(J5+L5)*AF5)+IF(AG5=1,0,VLOOKUP($AG$1,'TTL NORMAL'!$A$2:$B$46,2,0)*(J5+L5)*AG5)+IF(AH5=1,0,VLOOKUP($AH$1,'TTL NORMAL'!$A$2:$B$46,2,0)*(J5+L5)*AH5)+IF(AI5=1,0,VLOOKUP($AI$1,'TTL NORMAL'!$A$2:$B$46,2,0)*(J5+L5)*AI5)+IF(AJ5=1,0,VLOOKUP($AJ$1,'TTL NORMAL'!$A$2:$B$46,2,0)*(J5+L5)*AJ5)+IF(AK5=1,0,VLOOKUP($AK$1,'TTL NORMAL'!$A$2:$B$46,2,0)*(J5+L5)*AK5)+IF(AL5=1,0,VLOOKUP($AL$1,'TTL NORMAL'!$A$2:$B$46,2,0)*(J5+L5)*AL5)+IF(AM5=1,0,VLOOKUP($AM$1,'TTL NORMAL'!$A$2:$B$46,2,0)*(J5+L5)*AM5)+IF(AN5=1,0,VLOOKUP($AN$1,'TTL NORMAL'!$A$2:$B$46,2,0)*(J5+L5)*AN5)+IF(AO5=1,0,VLOOKUP($AO$1,'TTL NORMAL'!$A$2:$B$46,2,0)*(J5+L5)*AO5)+IF(AP5=1,0,VLOOKUP($AP$1,'TTL NORMAL'!$A$2:$B$46,2,0)*(J5+L5)*AP5)+IF(AQ5=1,0,VLOOKUP($AQ$1,'TTL NORMAL'!$A$2:$B$46,2,0)*(J5+L5)*AQ5)+IF(AR5=1,0,VLOOKUP($AR$1,'TTL NORMAL'!$A$2:$B$46,2,0)*(J5+L5)*AR5)+IF(AS5=1,0,VLOOKUP($AS$1,'TTL NORMAL'!$A$2:$B$46,2,0)*(J5+L5)*AS5)+IF(AT5=1,0,VLOOKUP($AT$1,'TTL NORMAL'!$A$2:$B$46,2,0)*(J5+L5)*AT5)+IF(AU5=1,0,VLOOKUP($AU$1,'TTL NORMAL'!$A$2:$B$46,2,0)*(J5+L5)*AU5)+IF(AV5=1,0,VLOOKUP($AV$1,'TTL NORMAL'!$A$2:$B$46,2,0)*(J5+L5)*AV5)+IF(AW5=1,0,VLOOKUP($AW$1,'TTL NORMAL'!$A$2:$B$46,2,0)*(J5+L5)*AW5)+IF(AX5=1,0,VLOOKUP($AX$1,'TTL NORMAL'!$A$2:$B$46,2,0)*(J5+L5)*AX5)+IF(AY5=1,0,VLOOKUP($AY$1,'TTL NORMAL'!$A$2:$B$46,2,0)*(J5+L5)*AY5)+IF(AZ5=1,0,VLOOKUP($AZ$1,'TTL NORMAL'!$A$2:$B$46,2,0)*(J5+L5)*AZ5)+IF(BA5=1,0,VLOOKUP($BA$1,'TTL NORMAL'!$A$2:$B$46,2,0)*(J5+L5)*BA5)+IF(BB5=1,0,VLOOKUP($BB$1,'TTL NORMAL'!$A$2:$B$46,2,0)*(J5+L5)*BB5)+IF(BC5=1,0,VLOOKUP($BC$1,'TTL NORMAL'!$A$2:$B$46,2,0)*(J5+L5)*BC5)+IF(BD5=1,0,VLOOKUP($BD$1,'TTL NORMAL'!$A$2:$B$46,2,0)*(J5+L5)*BD5)+IF(BE5=1,0,VLOOKUP($BE$1,'TTL NORMAL'!$A$2:$B$46,2,0)*(J5+L5)*BE5)+IF(BF5=1,0,VLOOKUP($BF$1,'TTL NORMAL'!$A$2:$B$46,2,0)*(J5+L5)*BF5)+IF(BG5=1,0,VLOOKUP($BG$1,'TTL NORMAL'!$A$2:$B$46,2,0)*(J5+L5)*BG5)+IF(BH5=1,0,VLOOKUP($BH$1,'TTL NORMAL'!$A$2:$B$46,2,0)*(J5+L5)*BH5)</f>
        <v>1304916.15389442</v>
      </c>
      <c r="O5" s="5" t="n">
        <v>4634000</v>
      </c>
      <c r="P5" s="16" t="n">
        <v>1.90453062889488</v>
      </c>
      <c r="Q5" s="17" t="n">
        <v>1.90453062889488</v>
      </c>
      <c r="R5" s="17" t="n">
        <v>1.90453062889488</v>
      </c>
      <c r="S5" s="17" t="n">
        <v>1.45226531444744</v>
      </c>
      <c r="T5" s="17" t="n">
        <v>1.45226531444744</v>
      </c>
      <c r="U5" s="17" t="n">
        <v>1.90453062889488</v>
      </c>
      <c r="V5" s="17" t="n">
        <v>1</v>
      </c>
      <c r="W5" s="17" t="n">
        <v>1</v>
      </c>
      <c r="X5" s="17" t="n">
        <v>1</v>
      </c>
      <c r="Y5" s="17" t="n">
        <v>1</v>
      </c>
      <c r="Z5" s="17" t="n">
        <v>1</v>
      </c>
      <c r="AA5" s="17" t="n">
        <v>1</v>
      </c>
      <c r="AB5" s="17" t="n">
        <v>1</v>
      </c>
      <c r="AC5" s="17" t="n">
        <v>1</v>
      </c>
      <c r="AD5" s="17" t="n">
        <v>1</v>
      </c>
      <c r="AE5" s="17" t="n">
        <v>1</v>
      </c>
      <c r="AF5" s="17" t="n">
        <v>1</v>
      </c>
      <c r="AG5" s="17" t="n">
        <v>1.45226531444744</v>
      </c>
      <c r="AH5" s="17" t="n">
        <v>1</v>
      </c>
      <c r="AI5" s="17" t="n">
        <v>1</v>
      </c>
      <c r="AJ5" s="17" t="n">
        <v>1.45226531444744</v>
      </c>
      <c r="AK5" s="17" t="n">
        <v>1</v>
      </c>
      <c r="AL5" s="17" t="n">
        <v>1</v>
      </c>
      <c r="AM5" s="17" t="n">
        <v>1</v>
      </c>
      <c r="AN5" s="17" t="n">
        <v>1</v>
      </c>
      <c r="AO5" s="17" t="n">
        <v>1</v>
      </c>
      <c r="AP5" s="17" t="n">
        <v>1</v>
      </c>
      <c r="AQ5" s="17" t="n">
        <v>1</v>
      </c>
      <c r="AR5" s="17" t="n">
        <v>1</v>
      </c>
      <c r="AS5" s="17" t="n">
        <v>1</v>
      </c>
      <c r="AT5" s="17" t="n">
        <v>1</v>
      </c>
      <c r="AU5" s="17" t="n">
        <v>1</v>
      </c>
      <c r="AV5" s="17" t="n">
        <v>1</v>
      </c>
      <c r="AW5" s="17" t="n">
        <v>1</v>
      </c>
      <c r="AX5" s="17" t="n">
        <v>1</v>
      </c>
      <c r="AY5" s="17" t="n">
        <v>1</v>
      </c>
      <c r="AZ5" s="17" t="n">
        <v>1</v>
      </c>
      <c r="BA5" s="17" t="n">
        <v>1</v>
      </c>
      <c r="BB5" s="17" t="n">
        <v>1</v>
      </c>
      <c r="BC5" s="17" t="n">
        <v>1</v>
      </c>
      <c r="BD5" s="17" t="n">
        <v>1</v>
      </c>
      <c r="BE5" s="17" t="n">
        <v>1.90453062889488</v>
      </c>
      <c r="BF5" s="17" t="n">
        <v>1.90453062889488</v>
      </c>
      <c r="BG5" s="17" t="n">
        <v>1.45226531444744</v>
      </c>
      <c r="BH5" s="17" t="n">
        <v>1</v>
      </c>
      <c r="BI5" s="17"/>
      <c r="BJ5" s="17"/>
    </row>
    <row r="6" customFormat="false" ht="15" hidden="false" customHeight="false" outlineLevel="0" collapsed="false">
      <c r="A6" s="2" t="n">
        <v>2</v>
      </c>
      <c r="B6" s="11" t="s">
        <v>53</v>
      </c>
      <c r="C6" s="0" t="n">
        <v>1</v>
      </c>
      <c r="D6" s="0" t="s">
        <v>112</v>
      </c>
      <c r="E6" s="12" t="str">
        <f aca="false">CONCATENATE("Als onderdeel van het programma 'Netwerk op zijn Best' omvat dit groot onderhoudsproject op de ",B6," een verbetermaatregel aan de binnenring door het plaatsen van fly-overs op de knooppunten tussen ",B6," grenzend aan de M2 en de M3.")</f>
        <v>Als onderdeel van het programma 'Netwerk op zijn Best' omvat dit groot onderhoudsproject op de B1-B een verbetermaatregel aan de binnenring door het plaatsen van fly-overs op de knooppunten tussen B1-B grenzend aan de M2 en de M3.</v>
      </c>
      <c r="F6" s="13" t="s">
        <v>113</v>
      </c>
      <c r="G6" s="1" t="s">
        <v>114</v>
      </c>
      <c r="H6" s="1" t="n">
        <v>8000</v>
      </c>
      <c r="I6" s="14" t="n">
        <v>3184500</v>
      </c>
      <c r="J6" s="1" t="n">
        <v>9.9</v>
      </c>
      <c r="K6" s="15" t="n">
        <f aca="false">1/3</f>
        <v>0.333333333333333</v>
      </c>
      <c r="L6" s="1" t="n">
        <v>2</v>
      </c>
      <c r="M6" s="10" t="n">
        <f aca="false">O6-I6</f>
        <v>1449500</v>
      </c>
      <c r="N6" s="10" t="n">
        <f aca="false">IF(P6=1,0,VLOOKUP($P$1,'TTL NORMAL'!$A$2:$B$46,2,0)*(J6+L6)*P6)+IF(Q6=1,0,VLOOKUP($Q$1,'TTL NORMAL'!$A$2:$B$46,2,0)*(J6+L6)*Q6)+IF(R6=1,0,VLOOKUP($R$1,'TTL NORMAL'!$A$2:$B$46,2,0)*(J6+L6)*R6)+IF(S6=1,0,VLOOKUP($S$1,'TTL NORMAL'!$A$2:$B$46,2,0)*(J6+L6)*S6)+IF(T6=1,0,VLOOKUP($T$1,'TTL NORMAL'!$A$2:$B$46,2,0)*(J6+L6)*T6)+IF(U6=1,0,VLOOKUP($U$1,'TTL NORMAL'!$A$2:$B$46,2,0)*(J6+L6)*U6)+IF(V6=1,0,VLOOKUP($V$1,'TTL NORMAL'!$A$2:$B$46,2,0)*(J6+L6)*V6)+IF(W6=1,0,VLOOKUP($W$1,'TTL NORMAL'!$A$2:$B$46,2,0)*(J6+L6)*W6)+IF(X6=1,0,VLOOKUP($X$1,'TTL NORMAL'!$A$2:$B$46,2,0)*(J6+L6)*X6)+IF(Y6=1,0,VLOOKUP($Y$1,'TTL NORMAL'!$A$2:$B$46,2,0)*(J6+L6)*Y6)+IF(Z6=1,0,VLOOKUP($Z$1,'TTL NORMAL'!$A$2:$B$46,2,0)*(J6+L6)*Z6)+IF(AA6=1,0,VLOOKUP($AA$1,'TTL NORMAL'!$A$2:$B$46,2,0)*(J6+L6)*AA6)+IF(AB6=1,0,VLOOKUP($AB$1,'TTL NORMAL'!$A$2:$B$46,2,0)*(J6+L6)*AB6)+IF(AC6=1,0,VLOOKUP($AC$1,'TTL NORMAL'!$A$2:$B$46,2,0)*(J6+L6)*AC6)+IF(AD6=1,0,VLOOKUP($AD$1,'TTL NORMAL'!$A$2:$B$46,2,0)*(J6+L6)*AD6)+IF(AE6=1,0,VLOOKUP($AE$1,'TTL NORMAL'!$A$2:$B$46,2,0)*(J6+L6)*AE6)+IF(AF6=1,0,VLOOKUP($AF$1,'TTL NORMAL'!$A$2:$B$46,2,0)*(J6+L6)*AF6)+IF(AG6=1,0,VLOOKUP($AG$1,'TTL NORMAL'!$A$2:$B$46,2,0)*(J6+L6)*AG6)+IF(AH6=1,0,VLOOKUP($AH$1,'TTL NORMAL'!$A$2:$B$46,2,0)*(J6+L6)*AH6)+IF(AI6=1,0,VLOOKUP($AI$1,'TTL NORMAL'!$A$2:$B$46,2,0)*(J6+L6)*AI6)+IF(AJ6=1,0,VLOOKUP($AJ$1,'TTL NORMAL'!$A$2:$B$46,2,0)*(J6+L6)*AJ6)+IF(AK6=1,0,VLOOKUP($AK$1,'TTL NORMAL'!$A$2:$B$46,2,0)*(J6+L6)*AK6)+IF(AL6=1,0,VLOOKUP($AL$1,'TTL NORMAL'!$A$2:$B$46,2,0)*(J6+L6)*AL6)+IF(AM6=1,0,VLOOKUP($AM$1,'TTL NORMAL'!$A$2:$B$46,2,0)*(J6+L6)*AM6)+IF(AN6=1,0,VLOOKUP($AN$1,'TTL NORMAL'!$A$2:$B$46,2,0)*(J6+L6)*AN6)+IF(AO6=1,0,VLOOKUP($AO$1,'TTL NORMAL'!$A$2:$B$46,2,0)*(J6+L6)*AO6)+IF(AP6=1,0,VLOOKUP($AP$1,'TTL NORMAL'!$A$2:$B$46,2,0)*(J6+L6)*AP6)+IF(AQ6=1,0,VLOOKUP($AQ$1,'TTL NORMAL'!$A$2:$B$46,2,0)*(J6+L6)*AQ6)+IF(AR6=1,0,VLOOKUP($AR$1,'TTL NORMAL'!$A$2:$B$46,2,0)*(J6+L6)*AR6)+IF(AS6=1,0,VLOOKUP($AS$1,'TTL NORMAL'!$A$2:$B$46,2,0)*(J6+L6)*AS6)+IF(AT6=1,0,VLOOKUP($AT$1,'TTL NORMAL'!$A$2:$B$46,2,0)*(J6+L6)*AT6)+IF(AU6=1,0,VLOOKUP($AU$1,'TTL NORMAL'!$A$2:$B$46,2,0)*(J6+L6)*AU6)+IF(AV6=1,0,VLOOKUP($AV$1,'TTL NORMAL'!$A$2:$B$46,2,0)*(J6+L6)*AV6)+IF(AW6=1,0,VLOOKUP($AW$1,'TTL NORMAL'!$A$2:$B$46,2,0)*(J6+L6)*AW6)+IF(AX6=1,0,VLOOKUP($AX$1,'TTL NORMAL'!$A$2:$B$46,2,0)*(J6+L6)*AX6)+IF(AY6=1,0,VLOOKUP($AY$1,'TTL NORMAL'!$A$2:$B$46,2,0)*(J6+L6)*AY6)+IF(AZ6=1,0,VLOOKUP($AZ$1,'TTL NORMAL'!$A$2:$B$46,2,0)*(J6+L6)*AZ6)+IF(BA6=1,0,VLOOKUP($BA$1,'TTL NORMAL'!$A$2:$B$46,2,0)*(J6+L6)*BA6)+IF(BB6=1,0,VLOOKUP($BB$1,'TTL NORMAL'!$A$2:$B$46,2,0)*(J6+L6)*BB6)+IF(BC6=1,0,VLOOKUP($BC$1,'TTL NORMAL'!$A$2:$B$46,2,0)*(J6+L6)*BC6)+IF(BD6=1,0,VLOOKUP($BD$1,'TTL NORMAL'!$A$2:$B$46,2,0)*(J6+L6)*BD6)+IF(BE6=1,0,VLOOKUP($BE$1,'TTL NORMAL'!$A$2:$B$46,2,0)*(J6+L6)*BE6)+IF(BF6=1,0,VLOOKUP($BF$1,'TTL NORMAL'!$A$2:$B$46,2,0)*(J6+L6)*BF6)+IF(BG6=1,0,VLOOKUP($BG$1,'TTL NORMAL'!$A$2:$B$46,2,0)*(J6+L6)*BG6)+IF(BH6=1,0,VLOOKUP($BH$1,'TTL NORMAL'!$A$2:$B$46,2,0)*(J6+L6)*BH6)</f>
        <v>1486859.03012077</v>
      </c>
      <c r="O6" s="5" t="n">
        <v>4634000</v>
      </c>
      <c r="P6" s="18" t="n">
        <v>1.60302041926325</v>
      </c>
      <c r="Q6" s="17" t="n">
        <v>1.60302041926325</v>
      </c>
      <c r="R6" s="17" t="n">
        <v>1</v>
      </c>
      <c r="S6" s="17" t="n">
        <v>1.60302041926325</v>
      </c>
      <c r="T6" s="17" t="n">
        <v>1.30151020963162</v>
      </c>
      <c r="U6" s="17" t="n">
        <v>1.30151020963162</v>
      </c>
      <c r="V6" s="17" t="n">
        <v>1</v>
      </c>
      <c r="W6" s="17" t="n">
        <v>1</v>
      </c>
      <c r="X6" s="17" t="n">
        <v>1</v>
      </c>
      <c r="Y6" s="17" t="n">
        <v>1</v>
      </c>
      <c r="Z6" s="17" t="n">
        <v>1</v>
      </c>
      <c r="AA6" s="17" t="n">
        <v>1</v>
      </c>
      <c r="AB6" s="17" t="n">
        <v>1</v>
      </c>
      <c r="AC6" s="17" t="n">
        <v>1</v>
      </c>
      <c r="AD6" s="17" t="n">
        <v>1</v>
      </c>
      <c r="AE6" s="17" t="n">
        <v>1</v>
      </c>
      <c r="AF6" s="17" t="n">
        <v>1</v>
      </c>
      <c r="AG6" s="17" t="n">
        <v>1.30151020963162</v>
      </c>
      <c r="AH6" s="17" t="n">
        <v>1</v>
      </c>
      <c r="AI6" s="17" t="n">
        <v>1</v>
      </c>
      <c r="AJ6" s="17" t="n">
        <v>1</v>
      </c>
      <c r="AK6" s="17" t="n">
        <v>1</v>
      </c>
      <c r="AL6" s="17" t="n">
        <v>1</v>
      </c>
      <c r="AM6" s="17" t="n">
        <v>1.30151020963162</v>
      </c>
      <c r="AN6" s="17" t="n">
        <v>1</v>
      </c>
      <c r="AO6" s="17" t="n">
        <v>1</v>
      </c>
      <c r="AP6" s="17" t="n">
        <v>1</v>
      </c>
      <c r="AQ6" s="17" t="n">
        <v>1</v>
      </c>
      <c r="AR6" s="17" t="n">
        <v>1</v>
      </c>
      <c r="AS6" s="17" t="n">
        <v>1</v>
      </c>
      <c r="AT6" s="17" t="n">
        <v>1</v>
      </c>
      <c r="AU6" s="17" t="n">
        <v>1</v>
      </c>
      <c r="AV6" s="17" t="n">
        <v>1</v>
      </c>
      <c r="AW6" s="17" t="n">
        <v>1</v>
      </c>
      <c r="AX6" s="17" t="n">
        <v>1</v>
      </c>
      <c r="AY6" s="17" t="n">
        <v>1</v>
      </c>
      <c r="AZ6" s="17" t="n">
        <v>1</v>
      </c>
      <c r="BA6" s="17" t="n">
        <v>1</v>
      </c>
      <c r="BB6" s="17" t="n">
        <v>1</v>
      </c>
      <c r="BC6" s="17" t="n">
        <v>1</v>
      </c>
      <c r="BD6" s="17" t="n">
        <v>1</v>
      </c>
      <c r="BE6" s="17" t="n">
        <v>1.30151020963162</v>
      </c>
      <c r="BF6" s="17" t="n">
        <v>1.60302041926325</v>
      </c>
      <c r="BG6" s="17" t="n">
        <v>1.60302041926325</v>
      </c>
      <c r="BH6" s="17" t="n">
        <v>1.30151020963162</v>
      </c>
      <c r="BI6" s="17"/>
      <c r="BJ6" s="17"/>
    </row>
    <row r="7" customFormat="false" ht="15" hidden="false" customHeight="false" outlineLevel="0" collapsed="false">
      <c r="A7" s="2" t="n">
        <v>2</v>
      </c>
      <c r="B7" s="11" t="s">
        <v>53</v>
      </c>
      <c r="C7" s="0" t="n">
        <v>2</v>
      </c>
      <c r="D7" s="0" t="s">
        <v>115</v>
      </c>
      <c r="E7" s="12" t="str">
        <f aca="false">CONCATENATE("Als onderdeel van het programma 'Netwerk op zijn Best' omvat dit groot onderhoudsproject op de ",B7," een verbetermaatregel aan de binnenring door het plaatsen van fly-overs op de knooppunten tussen ",B7," grenzend aan de M2 en de M3.")</f>
        <v>Als onderdeel van het programma 'Netwerk op zijn Best' omvat dit groot onderhoudsproject op de B1-B een verbetermaatregel aan de binnenring door het plaatsen van fly-overs op de knooppunten tussen B1-B grenzend aan de M2 en de M3.</v>
      </c>
      <c r="F7" s="13" t="s">
        <v>116</v>
      </c>
      <c r="G7" s="1" t="s">
        <v>114</v>
      </c>
      <c r="H7" s="1" t="n">
        <v>12000</v>
      </c>
      <c r="I7" s="14" t="n">
        <v>2026500</v>
      </c>
      <c r="J7" s="1" t="n">
        <v>9</v>
      </c>
      <c r="K7" s="15" t="n">
        <f aca="false">1/3</f>
        <v>0.333333333333333</v>
      </c>
      <c r="L7" s="1" t="n">
        <v>4</v>
      </c>
      <c r="M7" s="10" t="n">
        <f aca="false">O7-I7</f>
        <v>2607500</v>
      </c>
      <c r="N7" s="10" t="n">
        <f aca="false">IF(P7=1,0,VLOOKUP($P$1,'TTL NORMAL'!$A$2:$B$46,2,0)*(J7+L7)*P7)+IF(Q7=1,0,VLOOKUP($Q$1,'TTL NORMAL'!$A$2:$B$46,2,0)*(J7+L7)*Q7)+IF(R7=1,0,VLOOKUP($R$1,'TTL NORMAL'!$A$2:$B$46,2,0)*(J7+L7)*R7)+IF(S7=1,0,VLOOKUP($S$1,'TTL NORMAL'!$A$2:$B$46,2,0)*(J7+L7)*S7)+IF(T7=1,0,VLOOKUP($T$1,'TTL NORMAL'!$A$2:$B$46,2,0)*(J7+L7)*T7)+IF(U7=1,0,VLOOKUP($U$1,'TTL NORMAL'!$A$2:$B$46,2,0)*(J7+L7)*U7)+IF(V7=1,0,VLOOKUP($V$1,'TTL NORMAL'!$A$2:$B$46,2,0)*(J7+L7)*V7)+IF(W7=1,0,VLOOKUP($W$1,'TTL NORMAL'!$A$2:$B$46,2,0)*(J7+L7)*W7)+IF(X7=1,0,VLOOKUP($X$1,'TTL NORMAL'!$A$2:$B$46,2,0)*(J7+L7)*X7)+IF(Y7=1,0,VLOOKUP($Y$1,'TTL NORMAL'!$A$2:$B$46,2,0)*(J7+L7)*Y7)+IF(Z7=1,0,VLOOKUP($Z$1,'TTL NORMAL'!$A$2:$B$46,2,0)*(J7+L7)*Z7)+IF(AA7=1,0,VLOOKUP($AA$1,'TTL NORMAL'!$A$2:$B$46,2,0)*(J7+L7)*AA7)+IF(AB7=1,0,VLOOKUP($AB$1,'TTL NORMAL'!$A$2:$B$46,2,0)*(J7+L7)*AB7)+IF(AC7=1,0,VLOOKUP($AC$1,'TTL NORMAL'!$A$2:$B$46,2,0)*(J7+L7)*AC7)+IF(AD7=1,0,VLOOKUP($AD$1,'TTL NORMAL'!$A$2:$B$46,2,0)*(J7+L7)*AD7)+IF(AE7=1,0,VLOOKUP($AE$1,'TTL NORMAL'!$A$2:$B$46,2,0)*(J7+L7)*AE7)+IF(AF7=1,0,VLOOKUP($AF$1,'TTL NORMAL'!$A$2:$B$46,2,0)*(J7+L7)*AF7)+IF(AG7=1,0,VLOOKUP($AG$1,'TTL NORMAL'!$A$2:$B$46,2,0)*(J7+L7)*AG7)+IF(AH7=1,0,VLOOKUP($AH$1,'TTL NORMAL'!$A$2:$B$46,2,0)*(J7+L7)*AH7)+IF(AI7=1,0,VLOOKUP($AI$1,'TTL NORMAL'!$A$2:$B$46,2,0)*(J7+L7)*AI7)+IF(AJ7=1,0,VLOOKUP($AJ$1,'TTL NORMAL'!$A$2:$B$46,2,0)*(J7+L7)*AJ7)+IF(AK7=1,0,VLOOKUP($AK$1,'TTL NORMAL'!$A$2:$B$46,2,0)*(J7+L7)*AK7)+IF(AL7=1,0,VLOOKUP($AL$1,'TTL NORMAL'!$A$2:$B$46,2,0)*(J7+L7)*AL7)+IF(AM7=1,0,VLOOKUP($AM$1,'TTL NORMAL'!$A$2:$B$46,2,0)*(J7+L7)*AM7)+IF(AN7=1,0,VLOOKUP($AN$1,'TTL NORMAL'!$A$2:$B$46,2,0)*(J7+L7)*AN7)+IF(AO7=1,0,VLOOKUP($AO$1,'TTL NORMAL'!$A$2:$B$46,2,0)*(J7+L7)*AO7)+IF(AP7=1,0,VLOOKUP($AP$1,'TTL NORMAL'!$A$2:$B$46,2,0)*(J7+L7)*AP7)+IF(AQ7=1,0,VLOOKUP($AQ$1,'TTL NORMAL'!$A$2:$B$46,2,0)*(J7+L7)*AQ7)+IF(AR7=1,0,VLOOKUP($AR$1,'TTL NORMAL'!$A$2:$B$46,2,0)*(J7+L7)*AR7)+IF(AS7=1,0,VLOOKUP($AS$1,'TTL NORMAL'!$A$2:$B$46,2,0)*(J7+L7)*AS7)+IF(AT7=1,0,VLOOKUP($AT$1,'TTL NORMAL'!$A$2:$B$46,2,0)*(J7+L7)*AT7)+IF(AU7=1,0,VLOOKUP($AU$1,'TTL NORMAL'!$A$2:$B$46,2,0)*(J7+L7)*AU7)+IF(AV7=1,0,VLOOKUP($AV$1,'TTL NORMAL'!$A$2:$B$46,2,0)*(J7+L7)*AV7)+IF(AW7=1,0,VLOOKUP($AW$1,'TTL NORMAL'!$A$2:$B$46,2,0)*(J7+L7)*AW7)+IF(AX7=1,0,VLOOKUP($AX$1,'TTL NORMAL'!$A$2:$B$46,2,0)*(J7+L7)*AX7)+IF(AY7=1,0,VLOOKUP($AY$1,'TTL NORMAL'!$A$2:$B$46,2,0)*(J7+L7)*AY7)+IF(AZ7=1,0,VLOOKUP($AZ$1,'TTL NORMAL'!$A$2:$B$46,2,0)*(J7+L7)*AZ7)+IF(BA7=1,0,VLOOKUP($BA$1,'TTL NORMAL'!$A$2:$B$46,2,0)*(J7+L7)*BA7)+IF(BB7=1,0,VLOOKUP($BB$1,'TTL NORMAL'!$A$2:$B$46,2,0)*(J7+L7)*BB7)+IF(BC7=1,0,VLOOKUP($BC$1,'TTL NORMAL'!$A$2:$B$46,2,0)*(J7+L7)*BC7)+IF(BD7=1,0,VLOOKUP($BD$1,'TTL NORMAL'!$A$2:$B$46,2,0)*(J7+L7)*BD7)+IF(BE7=1,0,VLOOKUP($BE$1,'TTL NORMAL'!$A$2:$B$46,2,0)*(J7+L7)*BE7)+IF(BF7=1,0,VLOOKUP($BF$1,'TTL NORMAL'!$A$2:$B$46,2,0)*(J7+L7)*BF7)+IF(BG7=1,0,VLOOKUP($BG$1,'TTL NORMAL'!$A$2:$B$46,2,0)*(J7+L7)*BG7)+IF(BH7=1,0,VLOOKUP($BH$1,'TTL NORMAL'!$A$2:$B$46,2,0)*(J7+L7)*BH7)</f>
        <v>2218422.7369021</v>
      </c>
      <c r="O7" s="5" t="n">
        <v>4634000</v>
      </c>
      <c r="P7" s="18" t="n">
        <v>1.90453062889488</v>
      </c>
      <c r="Q7" s="17" t="n">
        <v>1.90453062889488</v>
      </c>
      <c r="R7" s="17" t="n">
        <v>1.90453062889488</v>
      </c>
      <c r="S7" s="17" t="n">
        <v>1.90453062889488</v>
      </c>
      <c r="T7" s="17" t="n">
        <v>1.45226531444744</v>
      </c>
      <c r="U7" s="17" t="n">
        <v>1.45226531444744</v>
      </c>
      <c r="V7" s="17" t="n">
        <v>1</v>
      </c>
      <c r="W7" s="17" t="n">
        <v>1</v>
      </c>
      <c r="X7" s="17" t="n">
        <v>1</v>
      </c>
      <c r="Y7" s="17" t="n">
        <v>1</v>
      </c>
      <c r="Z7" s="17" t="n">
        <v>1</v>
      </c>
      <c r="AA7" s="17" t="n">
        <v>1</v>
      </c>
      <c r="AB7" s="17" t="n">
        <v>1</v>
      </c>
      <c r="AC7" s="17" t="n">
        <v>1</v>
      </c>
      <c r="AD7" s="17" t="n">
        <v>1</v>
      </c>
      <c r="AE7" s="17" t="n">
        <v>1</v>
      </c>
      <c r="AF7" s="17" t="n">
        <v>1</v>
      </c>
      <c r="AG7" s="17" t="n">
        <v>1.45226531444744</v>
      </c>
      <c r="AH7" s="17" t="n">
        <v>1</v>
      </c>
      <c r="AI7" s="17" t="n">
        <v>1</v>
      </c>
      <c r="AJ7" s="17" t="n">
        <v>1</v>
      </c>
      <c r="AK7" s="17" t="n">
        <v>1</v>
      </c>
      <c r="AL7" s="17" t="n">
        <v>1</v>
      </c>
      <c r="AM7" s="17" t="n">
        <v>1.45226531444744</v>
      </c>
      <c r="AN7" s="17" t="n">
        <v>1</v>
      </c>
      <c r="AO7" s="17" t="n">
        <v>1</v>
      </c>
      <c r="AP7" s="17" t="n">
        <v>1</v>
      </c>
      <c r="AQ7" s="17" t="n">
        <v>1</v>
      </c>
      <c r="AR7" s="17" t="n">
        <v>1</v>
      </c>
      <c r="AS7" s="17" t="n">
        <v>1</v>
      </c>
      <c r="AT7" s="17" t="n">
        <v>1</v>
      </c>
      <c r="AU7" s="17" t="n">
        <v>1</v>
      </c>
      <c r="AV7" s="17" t="n">
        <v>1</v>
      </c>
      <c r="AW7" s="17" t="n">
        <v>1</v>
      </c>
      <c r="AX7" s="17" t="n">
        <v>1</v>
      </c>
      <c r="AY7" s="17" t="n">
        <v>1</v>
      </c>
      <c r="AZ7" s="17" t="n">
        <v>1</v>
      </c>
      <c r="BA7" s="17" t="n">
        <v>1</v>
      </c>
      <c r="BB7" s="17" t="n">
        <v>1</v>
      </c>
      <c r="BC7" s="17" t="n">
        <v>1</v>
      </c>
      <c r="BD7" s="17" t="n">
        <v>1</v>
      </c>
      <c r="BE7" s="17" t="n">
        <v>1.45226531444744</v>
      </c>
      <c r="BF7" s="17" t="n">
        <v>1.90453062889488</v>
      </c>
      <c r="BG7" s="17" t="n">
        <v>1.90453062889488</v>
      </c>
      <c r="BH7" s="17" t="n">
        <v>1.45226531444744</v>
      </c>
      <c r="BI7" s="17"/>
      <c r="BJ7" s="17"/>
    </row>
    <row r="8" customFormat="false" ht="15" hidden="false" customHeight="false" outlineLevel="0" collapsed="false">
      <c r="A8" s="2" t="n">
        <v>2</v>
      </c>
      <c r="B8" s="11" t="s">
        <v>53</v>
      </c>
      <c r="C8" s="0" t="n">
        <v>3</v>
      </c>
      <c r="D8" s="0" t="s">
        <v>117</v>
      </c>
      <c r="E8" s="12" t="str">
        <f aca="false">CONCATENATE("Als onderdeel van het programma 'Netwerk op zijn Best' omvat dit groot onderhoudsproject op de ",B8," een verbetermaatregel aan de binnenring door het plaatsen van fly-overs op de knooppunten tussen ",B8," grenzend aan de M2 en de M3.")</f>
        <v>Als onderdeel van het programma 'Netwerk op zijn Best' omvat dit groot onderhoudsproject op de B1-B een verbetermaatregel aan de binnenring door het plaatsen van fly-overs op de knooppunten tussen B1-B grenzend aan de M2 en de M3.</v>
      </c>
      <c r="F8" s="13" t="s">
        <v>118</v>
      </c>
      <c r="G8" s="1" t="s">
        <v>114</v>
      </c>
      <c r="H8" s="1" t="n">
        <v>10000</v>
      </c>
      <c r="I8" s="14" t="n">
        <v>3184500</v>
      </c>
      <c r="J8" s="1" t="n">
        <v>9</v>
      </c>
      <c r="K8" s="15" t="n">
        <f aca="false">1/3</f>
        <v>0.333333333333333</v>
      </c>
      <c r="L8" s="1" t="n">
        <v>0</v>
      </c>
      <c r="M8" s="10" t="n">
        <f aca="false">O8-I8</f>
        <v>1449500</v>
      </c>
      <c r="N8" s="10" t="n">
        <f aca="false">IF(P8=1,0,VLOOKUP($P$1,'TTL NORMAL'!$A$2:$B$46,2,0)*(J8+L8)*P8)+IF(Q8=1,0,VLOOKUP($Q$1,'TTL NORMAL'!$A$2:$B$46,2,0)*(J8+L8)*Q8)+IF(R8=1,0,VLOOKUP($R$1,'TTL NORMAL'!$A$2:$B$46,2,0)*(J8+L8)*R8)+IF(S8=1,0,VLOOKUP($S$1,'TTL NORMAL'!$A$2:$B$46,2,0)*(J8+L8)*S8)+IF(T8=1,0,VLOOKUP($T$1,'TTL NORMAL'!$A$2:$B$46,2,0)*(J8+L8)*T8)+IF(U8=1,0,VLOOKUP($U$1,'TTL NORMAL'!$A$2:$B$46,2,0)*(J8+L8)*U8)+IF(V8=1,0,VLOOKUP($V$1,'TTL NORMAL'!$A$2:$B$46,2,0)*(J8+L8)*V8)+IF(W8=1,0,VLOOKUP($W$1,'TTL NORMAL'!$A$2:$B$46,2,0)*(J8+L8)*W8)+IF(X8=1,0,VLOOKUP($X$1,'TTL NORMAL'!$A$2:$B$46,2,0)*(J8+L8)*X8)+IF(Y8=1,0,VLOOKUP($Y$1,'TTL NORMAL'!$A$2:$B$46,2,0)*(J8+L8)*Y8)+IF(Z8=1,0,VLOOKUP($Z$1,'TTL NORMAL'!$A$2:$B$46,2,0)*(J8+L8)*Z8)+IF(AA8=1,0,VLOOKUP($AA$1,'TTL NORMAL'!$A$2:$B$46,2,0)*(J8+L8)*AA8)+IF(AB8=1,0,VLOOKUP($AB$1,'TTL NORMAL'!$A$2:$B$46,2,0)*(J8+L8)*AB8)+IF(AC8=1,0,VLOOKUP($AC$1,'TTL NORMAL'!$A$2:$B$46,2,0)*(J8+L8)*AC8)+IF(AD8=1,0,VLOOKUP($AD$1,'TTL NORMAL'!$A$2:$B$46,2,0)*(J8+L8)*AD8)+IF(AE8=1,0,VLOOKUP($AE$1,'TTL NORMAL'!$A$2:$B$46,2,0)*(J8+L8)*AE8)+IF(AF8=1,0,VLOOKUP($AF$1,'TTL NORMAL'!$A$2:$B$46,2,0)*(J8+L8)*AF8)+IF(AG8=1,0,VLOOKUP($AG$1,'TTL NORMAL'!$A$2:$B$46,2,0)*(J8+L8)*AG8)+IF(AH8=1,0,VLOOKUP($AH$1,'TTL NORMAL'!$A$2:$B$46,2,0)*(J8+L8)*AH8)+IF(AI8=1,0,VLOOKUP($AI$1,'TTL NORMAL'!$A$2:$B$46,2,0)*(J8+L8)*AI8)+IF(AJ8=1,0,VLOOKUP($AJ$1,'TTL NORMAL'!$A$2:$B$46,2,0)*(J8+L8)*AJ8)+IF(AK8=1,0,VLOOKUP($AK$1,'TTL NORMAL'!$A$2:$B$46,2,0)*(J8+L8)*AK8)+IF(AL8=1,0,VLOOKUP($AL$1,'TTL NORMAL'!$A$2:$B$46,2,0)*(J8+L8)*AL8)+IF(AM8=1,0,VLOOKUP($AM$1,'TTL NORMAL'!$A$2:$B$46,2,0)*(J8+L8)*AM8)+IF(AN8=1,0,VLOOKUP($AN$1,'TTL NORMAL'!$A$2:$B$46,2,0)*(J8+L8)*AN8)+IF(AO8=1,0,VLOOKUP($AO$1,'TTL NORMAL'!$A$2:$B$46,2,0)*(J8+L8)*AO8)+IF(AP8=1,0,VLOOKUP($AP$1,'TTL NORMAL'!$A$2:$B$46,2,0)*(J8+L8)*AP8)+IF(AQ8=1,0,VLOOKUP($AQ$1,'TTL NORMAL'!$A$2:$B$46,2,0)*(J8+L8)*AQ8)+IF(AR8=1,0,VLOOKUP($AR$1,'TTL NORMAL'!$A$2:$B$46,2,0)*(J8+L8)*AR8)+IF(AS8=1,0,VLOOKUP($AS$1,'TTL NORMAL'!$A$2:$B$46,2,0)*(J8+L8)*AS8)+IF(AT8=1,0,VLOOKUP($AT$1,'TTL NORMAL'!$A$2:$B$46,2,0)*(J8+L8)*AT8)+IF(AU8=1,0,VLOOKUP($AU$1,'TTL NORMAL'!$A$2:$B$46,2,0)*(J8+L8)*AU8)+IF(AV8=1,0,VLOOKUP($AV$1,'TTL NORMAL'!$A$2:$B$46,2,0)*(J8+L8)*AV8)+IF(AW8=1,0,VLOOKUP($AW$1,'TTL NORMAL'!$A$2:$B$46,2,0)*(J8+L8)*AW8)+IF(AX8=1,0,VLOOKUP($AX$1,'TTL NORMAL'!$A$2:$B$46,2,0)*(J8+L8)*AX8)+IF(AY8=1,0,VLOOKUP($AY$1,'TTL NORMAL'!$A$2:$B$46,2,0)*(J8+L8)*AY8)+IF(AZ8=1,0,VLOOKUP($AZ$1,'TTL NORMAL'!$A$2:$B$46,2,0)*(J8+L8)*AZ8)+IF(BA8=1,0,VLOOKUP($BA$1,'TTL NORMAL'!$A$2:$B$46,2,0)*(J8+L8)*BA8)+IF(BB8=1,0,VLOOKUP($BB$1,'TTL NORMAL'!$A$2:$B$46,2,0)*(J8+L8)*BB8)+IF(BC8=1,0,VLOOKUP($BC$1,'TTL NORMAL'!$A$2:$B$46,2,0)*(J8+L8)*BC8)+IF(BD8=1,0,VLOOKUP($BD$1,'TTL NORMAL'!$A$2:$B$46,2,0)*(J8+L8)*BD8)+IF(BE8=1,0,VLOOKUP($BE$1,'TTL NORMAL'!$A$2:$B$46,2,0)*(J8+L8)*BE8)+IF(BF8=1,0,VLOOKUP($BF$1,'TTL NORMAL'!$A$2:$B$46,2,0)*(J8+L8)*BF8)+IF(BG8=1,0,VLOOKUP($BG$1,'TTL NORMAL'!$A$2:$B$46,2,0)*(J8+L8)*BG8)+IF(BH8=1,0,VLOOKUP($BH$1,'TTL NORMAL'!$A$2:$B$46,2,0)*(J8+L8)*BH8)</f>
        <v>1380872.6501526</v>
      </c>
      <c r="O8" s="5" t="n">
        <v>4634000</v>
      </c>
      <c r="P8" s="18" t="n">
        <v>1.75377552407906</v>
      </c>
      <c r="Q8" s="17" t="n">
        <v>1.75377552407906</v>
      </c>
      <c r="R8" s="17" t="n">
        <v>1.37688776203953</v>
      </c>
      <c r="S8" s="17" t="n">
        <v>1.75377552407906</v>
      </c>
      <c r="T8" s="17" t="n">
        <v>1.37688776203953</v>
      </c>
      <c r="U8" s="17" t="n">
        <v>1.37688776203953</v>
      </c>
      <c r="V8" s="17" t="n">
        <v>1</v>
      </c>
      <c r="W8" s="17" t="n">
        <v>1</v>
      </c>
      <c r="X8" s="17" t="n">
        <v>1</v>
      </c>
      <c r="Y8" s="17" t="n">
        <v>1</v>
      </c>
      <c r="Z8" s="17" t="n">
        <v>1</v>
      </c>
      <c r="AA8" s="17" t="n">
        <v>1</v>
      </c>
      <c r="AB8" s="17" t="n">
        <v>1</v>
      </c>
      <c r="AC8" s="17" t="n">
        <v>1</v>
      </c>
      <c r="AD8" s="17" t="n">
        <v>1</v>
      </c>
      <c r="AE8" s="17" t="n">
        <v>1</v>
      </c>
      <c r="AF8" s="17" t="n">
        <v>1</v>
      </c>
      <c r="AG8" s="17" t="n">
        <v>1.37688776203953</v>
      </c>
      <c r="AH8" s="17" t="n">
        <v>1</v>
      </c>
      <c r="AI8" s="17" t="n">
        <v>1</v>
      </c>
      <c r="AJ8" s="17" t="n">
        <v>1</v>
      </c>
      <c r="AK8" s="17" t="n">
        <v>1</v>
      </c>
      <c r="AL8" s="17" t="n">
        <v>1</v>
      </c>
      <c r="AM8" s="17" t="n">
        <v>1.37688776203953</v>
      </c>
      <c r="AN8" s="17" t="n">
        <v>1</v>
      </c>
      <c r="AO8" s="17" t="n">
        <v>1</v>
      </c>
      <c r="AP8" s="17" t="n">
        <v>1</v>
      </c>
      <c r="AQ8" s="17" t="n">
        <v>1</v>
      </c>
      <c r="AR8" s="17" t="n">
        <v>1</v>
      </c>
      <c r="AS8" s="17" t="n">
        <v>1</v>
      </c>
      <c r="AT8" s="17" t="n">
        <v>1</v>
      </c>
      <c r="AU8" s="17" t="n">
        <v>1</v>
      </c>
      <c r="AV8" s="17" t="n">
        <v>1</v>
      </c>
      <c r="AW8" s="17" t="n">
        <v>1</v>
      </c>
      <c r="AX8" s="17" t="n">
        <v>1</v>
      </c>
      <c r="AY8" s="17" t="n">
        <v>1</v>
      </c>
      <c r="AZ8" s="17" t="n">
        <v>1</v>
      </c>
      <c r="BA8" s="17" t="n">
        <v>1</v>
      </c>
      <c r="BB8" s="17" t="n">
        <v>1</v>
      </c>
      <c r="BC8" s="17" t="n">
        <v>1</v>
      </c>
      <c r="BD8" s="17" t="n">
        <v>1</v>
      </c>
      <c r="BE8" s="17" t="n">
        <v>1.37688776203953</v>
      </c>
      <c r="BF8" s="17" t="n">
        <v>1.75377552407906</v>
      </c>
      <c r="BG8" s="17" t="n">
        <v>1.75377552407906</v>
      </c>
      <c r="BH8" s="17" t="n">
        <v>1.37688776203953</v>
      </c>
      <c r="BI8" s="17"/>
      <c r="BJ8" s="17"/>
    </row>
    <row r="9" customFormat="false" ht="15" hidden="false" customHeight="false" outlineLevel="0" collapsed="false">
      <c r="A9" s="2" t="n">
        <v>2</v>
      </c>
      <c r="B9" s="11" t="s">
        <v>53</v>
      </c>
      <c r="C9" s="0" t="n">
        <v>4</v>
      </c>
      <c r="D9" s="0" t="s">
        <v>119</v>
      </c>
      <c r="E9" s="12" t="str">
        <f aca="false">CONCATENATE("Als onderdeel van het programma 'Netwerk op zijn Best' omvat dit groot onderhoudsproject op de ",B9," een verbetermaatregel aan de binnenring door het plaatsen van fly-overs op de knooppunten tussen ",B9," grenzend aan de M2 en de M3.")</f>
        <v>Als onderdeel van het programma 'Netwerk op zijn Best' omvat dit groot onderhoudsproject op de B1-B een verbetermaatregel aan de binnenring door het plaatsen van fly-overs op de knooppunten tussen B1-B grenzend aan de M2 en de M3.</v>
      </c>
      <c r="F9" s="13" t="s">
        <v>120</v>
      </c>
      <c r="G9" s="1" t="s">
        <v>114</v>
      </c>
      <c r="H9" s="1" t="n">
        <v>12000</v>
      </c>
      <c r="I9" s="14" t="n">
        <v>2895000</v>
      </c>
      <c r="J9" s="1" t="n">
        <v>6.3</v>
      </c>
      <c r="K9" s="15" t="n">
        <f aca="false">1/3</f>
        <v>0.333333333333333</v>
      </c>
      <c r="L9" s="1" t="n">
        <v>2</v>
      </c>
      <c r="M9" s="10" t="n">
        <f aca="false">O9-I9</f>
        <v>1739000</v>
      </c>
      <c r="N9" s="10" t="n">
        <f aca="false">IF(P9=1,0,VLOOKUP($P$1,'TTL NORMAL'!$A$2:$B$46,2,0)*(J9+L9)*P9)+IF(Q9=1,0,VLOOKUP($Q$1,'TTL NORMAL'!$A$2:$B$46,2,0)*(J9+L9)*Q9)+IF(R9=1,0,VLOOKUP($R$1,'TTL NORMAL'!$A$2:$B$46,2,0)*(J9+L9)*R9)+IF(S9=1,0,VLOOKUP($S$1,'TTL NORMAL'!$A$2:$B$46,2,0)*(J9+L9)*S9)+IF(T9=1,0,VLOOKUP($T$1,'TTL NORMAL'!$A$2:$B$46,2,0)*(J9+L9)*T9)+IF(U9=1,0,VLOOKUP($U$1,'TTL NORMAL'!$A$2:$B$46,2,0)*(J9+L9)*U9)+IF(V9=1,0,VLOOKUP($V$1,'TTL NORMAL'!$A$2:$B$46,2,0)*(J9+L9)*V9)+IF(W9=1,0,VLOOKUP($W$1,'TTL NORMAL'!$A$2:$B$46,2,0)*(J9+L9)*W9)+IF(X9=1,0,VLOOKUP($X$1,'TTL NORMAL'!$A$2:$B$46,2,0)*(J9+L9)*X9)+IF(Y9=1,0,VLOOKUP($Y$1,'TTL NORMAL'!$A$2:$B$46,2,0)*(J9+L9)*Y9)+IF(Z9=1,0,VLOOKUP($Z$1,'TTL NORMAL'!$A$2:$B$46,2,0)*(J9+L9)*Z9)+IF(AA9=1,0,VLOOKUP($AA$1,'TTL NORMAL'!$A$2:$B$46,2,0)*(J9+L9)*AA9)+IF(AB9=1,0,VLOOKUP($AB$1,'TTL NORMAL'!$A$2:$B$46,2,0)*(J9+L9)*AB9)+IF(AC9=1,0,VLOOKUP($AC$1,'TTL NORMAL'!$A$2:$B$46,2,0)*(J9+L9)*AC9)+IF(AD9=1,0,VLOOKUP($AD$1,'TTL NORMAL'!$A$2:$B$46,2,0)*(J9+L9)*AD9)+IF(AE9=1,0,VLOOKUP($AE$1,'TTL NORMAL'!$A$2:$B$46,2,0)*(J9+L9)*AE9)+IF(AF9=1,0,VLOOKUP($AF$1,'TTL NORMAL'!$A$2:$B$46,2,0)*(J9+L9)*AF9)+IF(AG9=1,0,VLOOKUP($AG$1,'TTL NORMAL'!$A$2:$B$46,2,0)*(J9+L9)*AG9)+IF(AH9=1,0,VLOOKUP($AH$1,'TTL NORMAL'!$A$2:$B$46,2,0)*(J9+L9)*AH9)+IF(AI9=1,0,VLOOKUP($AI$1,'TTL NORMAL'!$A$2:$B$46,2,0)*(J9+L9)*AI9)+IF(AJ9=1,0,VLOOKUP($AJ$1,'TTL NORMAL'!$A$2:$B$46,2,0)*(J9+L9)*AJ9)+IF(AK9=1,0,VLOOKUP($AK$1,'TTL NORMAL'!$A$2:$B$46,2,0)*(J9+L9)*AK9)+IF(AL9=1,0,VLOOKUP($AL$1,'TTL NORMAL'!$A$2:$B$46,2,0)*(J9+L9)*AL9)+IF(AM9=1,0,VLOOKUP($AM$1,'TTL NORMAL'!$A$2:$B$46,2,0)*(J9+L9)*AM9)+IF(AN9=1,0,VLOOKUP($AN$1,'TTL NORMAL'!$A$2:$B$46,2,0)*(J9+L9)*AN9)+IF(AO9=1,0,VLOOKUP($AO$1,'TTL NORMAL'!$A$2:$B$46,2,0)*(J9+L9)*AO9)+IF(AP9=1,0,VLOOKUP($AP$1,'TTL NORMAL'!$A$2:$B$46,2,0)*(J9+L9)*AP9)+IF(AQ9=1,0,VLOOKUP($AQ$1,'TTL NORMAL'!$A$2:$B$46,2,0)*(J9+L9)*AQ9)+IF(AR9=1,0,VLOOKUP($AR$1,'TTL NORMAL'!$A$2:$B$46,2,0)*(J9+L9)*AR9)+IF(AS9=1,0,VLOOKUP($AS$1,'TTL NORMAL'!$A$2:$B$46,2,0)*(J9+L9)*AS9)+IF(AT9=1,0,VLOOKUP($AT$1,'TTL NORMAL'!$A$2:$B$46,2,0)*(J9+L9)*AT9)+IF(AU9=1,0,VLOOKUP($AU$1,'TTL NORMAL'!$A$2:$B$46,2,0)*(J9+L9)*AU9)+IF(AV9=1,0,VLOOKUP($AV$1,'TTL NORMAL'!$A$2:$B$46,2,0)*(J9+L9)*AV9)+IF(AW9=1,0,VLOOKUP($AW$1,'TTL NORMAL'!$A$2:$B$46,2,0)*(J9+L9)*AW9)+IF(AX9=1,0,VLOOKUP($AX$1,'TTL NORMAL'!$A$2:$B$46,2,0)*(J9+L9)*AX9)+IF(AY9=1,0,VLOOKUP($AY$1,'TTL NORMAL'!$A$2:$B$46,2,0)*(J9+L9)*AY9)+IF(AZ9=1,0,VLOOKUP($AZ$1,'TTL NORMAL'!$A$2:$B$46,2,0)*(J9+L9)*AZ9)+IF(BA9=1,0,VLOOKUP($BA$1,'TTL NORMAL'!$A$2:$B$46,2,0)*(J9+L9)*BA9)+IF(BB9=1,0,VLOOKUP($BB$1,'TTL NORMAL'!$A$2:$B$46,2,0)*(J9+L9)*BB9)+IF(BC9=1,0,VLOOKUP($BC$1,'TTL NORMAL'!$A$2:$B$46,2,0)*(J9+L9)*BC9)+IF(BD9=1,0,VLOOKUP($BD$1,'TTL NORMAL'!$A$2:$B$46,2,0)*(J9+L9)*BD9)+IF(BE9=1,0,VLOOKUP($BE$1,'TTL NORMAL'!$A$2:$B$46,2,0)*(J9+L9)*BE9)+IF(BF9=1,0,VLOOKUP($BF$1,'TTL NORMAL'!$A$2:$B$46,2,0)*(J9+L9)*BF9)+IF(BG9=1,0,VLOOKUP($BG$1,'TTL NORMAL'!$A$2:$B$46,2,0)*(J9+L9)*BG9)+IF(BH9=1,0,VLOOKUP($BH$1,'TTL NORMAL'!$A$2:$B$46,2,0)*(J9+L9)*BH9)</f>
        <v>1416377.59356057</v>
      </c>
      <c r="O9" s="5" t="n">
        <v>4634000</v>
      </c>
      <c r="P9" s="18" t="n">
        <v>1.90453062889488</v>
      </c>
      <c r="Q9" s="17" t="n">
        <v>1.90453062889488</v>
      </c>
      <c r="R9" s="17" t="n">
        <v>1.90453062889488</v>
      </c>
      <c r="S9" s="17" t="n">
        <v>1.90453062889488</v>
      </c>
      <c r="T9" s="17" t="n">
        <v>1.45226531444744</v>
      </c>
      <c r="U9" s="17" t="n">
        <v>1.45226531444744</v>
      </c>
      <c r="V9" s="17" t="n">
        <v>1</v>
      </c>
      <c r="W9" s="17" t="n">
        <v>1</v>
      </c>
      <c r="X9" s="17" t="n">
        <v>1</v>
      </c>
      <c r="Y9" s="17" t="n">
        <v>1</v>
      </c>
      <c r="Z9" s="17" t="n">
        <v>1</v>
      </c>
      <c r="AA9" s="17" t="n">
        <v>1</v>
      </c>
      <c r="AB9" s="17" t="n">
        <v>1</v>
      </c>
      <c r="AC9" s="17" t="n">
        <v>1</v>
      </c>
      <c r="AD9" s="17" t="n">
        <v>1</v>
      </c>
      <c r="AE9" s="17" t="n">
        <v>1</v>
      </c>
      <c r="AF9" s="17" t="n">
        <v>1</v>
      </c>
      <c r="AG9" s="17" t="n">
        <v>1.45226531444744</v>
      </c>
      <c r="AH9" s="17" t="n">
        <v>1</v>
      </c>
      <c r="AI9" s="17" t="n">
        <v>1</v>
      </c>
      <c r="AJ9" s="17" t="n">
        <v>1</v>
      </c>
      <c r="AK9" s="17" t="n">
        <v>1</v>
      </c>
      <c r="AL9" s="17" t="n">
        <v>1</v>
      </c>
      <c r="AM9" s="17" t="n">
        <v>1.45226531444744</v>
      </c>
      <c r="AN9" s="17" t="n">
        <v>1</v>
      </c>
      <c r="AO9" s="17" t="n">
        <v>1</v>
      </c>
      <c r="AP9" s="17" t="n">
        <v>1</v>
      </c>
      <c r="AQ9" s="17" t="n">
        <v>1</v>
      </c>
      <c r="AR9" s="17" t="n">
        <v>1</v>
      </c>
      <c r="AS9" s="17" t="n">
        <v>1</v>
      </c>
      <c r="AT9" s="17" t="n">
        <v>1</v>
      </c>
      <c r="AU9" s="17" t="n">
        <v>1</v>
      </c>
      <c r="AV9" s="17" t="n">
        <v>1</v>
      </c>
      <c r="AW9" s="17" t="n">
        <v>1</v>
      </c>
      <c r="AX9" s="17" t="n">
        <v>1</v>
      </c>
      <c r="AY9" s="17" t="n">
        <v>1</v>
      </c>
      <c r="AZ9" s="17" t="n">
        <v>1</v>
      </c>
      <c r="BA9" s="17" t="n">
        <v>1</v>
      </c>
      <c r="BB9" s="17" t="n">
        <v>1</v>
      </c>
      <c r="BC9" s="17" t="n">
        <v>1</v>
      </c>
      <c r="BD9" s="17" t="n">
        <v>1</v>
      </c>
      <c r="BE9" s="17" t="n">
        <v>1.45226531444744</v>
      </c>
      <c r="BF9" s="17" t="n">
        <v>1.90453062889488</v>
      </c>
      <c r="BG9" s="17" t="n">
        <v>1.90453062889488</v>
      </c>
      <c r="BH9" s="17" t="n">
        <v>1.45226531444744</v>
      </c>
      <c r="BI9" s="17"/>
      <c r="BJ9" s="17"/>
    </row>
    <row r="10" customFormat="false" ht="15" hidden="false" customHeight="false" outlineLevel="0" collapsed="false">
      <c r="A10" s="2" t="n">
        <v>3</v>
      </c>
      <c r="B10" s="11" t="s">
        <v>54</v>
      </c>
      <c r="C10" s="0" t="n">
        <v>1</v>
      </c>
      <c r="D10" s="0" t="s">
        <v>112</v>
      </c>
      <c r="E10" s="12" t="str">
        <f aca="false">CONCATENATE("Als onderdeel van het programma 'Netwerk op zijn Best' omvat dit groot onderhoudsproject op de ",B10," een verbetermaatregel aan de binnenring door het plaatsen van fly-overs op de knooppunten tussen ",B10," grenzend aan de M3 en de M4.")</f>
        <v>Als onderdeel van het programma 'Netwerk op zijn Best' omvat dit groot onderhoudsproject op de B1-C een verbetermaatregel aan de binnenring door het plaatsen van fly-overs op de knooppunten tussen B1-C grenzend aan de M3 en de M4.</v>
      </c>
      <c r="F10" s="13" t="s">
        <v>113</v>
      </c>
      <c r="G10" s="1" t="s">
        <v>114</v>
      </c>
      <c r="H10" s="1" t="n">
        <v>8000</v>
      </c>
      <c r="I10" s="14" t="n">
        <v>3184500</v>
      </c>
      <c r="J10" s="1" t="n">
        <v>9.9</v>
      </c>
      <c r="K10" s="15" t="n">
        <f aca="false">1/3</f>
        <v>0.333333333333333</v>
      </c>
      <c r="L10" s="1" t="n">
        <v>2</v>
      </c>
      <c r="M10" s="10" t="n">
        <f aca="false">O10-I10</f>
        <v>1449500</v>
      </c>
      <c r="N10" s="10" t="n">
        <f aca="false">IF(P10=1,0,VLOOKUP($P$1,'TTL NORMAL'!$A$2:$B$46,2,0)*(J10+L10)*P10)+IF(Q10=1,0,VLOOKUP($Q$1,'TTL NORMAL'!$A$2:$B$46,2,0)*(J10+L10)*Q10)+IF(R10=1,0,VLOOKUP($R$1,'TTL NORMAL'!$A$2:$B$46,2,0)*(J10+L10)*R10)+IF(S10=1,0,VLOOKUP($S$1,'TTL NORMAL'!$A$2:$B$46,2,0)*(J10+L10)*S10)+IF(T10=1,0,VLOOKUP($T$1,'TTL NORMAL'!$A$2:$B$46,2,0)*(J10+L10)*T10)+IF(U10=1,0,VLOOKUP($U$1,'TTL NORMAL'!$A$2:$B$46,2,0)*(J10+L10)*U10)+IF(V10=1,0,VLOOKUP($V$1,'TTL NORMAL'!$A$2:$B$46,2,0)*(J10+L10)*V10)+IF(W10=1,0,VLOOKUP($W$1,'TTL NORMAL'!$A$2:$B$46,2,0)*(J10+L10)*W10)+IF(X10=1,0,VLOOKUP($X$1,'TTL NORMAL'!$A$2:$B$46,2,0)*(J10+L10)*X10)+IF(Y10=1,0,VLOOKUP($Y$1,'TTL NORMAL'!$A$2:$B$46,2,0)*(J10+L10)*Y10)+IF(Z10=1,0,VLOOKUP($Z$1,'TTL NORMAL'!$A$2:$B$46,2,0)*(J10+L10)*Z10)+IF(AA10=1,0,VLOOKUP($AA$1,'TTL NORMAL'!$A$2:$B$46,2,0)*(J10+L10)*AA10)+IF(AB10=1,0,VLOOKUP($AB$1,'TTL NORMAL'!$A$2:$B$46,2,0)*(J10+L10)*AB10)+IF(AC10=1,0,VLOOKUP($AC$1,'TTL NORMAL'!$A$2:$B$46,2,0)*(J10+L10)*AC10)+IF(AD10=1,0,VLOOKUP($AD$1,'TTL NORMAL'!$A$2:$B$46,2,0)*(J10+L10)*AD10)+IF(AE10=1,0,VLOOKUP($AE$1,'TTL NORMAL'!$A$2:$B$46,2,0)*(J10+L10)*AE10)+IF(AF10=1,0,VLOOKUP($AF$1,'TTL NORMAL'!$A$2:$B$46,2,0)*(J10+L10)*AF10)+IF(AG10=1,0,VLOOKUP($AG$1,'TTL NORMAL'!$A$2:$B$46,2,0)*(J10+L10)*AG10)+IF(AH10=1,0,VLOOKUP($AH$1,'TTL NORMAL'!$A$2:$B$46,2,0)*(J10+L10)*AH10)+IF(AI10=1,0,VLOOKUP($AI$1,'TTL NORMAL'!$A$2:$B$46,2,0)*(J10+L10)*AI10)+IF(AJ10=1,0,VLOOKUP($AJ$1,'TTL NORMAL'!$A$2:$B$46,2,0)*(J10+L10)*AJ10)+IF(AK10=1,0,VLOOKUP($AK$1,'TTL NORMAL'!$A$2:$B$46,2,0)*(J10+L10)*AK10)+IF(AL10=1,0,VLOOKUP($AL$1,'TTL NORMAL'!$A$2:$B$46,2,0)*(J10+L10)*AL10)+IF(AM10=1,0,VLOOKUP($AM$1,'TTL NORMAL'!$A$2:$B$46,2,0)*(J10+L10)*AM10)+IF(AN10=1,0,VLOOKUP($AN$1,'TTL NORMAL'!$A$2:$B$46,2,0)*(J10+L10)*AN10)+IF(AO10=1,0,VLOOKUP($AO$1,'TTL NORMAL'!$A$2:$B$46,2,0)*(J10+L10)*AO10)+IF(AP10=1,0,VLOOKUP($AP$1,'TTL NORMAL'!$A$2:$B$46,2,0)*(J10+L10)*AP10)+IF(AQ10=1,0,VLOOKUP($AQ$1,'TTL NORMAL'!$A$2:$B$46,2,0)*(J10+L10)*AQ10)+IF(AR10=1,0,VLOOKUP($AR$1,'TTL NORMAL'!$A$2:$B$46,2,0)*(J10+L10)*AR10)+IF(AS10=1,0,VLOOKUP($AS$1,'TTL NORMAL'!$A$2:$B$46,2,0)*(J10+L10)*AS10)+IF(AT10=1,0,VLOOKUP($AT$1,'TTL NORMAL'!$A$2:$B$46,2,0)*(J10+L10)*AT10)+IF(AU10=1,0,VLOOKUP($AU$1,'TTL NORMAL'!$A$2:$B$46,2,0)*(J10+L10)*AU10)+IF(AV10=1,0,VLOOKUP($AV$1,'TTL NORMAL'!$A$2:$B$46,2,0)*(J10+L10)*AV10)+IF(AW10=1,0,VLOOKUP($AW$1,'TTL NORMAL'!$A$2:$B$46,2,0)*(J10+L10)*AW10)+IF(AX10=1,0,VLOOKUP($AX$1,'TTL NORMAL'!$A$2:$B$46,2,0)*(J10+L10)*AX10)+IF(AY10=1,0,VLOOKUP($AY$1,'TTL NORMAL'!$A$2:$B$46,2,0)*(J10+L10)*AY10)+IF(AZ10=1,0,VLOOKUP($AZ$1,'TTL NORMAL'!$A$2:$B$46,2,0)*(J10+L10)*AZ10)+IF(BA10=1,0,VLOOKUP($BA$1,'TTL NORMAL'!$A$2:$B$46,2,0)*(J10+L10)*BA10)+IF(BB10=1,0,VLOOKUP($BB$1,'TTL NORMAL'!$A$2:$B$46,2,0)*(J10+L10)*BB10)+IF(BC10=1,0,VLOOKUP($BC$1,'TTL NORMAL'!$A$2:$B$46,2,0)*(J10+L10)*BC10)+IF(BD10=1,0,VLOOKUP($BD$1,'TTL NORMAL'!$A$2:$B$46,2,0)*(J10+L10)*BD10)+IF(BE10=1,0,VLOOKUP($BE$1,'TTL NORMAL'!$A$2:$B$46,2,0)*(J10+L10)*BE10)+IF(BF10=1,0,VLOOKUP($BF$1,'TTL NORMAL'!$A$2:$B$46,2,0)*(J10+L10)*BF10)+IF(BG10=1,0,VLOOKUP($BG$1,'TTL NORMAL'!$A$2:$B$46,2,0)*(J10+L10)*BG10)+IF(BH10=1,0,VLOOKUP($BH$1,'TTL NORMAL'!$A$2:$B$46,2,0)*(J10+L10)*BH10)</f>
        <v>1348832.10245905</v>
      </c>
      <c r="O10" s="5" t="n">
        <v>4634000</v>
      </c>
      <c r="P10" s="18" t="n">
        <v>1.30151020963162</v>
      </c>
      <c r="Q10" s="17" t="n">
        <v>1.30151020963162</v>
      </c>
      <c r="R10" s="17" t="n">
        <v>1.60302041926325</v>
      </c>
      <c r="S10" s="17" t="n">
        <v>1</v>
      </c>
      <c r="T10" s="17" t="n">
        <v>1.60302041926325</v>
      </c>
      <c r="U10" s="17" t="n">
        <v>1.30151020963162</v>
      </c>
      <c r="V10" s="17" t="n">
        <v>1</v>
      </c>
      <c r="W10" s="17" t="n">
        <v>1</v>
      </c>
      <c r="X10" s="17" t="n">
        <v>1</v>
      </c>
      <c r="Y10" s="17" t="n">
        <v>1</v>
      </c>
      <c r="Z10" s="17" t="n">
        <v>1</v>
      </c>
      <c r="AA10" s="17" t="n">
        <v>1</v>
      </c>
      <c r="AB10" s="17" t="n">
        <v>1</v>
      </c>
      <c r="AC10" s="17" t="n">
        <v>1</v>
      </c>
      <c r="AD10" s="17" t="n">
        <v>1</v>
      </c>
      <c r="AE10" s="17" t="n">
        <v>1</v>
      </c>
      <c r="AF10" s="17" t="n">
        <v>1</v>
      </c>
      <c r="AG10" s="17" t="n">
        <v>1</v>
      </c>
      <c r="AH10" s="17" t="n">
        <v>1</v>
      </c>
      <c r="AI10" s="17" t="n">
        <v>1</v>
      </c>
      <c r="AJ10" s="17" t="n">
        <v>1</v>
      </c>
      <c r="AK10" s="17" t="n">
        <v>1</v>
      </c>
      <c r="AL10" s="17" t="n">
        <v>1</v>
      </c>
      <c r="AM10" s="17" t="n">
        <v>1.30151020963162</v>
      </c>
      <c r="AN10" s="17" t="n">
        <v>1</v>
      </c>
      <c r="AO10" s="17" t="n">
        <v>1</v>
      </c>
      <c r="AP10" s="17" t="n">
        <v>1.30151020963162</v>
      </c>
      <c r="AQ10" s="17" t="n">
        <v>1</v>
      </c>
      <c r="AR10" s="17" t="n">
        <v>1</v>
      </c>
      <c r="AS10" s="17" t="n">
        <v>1</v>
      </c>
      <c r="AT10" s="17" t="n">
        <v>1</v>
      </c>
      <c r="AU10" s="17" t="n">
        <v>1</v>
      </c>
      <c r="AV10" s="17" t="n">
        <v>1</v>
      </c>
      <c r="AW10" s="17" t="n">
        <v>1</v>
      </c>
      <c r="AX10" s="17" t="n">
        <v>1</v>
      </c>
      <c r="AY10" s="17" t="n">
        <v>1</v>
      </c>
      <c r="AZ10" s="17" t="n">
        <v>1</v>
      </c>
      <c r="BA10" s="17" t="n">
        <v>1</v>
      </c>
      <c r="BB10" s="17" t="n">
        <v>1</v>
      </c>
      <c r="BC10" s="17" t="n">
        <v>1</v>
      </c>
      <c r="BD10" s="17" t="n">
        <v>1</v>
      </c>
      <c r="BE10" s="17" t="n">
        <v>1</v>
      </c>
      <c r="BF10" s="17" t="n">
        <v>1.30151020963162</v>
      </c>
      <c r="BG10" s="17" t="n">
        <v>1.60302041926325</v>
      </c>
      <c r="BH10" s="17" t="n">
        <v>1.60302041926325</v>
      </c>
      <c r="BI10" s="17"/>
      <c r="BJ10" s="17"/>
    </row>
    <row r="11" customFormat="false" ht="15" hidden="false" customHeight="false" outlineLevel="0" collapsed="false">
      <c r="A11" s="2" t="n">
        <v>3</v>
      </c>
      <c r="B11" s="11" t="s">
        <v>54</v>
      </c>
      <c r="C11" s="0" t="n">
        <v>2</v>
      </c>
      <c r="D11" s="0" t="s">
        <v>115</v>
      </c>
      <c r="E11" s="12" t="str">
        <f aca="false">CONCATENATE("Als onderdeel van het programma 'Netwerk op zijn Best' omvat dit groot onderhoudsproject op de ",B11," een verbetermaatregel aan de binnenring door het plaatsen van fly-overs op de knooppunten tussen ",B11," grenzend aan de M3 en de M4.")</f>
        <v>Als onderdeel van het programma 'Netwerk op zijn Best' omvat dit groot onderhoudsproject op de B1-C een verbetermaatregel aan de binnenring door het plaatsen van fly-overs op de knooppunten tussen B1-C grenzend aan de M3 en de M4.</v>
      </c>
      <c r="F11" s="13" t="s">
        <v>116</v>
      </c>
      <c r="G11" s="1" t="s">
        <v>114</v>
      </c>
      <c r="H11" s="1" t="n">
        <v>12000</v>
      </c>
      <c r="I11" s="14" t="n">
        <v>2026500</v>
      </c>
      <c r="J11" s="1" t="n">
        <v>9</v>
      </c>
      <c r="K11" s="15" t="n">
        <f aca="false">1/3</f>
        <v>0.333333333333333</v>
      </c>
      <c r="L11" s="1" t="n">
        <v>4</v>
      </c>
      <c r="M11" s="10" t="n">
        <f aca="false">O11-I11</f>
        <v>2607500</v>
      </c>
      <c r="N11" s="10" t="n">
        <f aca="false">IF(P11=1,0,VLOOKUP($P$1,'TTL NORMAL'!$A$2:$B$46,2,0)*(J11+L11)*P11)+IF(Q11=1,0,VLOOKUP($Q$1,'TTL NORMAL'!$A$2:$B$46,2,0)*(J11+L11)*Q11)+IF(R11=1,0,VLOOKUP($R$1,'TTL NORMAL'!$A$2:$B$46,2,0)*(J11+L11)*R11)+IF(S11=1,0,VLOOKUP($S$1,'TTL NORMAL'!$A$2:$B$46,2,0)*(J11+L11)*S11)+IF(T11=1,0,VLOOKUP($T$1,'TTL NORMAL'!$A$2:$B$46,2,0)*(J11+L11)*T11)+IF(U11=1,0,VLOOKUP($U$1,'TTL NORMAL'!$A$2:$B$46,2,0)*(J11+L11)*U11)+IF(V11=1,0,VLOOKUP($V$1,'TTL NORMAL'!$A$2:$B$46,2,0)*(J11+L11)*V11)+IF(W11=1,0,VLOOKUP($W$1,'TTL NORMAL'!$A$2:$B$46,2,0)*(J11+L11)*W11)+IF(X11=1,0,VLOOKUP($X$1,'TTL NORMAL'!$A$2:$B$46,2,0)*(J11+L11)*X11)+IF(Y11=1,0,VLOOKUP($Y$1,'TTL NORMAL'!$A$2:$B$46,2,0)*(J11+L11)*Y11)+IF(Z11=1,0,VLOOKUP($Z$1,'TTL NORMAL'!$A$2:$B$46,2,0)*(J11+L11)*Z11)+IF(AA11=1,0,VLOOKUP($AA$1,'TTL NORMAL'!$A$2:$B$46,2,0)*(J11+L11)*AA11)+IF(AB11=1,0,VLOOKUP($AB$1,'TTL NORMAL'!$A$2:$B$46,2,0)*(J11+L11)*AB11)+IF(AC11=1,0,VLOOKUP($AC$1,'TTL NORMAL'!$A$2:$B$46,2,0)*(J11+L11)*AC11)+IF(AD11=1,0,VLOOKUP($AD$1,'TTL NORMAL'!$A$2:$B$46,2,0)*(J11+L11)*AD11)+IF(AE11=1,0,VLOOKUP($AE$1,'TTL NORMAL'!$A$2:$B$46,2,0)*(J11+L11)*AE11)+IF(AF11=1,0,VLOOKUP($AF$1,'TTL NORMAL'!$A$2:$B$46,2,0)*(J11+L11)*AF11)+IF(AG11=1,0,VLOOKUP($AG$1,'TTL NORMAL'!$A$2:$B$46,2,0)*(J11+L11)*AG11)+IF(AH11=1,0,VLOOKUP($AH$1,'TTL NORMAL'!$A$2:$B$46,2,0)*(J11+L11)*AH11)+IF(AI11=1,0,VLOOKUP($AI$1,'TTL NORMAL'!$A$2:$B$46,2,0)*(J11+L11)*AI11)+IF(AJ11=1,0,VLOOKUP($AJ$1,'TTL NORMAL'!$A$2:$B$46,2,0)*(J11+L11)*AJ11)+IF(AK11=1,0,VLOOKUP($AK$1,'TTL NORMAL'!$A$2:$B$46,2,0)*(J11+L11)*AK11)+IF(AL11=1,0,VLOOKUP($AL$1,'TTL NORMAL'!$A$2:$B$46,2,0)*(J11+L11)*AL11)+IF(AM11=1,0,VLOOKUP($AM$1,'TTL NORMAL'!$A$2:$B$46,2,0)*(J11+L11)*AM11)+IF(AN11=1,0,VLOOKUP($AN$1,'TTL NORMAL'!$A$2:$B$46,2,0)*(J11+L11)*AN11)+IF(AO11=1,0,VLOOKUP($AO$1,'TTL NORMAL'!$A$2:$B$46,2,0)*(J11+L11)*AO11)+IF(AP11=1,0,VLOOKUP($AP$1,'TTL NORMAL'!$A$2:$B$46,2,0)*(J11+L11)*AP11)+IF(AQ11=1,0,VLOOKUP($AQ$1,'TTL NORMAL'!$A$2:$B$46,2,0)*(J11+L11)*AQ11)+IF(AR11=1,0,VLOOKUP($AR$1,'TTL NORMAL'!$A$2:$B$46,2,0)*(J11+L11)*AR11)+IF(AS11=1,0,VLOOKUP($AS$1,'TTL NORMAL'!$A$2:$B$46,2,0)*(J11+L11)*AS11)+IF(AT11=1,0,VLOOKUP($AT$1,'TTL NORMAL'!$A$2:$B$46,2,0)*(J11+L11)*AT11)+IF(AU11=1,0,VLOOKUP($AU$1,'TTL NORMAL'!$A$2:$B$46,2,0)*(J11+L11)*AU11)+IF(AV11=1,0,VLOOKUP($AV$1,'TTL NORMAL'!$A$2:$B$46,2,0)*(J11+L11)*AV11)+IF(AW11=1,0,VLOOKUP($AW$1,'TTL NORMAL'!$A$2:$B$46,2,0)*(J11+L11)*AW11)+IF(AX11=1,0,VLOOKUP($AX$1,'TTL NORMAL'!$A$2:$B$46,2,0)*(J11+L11)*AX11)+IF(AY11=1,0,VLOOKUP($AY$1,'TTL NORMAL'!$A$2:$B$46,2,0)*(J11+L11)*AY11)+IF(AZ11=1,0,VLOOKUP($AZ$1,'TTL NORMAL'!$A$2:$B$46,2,0)*(J11+L11)*AZ11)+IF(BA11=1,0,VLOOKUP($BA$1,'TTL NORMAL'!$A$2:$B$46,2,0)*(J11+L11)*BA11)+IF(BB11=1,0,VLOOKUP($BB$1,'TTL NORMAL'!$A$2:$B$46,2,0)*(J11+L11)*BB11)+IF(BC11=1,0,VLOOKUP($BC$1,'TTL NORMAL'!$A$2:$B$46,2,0)*(J11+L11)*BC11)+IF(BD11=1,0,VLOOKUP($BD$1,'TTL NORMAL'!$A$2:$B$46,2,0)*(J11+L11)*BD11)+IF(BE11=1,0,VLOOKUP($BE$1,'TTL NORMAL'!$A$2:$B$46,2,0)*(J11+L11)*BE11)+IF(BF11=1,0,VLOOKUP($BF$1,'TTL NORMAL'!$A$2:$B$46,2,0)*(J11+L11)*BF11)+IF(BG11=1,0,VLOOKUP($BG$1,'TTL NORMAL'!$A$2:$B$46,2,0)*(J11+L11)*BG11)+IF(BH11=1,0,VLOOKUP($BH$1,'TTL NORMAL'!$A$2:$B$46,2,0)*(J11+L11)*BH11)</f>
        <v>2030194.57838886</v>
      </c>
      <c r="O11" s="5" t="n">
        <v>4634000</v>
      </c>
      <c r="P11" s="18" t="n">
        <v>1.45226531444744</v>
      </c>
      <c r="Q11" s="17" t="n">
        <v>1.45226531444744</v>
      </c>
      <c r="R11" s="17" t="n">
        <v>1.90453062889488</v>
      </c>
      <c r="S11" s="17" t="n">
        <v>1.90453062889488</v>
      </c>
      <c r="T11" s="17" t="n">
        <v>1.90453062889488</v>
      </c>
      <c r="U11" s="17" t="n">
        <v>1.45226531444744</v>
      </c>
      <c r="V11" s="17" t="n">
        <v>1</v>
      </c>
      <c r="W11" s="17" t="n">
        <v>1</v>
      </c>
      <c r="X11" s="17" t="n">
        <v>1</v>
      </c>
      <c r="Y11" s="17" t="n">
        <v>1</v>
      </c>
      <c r="Z11" s="17" t="n">
        <v>1</v>
      </c>
      <c r="AA11" s="17" t="n">
        <v>1</v>
      </c>
      <c r="AB11" s="17" t="n">
        <v>1</v>
      </c>
      <c r="AC11" s="17" t="n">
        <v>1</v>
      </c>
      <c r="AD11" s="17" t="n">
        <v>1</v>
      </c>
      <c r="AE11" s="17" t="n">
        <v>1</v>
      </c>
      <c r="AF11" s="17" t="n">
        <v>1</v>
      </c>
      <c r="AG11" s="17" t="n">
        <v>1</v>
      </c>
      <c r="AH11" s="17" t="n">
        <v>1</v>
      </c>
      <c r="AI11" s="17" t="n">
        <v>1</v>
      </c>
      <c r="AJ11" s="17" t="n">
        <v>1</v>
      </c>
      <c r="AK11" s="17" t="n">
        <v>1</v>
      </c>
      <c r="AL11" s="17" t="n">
        <v>1</v>
      </c>
      <c r="AM11" s="17" t="n">
        <v>1.45226531444744</v>
      </c>
      <c r="AN11" s="17" t="n">
        <v>1</v>
      </c>
      <c r="AO11" s="17" t="n">
        <v>1</v>
      </c>
      <c r="AP11" s="17" t="n">
        <v>1.45226531444744</v>
      </c>
      <c r="AQ11" s="17" t="n">
        <v>1</v>
      </c>
      <c r="AR11" s="17" t="n">
        <v>1</v>
      </c>
      <c r="AS11" s="17" t="n">
        <v>1</v>
      </c>
      <c r="AT11" s="17" t="n">
        <v>1</v>
      </c>
      <c r="AU11" s="17" t="n">
        <v>1</v>
      </c>
      <c r="AV11" s="17" t="n">
        <v>1</v>
      </c>
      <c r="AW11" s="17" t="n">
        <v>1</v>
      </c>
      <c r="AX11" s="17" t="n">
        <v>1</v>
      </c>
      <c r="AY11" s="17" t="n">
        <v>1</v>
      </c>
      <c r="AZ11" s="17" t="n">
        <v>1</v>
      </c>
      <c r="BA11" s="17" t="n">
        <v>1</v>
      </c>
      <c r="BB11" s="17" t="n">
        <v>1</v>
      </c>
      <c r="BC11" s="17" t="n">
        <v>1</v>
      </c>
      <c r="BD11" s="17" t="n">
        <v>1</v>
      </c>
      <c r="BE11" s="17" t="n">
        <v>1</v>
      </c>
      <c r="BF11" s="17" t="n">
        <v>1.45226531444744</v>
      </c>
      <c r="BG11" s="17" t="n">
        <v>1.90453062889488</v>
      </c>
      <c r="BH11" s="17" t="n">
        <v>1.90453062889488</v>
      </c>
      <c r="BI11" s="17"/>
      <c r="BJ11" s="17"/>
    </row>
    <row r="12" customFormat="false" ht="15" hidden="false" customHeight="false" outlineLevel="0" collapsed="false">
      <c r="A12" s="2" t="n">
        <v>3</v>
      </c>
      <c r="B12" s="11" t="s">
        <v>54</v>
      </c>
      <c r="C12" s="0" t="n">
        <v>3</v>
      </c>
      <c r="D12" s="0" t="s">
        <v>117</v>
      </c>
      <c r="E12" s="12" t="str">
        <f aca="false">CONCATENATE("Als onderdeel van het programma 'Netwerk op zijn Best' omvat dit groot onderhoudsproject op de ",B12," een verbetermaatregel aan de binnenring door het plaatsen van fly-overs op de knooppunten tussen ",B12," grenzend aan de M3 en de M4.")</f>
        <v>Als onderdeel van het programma 'Netwerk op zijn Best' omvat dit groot onderhoudsproject op de B1-C een verbetermaatregel aan de binnenring door het plaatsen van fly-overs op de knooppunten tussen B1-C grenzend aan de M3 en de M4.</v>
      </c>
      <c r="F12" s="13" t="s">
        <v>118</v>
      </c>
      <c r="G12" s="1" t="s">
        <v>114</v>
      </c>
      <c r="H12" s="1" t="n">
        <v>10000</v>
      </c>
      <c r="I12" s="14" t="n">
        <v>3184500</v>
      </c>
      <c r="J12" s="1" t="n">
        <v>9</v>
      </c>
      <c r="K12" s="15" t="n">
        <f aca="false">1/3</f>
        <v>0.333333333333333</v>
      </c>
      <c r="L12" s="1" t="n">
        <v>0</v>
      </c>
      <c r="M12" s="10" t="n">
        <f aca="false">O12-I12</f>
        <v>1449500</v>
      </c>
      <c r="N12" s="10" t="n">
        <f aca="false">IF(P12=1,0,VLOOKUP($P$1,'TTL NORMAL'!$A$2:$B$46,2,0)*(J12+L12)*P12)+IF(Q12=1,0,VLOOKUP($Q$1,'TTL NORMAL'!$A$2:$B$46,2,0)*(J12+L12)*Q12)+IF(R12=1,0,VLOOKUP($R$1,'TTL NORMAL'!$A$2:$B$46,2,0)*(J12+L12)*R12)+IF(S12=1,0,VLOOKUP($S$1,'TTL NORMAL'!$A$2:$B$46,2,0)*(J12+L12)*S12)+IF(T12=1,0,VLOOKUP($T$1,'TTL NORMAL'!$A$2:$B$46,2,0)*(J12+L12)*T12)+IF(U12=1,0,VLOOKUP($U$1,'TTL NORMAL'!$A$2:$B$46,2,0)*(J12+L12)*U12)+IF(V12=1,0,VLOOKUP($V$1,'TTL NORMAL'!$A$2:$B$46,2,0)*(J12+L12)*V12)+IF(W12=1,0,VLOOKUP($W$1,'TTL NORMAL'!$A$2:$B$46,2,0)*(J12+L12)*W12)+IF(X12=1,0,VLOOKUP($X$1,'TTL NORMAL'!$A$2:$B$46,2,0)*(J12+L12)*X12)+IF(Y12=1,0,VLOOKUP($Y$1,'TTL NORMAL'!$A$2:$B$46,2,0)*(J12+L12)*Y12)+IF(Z12=1,0,VLOOKUP($Z$1,'TTL NORMAL'!$A$2:$B$46,2,0)*(J12+L12)*Z12)+IF(AA12=1,0,VLOOKUP($AA$1,'TTL NORMAL'!$A$2:$B$46,2,0)*(J12+L12)*AA12)+IF(AB12=1,0,VLOOKUP($AB$1,'TTL NORMAL'!$A$2:$B$46,2,0)*(J12+L12)*AB12)+IF(AC12=1,0,VLOOKUP($AC$1,'TTL NORMAL'!$A$2:$B$46,2,0)*(J12+L12)*AC12)+IF(AD12=1,0,VLOOKUP($AD$1,'TTL NORMAL'!$A$2:$B$46,2,0)*(J12+L12)*AD12)+IF(AE12=1,0,VLOOKUP($AE$1,'TTL NORMAL'!$A$2:$B$46,2,0)*(J12+L12)*AE12)+IF(AF12=1,0,VLOOKUP($AF$1,'TTL NORMAL'!$A$2:$B$46,2,0)*(J12+L12)*AF12)+IF(AG12=1,0,VLOOKUP($AG$1,'TTL NORMAL'!$A$2:$B$46,2,0)*(J12+L12)*AG12)+IF(AH12=1,0,VLOOKUP($AH$1,'TTL NORMAL'!$A$2:$B$46,2,0)*(J12+L12)*AH12)+IF(AI12=1,0,VLOOKUP($AI$1,'TTL NORMAL'!$A$2:$B$46,2,0)*(J12+L12)*AI12)+IF(AJ12=1,0,VLOOKUP($AJ$1,'TTL NORMAL'!$A$2:$B$46,2,0)*(J12+L12)*AJ12)+IF(AK12=1,0,VLOOKUP($AK$1,'TTL NORMAL'!$A$2:$B$46,2,0)*(J12+L12)*AK12)+IF(AL12=1,0,VLOOKUP($AL$1,'TTL NORMAL'!$A$2:$B$46,2,0)*(J12+L12)*AL12)+IF(AM12=1,0,VLOOKUP($AM$1,'TTL NORMAL'!$A$2:$B$46,2,0)*(J12+L12)*AM12)+IF(AN12=1,0,VLOOKUP($AN$1,'TTL NORMAL'!$A$2:$B$46,2,0)*(J12+L12)*AN12)+IF(AO12=1,0,VLOOKUP($AO$1,'TTL NORMAL'!$A$2:$B$46,2,0)*(J12+L12)*AO12)+IF(AP12=1,0,VLOOKUP($AP$1,'TTL NORMAL'!$A$2:$B$46,2,0)*(J12+L12)*AP12)+IF(AQ12=1,0,VLOOKUP($AQ$1,'TTL NORMAL'!$A$2:$B$46,2,0)*(J12+L12)*AQ12)+IF(AR12=1,0,VLOOKUP($AR$1,'TTL NORMAL'!$A$2:$B$46,2,0)*(J12+L12)*AR12)+IF(AS12=1,0,VLOOKUP($AS$1,'TTL NORMAL'!$A$2:$B$46,2,0)*(J12+L12)*AS12)+IF(AT12=1,0,VLOOKUP($AT$1,'TTL NORMAL'!$A$2:$B$46,2,0)*(J12+L12)*AT12)+IF(AU12=1,0,VLOOKUP($AU$1,'TTL NORMAL'!$A$2:$B$46,2,0)*(J12+L12)*AU12)+IF(AV12=1,0,VLOOKUP($AV$1,'TTL NORMAL'!$A$2:$B$46,2,0)*(J12+L12)*AV12)+IF(AW12=1,0,VLOOKUP($AW$1,'TTL NORMAL'!$A$2:$B$46,2,0)*(J12+L12)*AW12)+IF(AX12=1,0,VLOOKUP($AX$1,'TTL NORMAL'!$A$2:$B$46,2,0)*(J12+L12)*AX12)+IF(AY12=1,0,VLOOKUP($AY$1,'TTL NORMAL'!$A$2:$B$46,2,0)*(J12+L12)*AY12)+IF(AZ12=1,0,VLOOKUP($AZ$1,'TTL NORMAL'!$A$2:$B$46,2,0)*(J12+L12)*AZ12)+IF(BA12=1,0,VLOOKUP($BA$1,'TTL NORMAL'!$A$2:$B$46,2,0)*(J12+L12)*BA12)+IF(BB12=1,0,VLOOKUP($BB$1,'TTL NORMAL'!$A$2:$B$46,2,0)*(J12+L12)*BB12)+IF(BC12=1,0,VLOOKUP($BC$1,'TTL NORMAL'!$A$2:$B$46,2,0)*(J12+L12)*BC12)+IF(BD12=1,0,VLOOKUP($BD$1,'TTL NORMAL'!$A$2:$B$46,2,0)*(J12+L12)*BD12)+IF(BE12=1,0,VLOOKUP($BE$1,'TTL NORMAL'!$A$2:$B$46,2,0)*(J12+L12)*BE12)+IF(BF12=1,0,VLOOKUP($BF$1,'TTL NORMAL'!$A$2:$B$46,2,0)*(J12+L12)*BF12)+IF(BG12=1,0,VLOOKUP($BG$1,'TTL NORMAL'!$A$2:$B$46,2,0)*(J12+L12)*BG12)+IF(BH12=1,0,VLOOKUP($BH$1,'TTL NORMAL'!$A$2:$B$46,2,0)*(J12+L12)*BH12)</f>
        <v>1263521.69244999</v>
      </c>
      <c r="O12" s="5" t="n">
        <v>4634000</v>
      </c>
      <c r="P12" s="18" t="n">
        <v>1.37688776203953</v>
      </c>
      <c r="Q12" s="17" t="n">
        <v>1.37688776203953</v>
      </c>
      <c r="R12" s="17" t="n">
        <v>1.75377552407906</v>
      </c>
      <c r="S12" s="17" t="n">
        <v>1.37688776203953</v>
      </c>
      <c r="T12" s="17" t="n">
        <v>1.75377552407906</v>
      </c>
      <c r="U12" s="17" t="n">
        <v>1.37688776203953</v>
      </c>
      <c r="V12" s="17" t="n">
        <v>1</v>
      </c>
      <c r="W12" s="17" t="n">
        <v>1</v>
      </c>
      <c r="X12" s="17" t="n">
        <v>1</v>
      </c>
      <c r="Y12" s="17" t="n">
        <v>1</v>
      </c>
      <c r="Z12" s="17" t="n">
        <v>1</v>
      </c>
      <c r="AA12" s="17" t="n">
        <v>1</v>
      </c>
      <c r="AB12" s="17" t="n">
        <v>1</v>
      </c>
      <c r="AC12" s="17" t="n">
        <v>1</v>
      </c>
      <c r="AD12" s="17" t="n">
        <v>1</v>
      </c>
      <c r="AE12" s="17" t="n">
        <v>1</v>
      </c>
      <c r="AF12" s="17" t="n">
        <v>1</v>
      </c>
      <c r="AG12" s="17" t="n">
        <v>1</v>
      </c>
      <c r="AH12" s="17" t="n">
        <v>1</v>
      </c>
      <c r="AI12" s="17" t="n">
        <v>1</v>
      </c>
      <c r="AJ12" s="17" t="n">
        <v>1</v>
      </c>
      <c r="AK12" s="17" t="n">
        <v>1</v>
      </c>
      <c r="AL12" s="17" t="n">
        <v>1</v>
      </c>
      <c r="AM12" s="17" t="n">
        <v>1.37688776203953</v>
      </c>
      <c r="AN12" s="17" t="n">
        <v>1</v>
      </c>
      <c r="AO12" s="17" t="n">
        <v>1</v>
      </c>
      <c r="AP12" s="17" t="n">
        <v>1.37688776203953</v>
      </c>
      <c r="AQ12" s="17" t="n">
        <v>1</v>
      </c>
      <c r="AR12" s="17" t="n">
        <v>1</v>
      </c>
      <c r="AS12" s="17" t="n">
        <v>1</v>
      </c>
      <c r="AT12" s="17" t="n">
        <v>1</v>
      </c>
      <c r="AU12" s="17" t="n">
        <v>1</v>
      </c>
      <c r="AV12" s="17" t="n">
        <v>1</v>
      </c>
      <c r="AW12" s="17" t="n">
        <v>1</v>
      </c>
      <c r="AX12" s="17" t="n">
        <v>1</v>
      </c>
      <c r="AY12" s="17" t="n">
        <v>1</v>
      </c>
      <c r="AZ12" s="17" t="n">
        <v>1</v>
      </c>
      <c r="BA12" s="17" t="n">
        <v>1</v>
      </c>
      <c r="BB12" s="17" t="n">
        <v>1</v>
      </c>
      <c r="BC12" s="17" t="n">
        <v>1</v>
      </c>
      <c r="BD12" s="17" t="n">
        <v>1</v>
      </c>
      <c r="BE12" s="17" t="n">
        <v>1</v>
      </c>
      <c r="BF12" s="17" t="n">
        <v>1.37688776203953</v>
      </c>
      <c r="BG12" s="17" t="n">
        <v>1.75377552407906</v>
      </c>
      <c r="BH12" s="17" t="n">
        <v>1.75377552407906</v>
      </c>
      <c r="BI12" s="17"/>
      <c r="BJ12" s="17"/>
    </row>
    <row r="13" customFormat="false" ht="15" hidden="false" customHeight="false" outlineLevel="0" collapsed="false">
      <c r="A13" s="2" t="n">
        <v>3</v>
      </c>
      <c r="B13" s="11" t="s">
        <v>54</v>
      </c>
      <c r="C13" s="0" t="n">
        <v>4</v>
      </c>
      <c r="D13" s="0" t="s">
        <v>119</v>
      </c>
      <c r="E13" s="12" t="str">
        <f aca="false">CONCATENATE("Als onderdeel van het programma 'Netwerk op zijn Best' omvat dit groot onderhoudsproject op de ",B13," een verbetermaatregel aan de binnenring door het plaatsen van fly-overs op de knooppunten tussen ",B13," grenzend aan de M3 en de M4.")</f>
        <v>Als onderdeel van het programma 'Netwerk op zijn Best' omvat dit groot onderhoudsproject op de B1-C een verbetermaatregel aan de binnenring door het plaatsen van fly-overs op de knooppunten tussen B1-C grenzend aan de M3 en de M4.</v>
      </c>
      <c r="F13" s="13" t="s">
        <v>120</v>
      </c>
      <c r="G13" s="1" t="s">
        <v>114</v>
      </c>
      <c r="H13" s="1" t="n">
        <v>12000</v>
      </c>
      <c r="I13" s="14" t="n">
        <v>2895000</v>
      </c>
      <c r="J13" s="1" t="n">
        <v>6.3</v>
      </c>
      <c r="K13" s="15" t="n">
        <f aca="false">1/3</f>
        <v>0.333333333333333</v>
      </c>
      <c r="L13" s="1" t="n">
        <v>2</v>
      </c>
      <c r="M13" s="10" t="n">
        <f aca="false">O13-I13</f>
        <v>1739000</v>
      </c>
      <c r="N13" s="10" t="n">
        <f aca="false">IF(P13=1,0,VLOOKUP($P$1,'TTL NORMAL'!$A$2:$B$46,2,0)*(J13+L13)*P13)+IF(Q13=1,0,VLOOKUP($Q$1,'TTL NORMAL'!$A$2:$B$46,2,0)*(J13+L13)*Q13)+IF(R13=1,0,VLOOKUP($R$1,'TTL NORMAL'!$A$2:$B$46,2,0)*(J13+L13)*R13)+IF(S13=1,0,VLOOKUP($S$1,'TTL NORMAL'!$A$2:$B$46,2,0)*(J13+L13)*S13)+IF(T13=1,0,VLOOKUP($T$1,'TTL NORMAL'!$A$2:$B$46,2,0)*(J13+L13)*T13)+IF(U13=1,0,VLOOKUP($U$1,'TTL NORMAL'!$A$2:$B$46,2,0)*(J13+L13)*U13)+IF(V13=1,0,VLOOKUP($V$1,'TTL NORMAL'!$A$2:$B$46,2,0)*(J13+L13)*V13)+IF(W13=1,0,VLOOKUP($W$1,'TTL NORMAL'!$A$2:$B$46,2,0)*(J13+L13)*W13)+IF(X13=1,0,VLOOKUP($X$1,'TTL NORMAL'!$A$2:$B$46,2,0)*(J13+L13)*X13)+IF(Y13=1,0,VLOOKUP($Y$1,'TTL NORMAL'!$A$2:$B$46,2,0)*(J13+L13)*Y13)+IF(Z13=1,0,VLOOKUP($Z$1,'TTL NORMAL'!$A$2:$B$46,2,0)*(J13+L13)*Z13)+IF(AA13=1,0,VLOOKUP($AA$1,'TTL NORMAL'!$A$2:$B$46,2,0)*(J13+L13)*AA13)+IF(AB13=1,0,VLOOKUP($AB$1,'TTL NORMAL'!$A$2:$B$46,2,0)*(J13+L13)*AB13)+IF(AC13=1,0,VLOOKUP($AC$1,'TTL NORMAL'!$A$2:$B$46,2,0)*(J13+L13)*AC13)+IF(AD13=1,0,VLOOKUP($AD$1,'TTL NORMAL'!$A$2:$B$46,2,0)*(J13+L13)*AD13)+IF(AE13=1,0,VLOOKUP($AE$1,'TTL NORMAL'!$A$2:$B$46,2,0)*(J13+L13)*AE13)+IF(AF13=1,0,VLOOKUP($AF$1,'TTL NORMAL'!$A$2:$B$46,2,0)*(J13+L13)*AF13)+IF(AG13=1,0,VLOOKUP($AG$1,'TTL NORMAL'!$A$2:$B$46,2,0)*(J13+L13)*AG13)+IF(AH13=1,0,VLOOKUP($AH$1,'TTL NORMAL'!$A$2:$B$46,2,0)*(J13+L13)*AH13)+IF(AI13=1,0,VLOOKUP($AI$1,'TTL NORMAL'!$A$2:$B$46,2,0)*(J13+L13)*AI13)+IF(AJ13=1,0,VLOOKUP($AJ$1,'TTL NORMAL'!$A$2:$B$46,2,0)*(J13+L13)*AJ13)+IF(AK13=1,0,VLOOKUP($AK$1,'TTL NORMAL'!$A$2:$B$46,2,0)*(J13+L13)*AK13)+IF(AL13=1,0,VLOOKUP($AL$1,'TTL NORMAL'!$A$2:$B$46,2,0)*(J13+L13)*AL13)+IF(AM13=1,0,VLOOKUP($AM$1,'TTL NORMAL'!$A$2:$B$46,2,0)*(J13+L13)*AM13)+IF(AN13=1,0,VLOOKUP($AN$1,'TTL NORMAL'!$A$2:$B$46,2,0)*(J13+L13)*AN13)+IF(AO13=1,0,VLOOKUP($AO$1,'TTL NORMAL'!$A$2:$B$46,2,0)*(J13+L13)*AO13)+IF(AP13=1,0,VLOOKUP($AP$1,'TTL NORMAL'!$A$2:$B$46,2,0)*(J13+L13)*AP13)+IF(AQ13=1,0,VLOOKUP($AQ$1,'TTL NORMAL'!$A$2:$B$46,2,0)*(J13+L13)*AQ13)+IF(AR13=1,0,VLOOKUP($AR$1,'TTL NORMAL'!$A$2:$B$46,2,0)*(J13+L13)*AR13)+IF(AS13=1,0,VLOOKUP($AS$1,'TTL NORMAL'!$A$2:$B$46,2,0)*(J13+L13)*AS13)+IF(AT13=1,0,VLOOKUP($AT$1,'TTL NORMAL'!$A$2:$B$46,2,0)*(J13+L13)*AT13)+IF(AU13=1,0,VLOOKUP($AU$1,'TTL NORMAL'!$A$2:$B$46,2,0)*(J13+L13)*AU13)+IF(AV13=1,0,VLOOKUP($AV$1,'TTL NORMAL'!$A$2:$B$46,2,0)*(J13+L13)*AV13)+IF(AW13=1,0,VLOOKUP($AW$1,'TTL NORMAL'!$A$2:$B$46,2,0)*(J13+L13)*AW13)+IF(AX13=1,0,VLOOKUP($AX$1,'TTL NORMAL'!$A$2:$B$46,2,0)*(J13+L13)*AX13)+IF(AY13=1,0,VLOOKUP($AY$1,'TTL NORMAL'!$A$2:$B$46,2,0)*(J13+L13)*AY13)+IF(AZ13=1,0,VLOOKUP($AZ$1,'TTL NORMAL'!$A$2:$B$46,2,0)*(J13+L13)*AZ13)+IF(BA13=1,0,VLOOKUP($BA$1,'TTL NORMAL'!$A$2:$B$46,2,0)*(J13+L13)*BA13)+IF(BB13=1,0,VLOOKUP($BB$1,'TTL NORMAL'!$A$2:$B$46,2,0)*(J13+L13)*BB13)+IF(BC13=1,0,VLOOKUP($BC$1,'TTL NORMAL'!$A$2:$B$46,2,0)*(J13+L13)*BC13)+IF(BD13=1,0,VLOOKUP($BD$1,'TTL NORMAL'!$A$2:$B$46,2,0)*(J13+L13)*BD13)+IF(BE13=1,0,VLOOKUP($BE$1,'TTL NORMAL'!$A$2:$B$46,2,0)*(J13+L13)*BE13)+IF(BF13=1,0,VLOOKUP($BF$1,'TTL NORMAL'!$A$2:$B$46,2,0)*(J13+L13)*BF13)+IF(BG13=1,0,VLOOKUP($BG$1,'TTL NORMAL'!$A$2:$B$46,2,0)*(J13+L13)*BG13)+IF(BH13=1,0,VLOOKUP($BH$1,'TTL NORMAL'!$A$2:$B$46,2,0)*(J13+L13)*BH13)</f>
        <v>1296201.15389442</v>
      </c>
      <c r="O13" s="5" t="n">
        <v>4634000</v>
      </c>
      <c r="P13" s="18" t="n">
        <v>1.45226531444744</v>
      </c>
      <c r="Q13" s="17" t="n">
        <v>1.45226531444744</v>
      </c>
      <c r="R13" s="17" t="n">
        <v>1.90453062889488</v>
      </c>
      <c r="S13" s="17" t="n">
        <v>1.90453062889488</v>
      </c>
      <c r="T13" s="17" t="n">
        <v>1.90453062889488</v>
      </c>
      <c r="U13" s="17" t="n">
        <v>1.45226531444744</v>
      </c>
      <c r="V13" s="17" t="n">
        <v>1</v>
      </c>
      <c r="W13" s="17" t="n">
        <v>1</v>
      </c>
      <c r="X13" s="17" t="n">
        <v>1</v>
      </c>
      <c r="Y13" s="17" t="n">
        <v>1</v>
      </c>
      <c r="Z13" s="17" t="n">
        <v>1</v>
      </c>
      <c r="AA13" s="17" t="n">
        <v>1</v>
      </c>
      <c r="AB13" s="17" t="n">
        <v>1</v>
      </c>
      <c r="AC13" s="17" t="n">
        <v>1</v>
      </c>
      <c r="AD13" s="17" t="n">
        <v>1</v>
      </c>
      <c r="AE13" s="17" t="n">
        <v>1</v>
      </c>
      <c r="AF13" s="17" t="n">
        <v>1</v>
      </c>
      <c r="AG13" s="17" t="n">
        <v>1</v>
      </c>
      <c r="AH13" s="17" t="n">
        <v>1</v>
      </c>
      <c r="AI13" s="17" t="n">
        <v>1</v>
      </c>
      <c r="AJ13" s="17" t="n">
        <v>1</v>
      </c>
      <c r="AK13" s="17" t="n">
        <v>1</v>
      </c>
      <c r="AL13" s="17" t="n">
        <v>1</v>
      </c>
      <c r="AM13" s="17" t="n">
        <v>1.45226531444744</v>
      </c>
      <c r="AN13" s="17" t="n">
        <v>1</v>
      </c>
      <c r="AO13" s="17" t="n">
        <v>1</v>
      </c>
      <c r="AP13" s="17" t="n">
        <v>1.45226531444744</v>
      </c>
      <c r="AQ13" s="17" t="n">
        <v>1</v>
      </c>
      <c r="AR13" s="17" t="n">
        <v>1</v>
      </c>
      <c r="AS13" s="17" t="n">
        <v>1</v>
      </c>
      <c r="AT13" s="17" t="n">
        <v>1</v>
      </c>
      <c r="AU13" s="17" t="n">
        <v>1</v>
      </c>
      <c r="AV13" s="17" t="n">
        <v>1</v>
      </c>
      <c r="AW13" s="17" t="n">
        <v>1</v>
      </c>
      <c r="AX13" s="17" t="n">
        <v>1</v>
      </c>
      <c r="AY13" s="17" t="n">
        <v>1</v>
      </c>
      <c r="AZ13" s="17" t="n">
        <v>1</v>
      </c>
      <c r="BA13" s="17" t="n">
        <v>1</v>
      </c>
      <c r="BB13" s="17" t="n">
        <v>1</v>
      </c>
      <c r="BC13" s="17" t="n">
        <v>1</v>
      </c>
      <c r="BD13" s="17" t="n">
        <v>1</v>
      </c>
      <c r="BE13" s="17" t="n">
        <v>1</v>
      </c>
      <c r="BF13" s="17" t="n">
        <v>1.45226531444744</v>
      </c>
      <c r="BG13" s="17" t="n">
        <v>1.90453062889488</v>
      </c>
      <c r="BH13" s="17" t="n">
        <v>1.90453062889488</v>
      </c>
      <c r="BI13" s="17"/>
      <c r="BJ13" s="17"/>
    </row>
    <row r="14" customFormat="false" ht="15" hidden="false" customHeight="false" outlineLevel="0" collapsed="false">
      <c r="A14" s="2" t="n">
        <v>4</v>
      </c>
      <c r="B14" s="11" t="s">
        <v>55</v>
      </c>
      <c r="C14" s="0" t="n">
        <v>1</v>
      </c>
      <c r="D14" s="0" t="s">
        <v>112</v>
      </c>
      <c r="E14" s="12" t="str">
        <f aca="false">CONCATENATE("Als onderdeel van het programma 'Netwerk op zijn Best' omvat dit groot onderhoudsproject op de ",B14," een verbetermaatregel aan de binnenring door het plaatsen van fly-overs op de knooppunten tussen ",B14," grenzend aan de M4 en de M5.")</f>
        <v>Als onderdeel van het programma 'Netwerk op zijn Best' omvat dit groot onderhoudsproject op de B1-D een verbetermaatregel aan de binnenring door het plaatsen van fly-overs op de knooppunten tussen B1-D grenzend aan de M4 en de M5.</v>
      </c>
      <c r="F14" s="13" t="s">
        <v>113</v>
      </c>
      <c r="G14" s="1" t="s">
        <v>114</v>
      </c>
      <c r="H14" s="1" t="n">
        <v>8000</v>
      </c>
      <c r="I14" s="14" t="n">
        <v>3184500</v>
      </c>
      <c r="J14" s="1" t="n">
        <v>9.9</v>
      </c>
      <c r="K14" s="15" t="n">
        <f aca="false">1/3</f>
        <v>0.333333333333333</v>
      </c>
      <c r="L14" s="1" t="n">
        <v>2</v>
      </c>
      <c r="M14" s="10" t="n">
        <f aca="false">O14-I14</f>
        <v>1449500</v>
      </c>
      <c r="N14" s="10" t="n">
        <f aca="false">IF(P14=1,0,VLOOKUP($P$1,'TTL NORMAL'!$A$2:$B$46,2,0)*(J14+L14)*P14)+IF(Q14=1,0,VLOOKUP($Q$1,'TTL NORMAL'!$A$2:$B$46,2,0)*(J14+L14)*Q14)+IF(R14=1,0,VLOOKUP($R$1,'TTL NORMAL'!$A$2:$B$46,2,0)*(J14+L14)*R14)+IF(S14=1,0,VLOOKUP($S$1,'TTL NORMAL'!$A$2:$B$46,2,0)*(J14+L14)*S14)+IF(T14=1,0,VLOOKUP($T$1,'TTL NORMAL'!$A$2:$B$46,2,0)*(J14+L14)*T14)+IF(U14=1,0,VLOOKUP($U$1,'TTL NORMAL'!$A$2:$B$46,2,0)*(J14+L14)*U14)+IF(V14=1,0,VLOOKUP($V$1,'TTL NORMAL'!$A$2:$B$46,2,0)*(J14+L14)*V14)+IF(W14=1,0,VLOOKUP($W$1,'TTL NORMAL'!$A$2:$B$46,2,0)*(J14+L14)*W14)+IF(X14=1,0,VLOOKUP($X$1,'TTL NORMAL'!$A$2:$B$46,2,0)*(J14+L14)*X14)+IF(Y14=1,0,VLOOKUP($Y$1,'TTL NORMAL'!$A$2:$B$46,2,0)*(J14+L14)*Y14)+IF(Z14=1,0,VLOOKUP($Z$1,'TTL NORMAL'!$A$2:$B$46,2,0)*(J14+L14)*Z14)+IF(AA14=1,0,VLOOKUP($AA$1,'TTL NORMAL'!$A$2:$B$46,2,0)*(J14+L14)*AA14)+IF(AB14=1,0,VLOOKUP($AB$1,'TTL NORMAL'!$A$2:$B$46,2,0)*(J14+L14)*AB14)+IF(AC14=1,0,VLOOKUP($AC$1,'TTL NORMAL'!$A$2:$B$46,2,0)*(J14+L14)*AC14)+IF(AD14=1,0,VLOOKUP($AD$1,'TTL NORMAL'!$A$2:$B$46,2,0)*(J14+L14)*AD14)+IF(AE14=1,0,VLOOKUP($AE$1,'TTL NORMAL'!$A$2:$B$46,2,0)*(J14+L14)*AE14)+IF(AF14=1,0,VLOOKUP($AF$1,'TTL NORMAL'!$A$2:$B$46,2,0)*(J14+L14)*AF14)+IF(AG14=1,0,VLOOKUP($AG$1,'TTL NORMAL'!$A$2:$B$46,2,0)*(J14+L14)*AG14)+IF(AH14=1,0,VLOOKUP($AH$1,'TTL NORMAL'!$A$2:$B$46,2,0)*(J14+L14)*AH14)+IF(AI14=1,0,VLOOKUP($AI$1,'TTL NORMAL'!$A$2:$B$46,2,0)*(J14+L14)*AI14)+IF(AJ14=1,0,VLOOKUP($AJ$1,'TTL NORMAL'!$A$2:$B$46,2,0)*(J14+L14)*AJ14)+IF(AK14=1,0,VLOOKUP($AK$1,'TTL NORMAL'!$A$2:$B$46,2,0)*(J14+L14)*AK14)+IF(AL14=1,0,VLOOKUP($AL$1,'TTL NORMAL'!$A$2:$B$46,2,0)*(J14+L14)*AL14)+IF(AM14=1,0,VLOOKUP($AM$1,'TTL NORMAL'!$A$2:$B$46,2,0)*(J14+L14)*AM14)+IF(AN14=1,0,VLOOKUP($AN$1,'TTL NORMAL'!$A$2:$B$46,2,0)*(J14+L14)*AN14)+IF(AO14=1,0,VLOOKUP($AO$1,'TTL NORMAL'!$A$2:$B$46,2,0)*(J14+L14)*AO14)+IF(AP14=1,0,VLOOKUP($AP$1,'TTL NORMAL'!$A$2:$B$46,2,0)*(J14+L14)*AP14)+IF(AQ14=1,0,VLOOKUP($AQ$1,'TTL NORMAL'!$A$2:$B$46,2,0)*(J14+L14)*AQ14)+IF(AR14=1,0,VLOOKUP($AR$1,'TTL NORMAL'!$A$2:$B$46,2,0)*(J14+L14)*AR14)+IF(AS14=1,0,VLOOKUP($AS$1,'TTL NORMAL'!$A$2:$B$46,2,0)*(J14+L14)*AS14)+IF(AT14=1,0,VLOOKUP($AT$1,'TTL NORMAL'!$A$2:$B$46,2,0)*(J14+L14)*AT14)+IF(AU14=1,0,VLOOKUP($AU$1,'TTL NORMAL'!$A$2:$B$46,2,0)*(J14+L14)*AU14)+IF(AV14=1,0,VLOOKUP($AV$1,'TTL NORMAL'!$A$2:$B$46,2,0)*(J14+L14)*AV14)+IF(AW14=1,0,VLOOKUP($AW$1,'TTL NORMAL'!$A$2:$B$46,2,0)*(J14+L14)*AW14)+IF(AX14=1,0,VLOOKUP($AX$1,'TTL NORMAL'!$A$2:$B$46,2,0)*(J14+L14)*AX14)+IF(AY14=1,0,VLOOKUP($AY$1,'TTL NORMAL'!$A$2:$B$46,2,0)*(J14+L14)*AY14)+IF(AZ14=1,0,VLOOKUP($AZ$1,'TTL NORMAL'!$A$2:$B$46,2,0)*(J14+L14)*AZ14)+IF(BA14=1,0,VLOOKUP($BA$1,'TTL NORMAL'!$A$2:$B$46,2,0)*(J14+L14)*BA14)+IF(BB14=1,0,VLOOKUP($BB$1,'TTL NORMAL'!$A$2:$B$46,2,0)*(J14+L14)*BB14)+IF(BC14=1,0,VLOOKUP($BC$1,'TTL NORMAL'!$A$2:$B$46,2,0)*(J14+L14)*BC14)+IF(BD14=1,0,VLOOKUP($BD$1,'TTL NORMAL'!$A$2:$B$46,2,0)*(J14+L14)*BD14)+IF(BE14=1,0,VLOOKUP($BE$1,'TTL NORMAL'!$A$2:$B$46,2,0)*(J14+L14)*BE14)+IF(BF14=1,0,VLOOKUP($BF$1,'TTL NORMAL'!$A$2:$B$46,2,0)*(J14+L14)*BF14)+IF(BG14=1,0,VLOOKUP($BG$1,'TTL NORMAL'!$A$2:$B$46,2,0)*(J14+L14)*BG14)+IF(BH14=1,0,VLOOKUP($BH$1,'TTL NORMAL'!$A$2:$B$46,2,0)*(J14+L14)*BH14)</f>
        <v>1288613.63681209</v>
      </c>
      <c r="O14" s="5" t="n">
        <v>4634000</v>
      </c>
      <c r="P14" s="18" t="n">
        <v>1.30151020963162</v>
      </c>
      <c r="Q14" s="17" t="n">
        <v>1.30151020963162</v>
      </c>
      <c r="R14" s="17" t="n">
        <v>1.30151020963162</v>
      </c>
      <c r="S14" s="17" t="n">
        <v>1.60302041926325</v>
      </c>
      <c r="T14" s="17" t="n">
        <v>1</v>
      </c>
      <c r="U14" s="17" t="n">
        <v>1.60302041926325</v>
      </c>
      <c r="V14" s="17" t="n">
        <v>1</v>
      </c>
      <c r="W14" s="17" t="n">
        <v>1</v>
      </c>
      <c r="X14" s="17" t="n">
        <v>1</v>
      </c>
      <c r="Y14" s="17" t="n">
        <v>1</v>
      </c>
      <c r="Z14" s="17" t="n">
        <v>1</v>
      </c>
      <c r="AA14" s="17" t="n">
        <v>1</v>
      </c>
      <c r="AB14" s="17" t="n">
        <v>1</v>
      </c>
      <c r="AC14" s="17" t="n">
        <v>1</v>
      </c>
      <c r="AD14" s="17" t="n">
        <v>1</v>
      </c>
      <c r="AE14" s="17" t="n">
        <v>1</v>
      </c>
      <c r="AF14" s="17" t="n">
        <v>1</v>
      </c>
      <c r="AG14" s="17" t="n">
        <v>1</v>
      </c>
      <c r="AH14" s="17" t="n">
        <v>1</v>
      </c>
      <c r="AI14" s="17" t="n">
        <v>1</v>
      </c>
      <c r="AJ14" s="17" t="n">
        <v>1</v>
      </c>
      <c r="AK14" s="17" t="n">
        <v>1</v>
      </c>
      <c r="AL14" s="17" t="n">
        <v>1</v>
      </c>
      <c r="AM14" s="17" t="n">
        <v>1</v>
      </c>
      <c r="AN14" s="17" t="n">
        <v>1</v>
      </c>
      <c r="AO14" s="17" t="n">
        <v>1</v>
      </c>
      <c r="AP14" s="17" t="n">
        <v>1.30151020963162</v>
      </c>
      <c r="AQ14" s="17" t="n">
        <v>1</v>
      </c>
      <c r="AR14" s="17" t="n">
        <v>1</v>
      </c>
      <c r="AS14" s="17" t="n">
        <v>1.30151020963162</v>
      </c>
      <c r="AT14" s="17" t="n">
        <v>1</v>
      </c>
      <c r="AU14" s="17" t="n">
        <v>1</v>
      </c>
      <c r="AV14" s="17" t="n">
        <v>1</v>
      </c>
      <c r="AW14" s="17" t="n">
        <v>1</v>
      </c>
      <c r="AX14" s="17" t="n">
        <v>1</v>
      </c>
      <c r="AY14" s="17" t="n">
        <v>1</v>
      </c>
      <c r="AZ14" s="17" t="n">
        <v>1</v>
      </c>
      <c r="BA14" s="17" t="n">
        <v>1</v>
      </c>
      <c r="BB14" s="17" t="n">
        <v>1</v>
      </c>
      <c r="BC14" s="17" t="n">
        <v>1</v>
      </c>
      <c r="BD14" s="17" t="n">
        <v>1</v>
      </c>
      <c r="BE14" s="17" t="n">
        <v>1.30151020963162</v>
      </c>
      <c r="BF14" s="17" t="n">
        <v>1</v>
      </c>
      <c r="BG14" s="17" t="n">
        <v>1.30151020963162</v>
      </c>
      <c r="BH14" s="17" t="n">
        <v>1.60302041926325</v>
      </c>
      <c r="BI14" s="17"/>
      <c r="BJ14" s="17"/>
    </row>
    <row r="15" customFormat="false" ht="15" hidden="false" customHeight="false" outlineLevel="0" collapsed="false">
      <c r="A15" s="2" t="n">
        <v>4</v>
      </c>
      <c r="B15" s="11" t="s">
        <v>55</v>
      </c>
      <c r="C15" s="0" t="n">
        <v>2</v>
      </c>
      <c r="D15" s="0" t="s">
        <v>115</v>
      </c>
      <c r="E15" s="12" t="str">
        <f aca="false">CONCATENATE("Als onderdeel van het programma 'Netwerk op zijn Best' omvat dit groot onderhoudsproject op de ",B15," een verbetermaatregel aan de binnenring door het plaatsen van fly-overs op de knooppunten tussen ",B15," grenzend aan de M4 en de M5.")</f>
        <v>Als onderdeel van het programma 'Netwerk op zijn Best' omvat dit groot onderhoudsproject op de B1-D een verbetermaatregel aan de binnenring door het plaatsen van fly-overs op de knooppunten tussen B1-D grenzend aan de M4 en de M5.</v>
      </c>
      <c r="F15" s="13" t="s">
        <v>116</v>
      </c>
      <c r="G15" s="1" t="s">
        <v>114</v>
      </c>
      <c r="H15" s="1" t="n">
        <v>12000</v>
      </c>
      <c r="I15" s="14" t="n">
        <v>2026500</v>
      </c>
      <c r="J15" s="1" t="n">
        <v>9</v>
      </c>
      <c r="K15" s="15" t="n">
        <f aca="false">1/3</f>
        <v>0.333333333333333</v>
      </c>
      <c r="L15" s="1" t="n">
        <v>4</v>
      </c>
      <c r="M15" s="10" t="n">
        <f aca="false">O15-I15</f>
        <v>2607500</v>
      </c>
      <c r="N15" s="10" t="n">
        <f aca="false">IF(P15=1,0,VLOOKUP($P$1,'TTL NORMAL'!$A$2:$B$46,2,0)*(J15+L15)*P15)+IF(Q15=1,0,VLOOKUP($Q$1,'TTL NORMAL'!$A$2:$B$46,2,0)*(J15+L15)*Q15)+IF(R15=1,0,VLOOKUP($R$1,'TTL NORMAL'!$A$2:$B$46,2,0)*(J15+L15)*R15)+IF(S15=1,0,VLOOKUP($S$1,'TTL NORMAL'!$A$2:$B$46,2,0)*(J15+L15)*S15)+IF(T15=1,0,VLOOKUP($T$1,'TTL NORMAL'!$A$2:$B$46,2,0)*(J15+L15)*T15)+IF(U15=1,0,VLOOKUP($U$1,'TTL NORMAL'!$A$2:$B$46,2,0)*(J15+L15)*U15)+IF(V15=1,0,VLOOKUP($V$1,'TTL NORMAL'!$A$2:$B$46,2,0)*(J15+L15)*V15)+IF(W15=1,0,VLOOKUP($W$1,'TTL NORMAL'!$A$2:$B$46,2,0)*(J15+L15)*W15)+IF(X15=1,0,VLOOKUP($X$1,'TTL NORMAL'!$A$2:$B$46,2,0)*(J15+L15)*X15)+IF(Y15=1,0,VLOOKUP($Y$1,'TTL NORMAL'!$A$2:$B$46,2,0)*(J15+L15)*Y15)+IF(Z15=1,0,VLOOKUP($Z$1,'TTL NORMAL'!$A$2:$B$46,2,0)*(J15+L15)*Z15)+IF(AA15=1,0,VLOOKUP($AA$1,'TTL NORMAL'!$A$2:$B$46,2,0)*(J15+L15)*AA15)+IF(AB15=1,0,VLOOKUP($AB$1,'TTL NORMAL'!$A$2:$B$46,2,0)*(J15+L15)*AB15)+IF(AC15=1,0,VLOOKUP($AC$1,'TTL NORMAL'!$A$2:$B$46,2,0)*(J15+L15)*AC15)+IF(AD15=1,0,VLOOKUP($AD$1,'TTL NORMAL'!$A$2:$B$46,2,0)*(J15+L15)*AD15)+IF(AE15=1,0,VLOOKUP($AE$1,'TTL NORMAL'!$A$2:$B$46,2,0)*(J15+L15)*AE15)+IF(AF15=1,0,VLOOKUP($AF$1,'TTL NORMAL'!$A$2:$B$46,2,0)*(J15+L15)*AF15)+IF(AG15=1,0,VLOOKUP($AG$1,'TTL NORMAL'!$A$2:$B$46,2,0)*(J15+L15)*AG15)+IF(AH15=1,0,VLOOKUP($AH$1,'TTL NORMAL'!$A$2:$B$46,2,0)*(J15+L15)*AH15)+IF(AI15=1,0,VLOOKUP($AI$1,'TTL NORMAL'!$A$2:$B$46,2,0)*(J15+L15)*AI15)+IF(AJ15=1,0,VLOOKUP($AJ$1,'TTL NORMAL'!$A$2:$B$46,2,0)*(J15+L15)*AJ15)+IF(AK15=1,0,VLOOKUP($AK$1,'TTL NORMAL'!$A$2:$B$46,2,0)*(J15+L15)*AK15)+IF(AL15=1,0,VLOOKUP($AL$1,'TTL NORMAL'!$A$2:$B$46,2,0)*(J15+L15)*AL15)+IF(AM15=1,0,VLOOKUP($AM$1,'TTL NORMAL'!$A$2:$B$46,2,0)*(J15+L15)*AM15)+IF(AN15=1,0,VLOOKUP($AN$1,'TTL NORMAL'!$A$2:$B$46,2,0)*(J15+L15)*AN15)+IF(AO15=1,0,VLOOKUP($AO$1,'TTL NORMAL'!$A$2:$B$46,2,0)*(J15+L15)*AO15)+IF(AP15=1,0,VLOOKUP($AP$1,'TTL NORMAL'!$A$2:$B$46,2,0)*(J15+L15)*AP15)+IF(AQ15=1,0,VLOOKUP($AQ$1,'TTL NORMAL'!$A$2:$B$46,2,0)*(J15+L15)*AQ15)+IF(AR15=1,0,VLOOKUP($AR$1,'TTL NORMAL'!$A$2:$B$46,2,0)*(J15+L15)*AR15)+IF(AS15=1,0,VLOOKUP($AS$1,'TTL NORMAL'!$A$2:$B$46,2,0)*(J15+L15)*AS15)+IF(AT15=1,0,VLOOKUP($AT$1,'TTL NORMAL'!$A$2:$B$46,2,0)*(J15+L15)*AT15)+IF(AU15=1,0,VLOOKUP($AU$1,'TTL NORMAL'!$A$2:$B$46,2,0)*(J15+L15)*AU15)+IF(AV15=1,0,VLOOKUP($AV$1,'TTL NORMAL'!$A$2:$B$46,2,0)*(J15+L15)*AV15)+IF(AW15=1,0,VLOOKUP($AW$1,'TTL NORMAL'!$A$2:$B$46,2,0)*(J15+L15)*AW15)+IF(AX15=1,0,VLOOKUP($AX$1,'TTL NORMAL'!$A$2:$B$46,2,0)*(J15+L15)*AX15)+IF(AY15=1,0,VLOOKUP($AY$1,'TTL NORMAL'!$A$2:$B$46,2,0)*(J15+L15)*AY15)+IF(AZ15=1,0,VLOOKUP($AZ$1,'TTL NORMAL'!$A$2:$B$46,2,0)*(J15+L15)*AZ15)+IF(BA15=1,0,VLOOKUP($BA$1,'TTL NORMAL'!$A$2:$B$46,2,0)*(J15+L15)*BA15)+IF(BB15=1,0,VLOOKUP($BB$1,'TTL NORMAL'!$A$2:$B$46,2,0)*(J15+L15)*BB15)+IF(BC15=1,0,VLOOKUP($BC$1,'TTL NORMAL'!$A$2:$B$46,2,0)*(J15+L15)*BC15)+IF(BD15=1,0,VLOOKUP($BD$1,'TTL NORMAL'!$A$2:$B$46,2,0)*(J15+L15)*BD15)+IF(BE15=1,0,VLOOKUP($BE$1,'TTL NORMAL'!$A$2:$B$46,2,0)*(J15+L15)*BE15)+IF(BF15=1,0,VLOOKUP($BF$1,'TTL NORMAL'!$A$2:$B$46,2,0)*(J15+L15)*BF15)+IF(BG15=1,0,VLOOKUP($BG$1,'TTL NORMAL'!$A$2:$B$46,2,0)*(J15+L15)*BG15)+IF(BH15=1,0,VLOOKUP($BH$1,'TTL NORMAL'!$A$2:$B$46,2,0)*(J15+L15)*BH15)</f>
        <v>1931517.26073208</v>
      </c>
      <c r="O15" s="5" t="n">
        <v>4634000</v>
      </c>
      <c r="P15" s="18" t="n">
        <v>1.45226531444744</v>
      </c>
      <c r="Q15" s="17" t="n">
        <v>1.45226531444744</v>
      </c>
      <c r="R15" s="17" t="n">
        <v>1.45226531444744</v>
      </c>
      <c r="S15" s="17" t="n">
        <v>1.90453062889488</v>
      </c>
      <c r="T15" s="17" t="n">
        <v>1.90453062889488</v>
      </c>
      <c r="U15" s="17" t="n">
        <v>1.90453062889488</v>
      </c>
      <c r="V15" s="17" t="n">
        <v>1</v>
      </c>
      <c r="W15" s="17" t="n">
        <v>1</v>
      </c>
      <c r="X15" s="17" t="n">
        <v>1</v>
      </c>
      <c r="Y15" s="17" t="n">
        <v>1</v>
      </c>
      <c r="Z15" s="17" t="n">
        <v>1</v>
      </c>
      <c r="AA15" s="17" t="n">
        <v>1</v>
      </c>
      <c r="AB15" s="17" t="n">
        <v>1</v>
      </c>
      <c r="AC15" s="17" t="n">
        <v>1</v>
      </c>
      <c r="AD15" s="17" t="n">
        <v>1</v>
      </c>
      <c r="AE15" s="17" t="n">
        <v>1</v>
      </c>
      <c r="AF15" s="17" t="n">
        <v>1</v>
      </c>
      <c r="AG15" s="17" t="n">
        <v>1</v>
      </c>
      <c r="AH15" s="17" t="n">
        <v>1</v>
      </c>
      <c r="AI15" s="17" t="n">
        <v>1</v>
      </c>
      <c r="AJ15" s="17" t="n">
        <v>1</v>
      </c>
      <c r="AK15" s="17" t="n">
        <v>1</v>
      </c>
      <c r="AL15" s="17" t="n">
        <v>1</v>
      </c>
      <c r="AM15" s="17" t="n">
        <v>1</v>
      </c>
      <c r="AN15" s="17" t="n">
        <v>1</v>
      </c>
      <c r="AO15" s="17" t="n">
        <v>1</v>
      </c>
      <c r="AP15" s="17" t="n">
        <v>1.45226531444744</v>
      </c>
      <c r="AQ15" s="17" t="n">
        <v>1</v>
      </c>
      <c r="AR15" s="17" t="n">
        <v>1</v>
      </c>
      <c r="AS15" s="17" t="n">
        <v>1.45226531444744</v>
      </c>
      <c r="AT15" s="17" t="n">
        <v>1</v>
      </c>
      <c r="AU15" s="17" t="n">
        <v>1</v>
      </c>
      <c r="AV15" s="17" t="n">
        <v>1</v>
      </c>
      <c r="AW15" s="17" t="n">
        <v>1</v>
      </c>
      <c r="AX15" s="17" t="n">
        <v>1</v>
      </c>
      <c r="AY15" s="17" t="n">
        <v>1</v>
      </c>
      <c r="AZ15" s="17" t="n">
        <v>1</v>
      </c>
      <c r="BA15" s="17" t="n">
        <v>1</v>
      </c>
      <c r="BB15" s="17" t="n">
        <v>1</v>
      </c>
      <c r="BC15" s="17" t="n">
        <v>1</v>
      </c>
      <c r="BD15" s="17" t="n">
        <v>1</v>
      </c>
      <c r="BE15" s="17" t="n">
        <v>1.45226531444744</v>
      </c>
      <c r="BF15" s="17" t="n">
        <v>1</v>
      </c>
      <c r="BG15" s="17" t="n">
        <v>1.45226531444744</v>
      </c>
      <c r="BH15" s="17" t="n">
        <v>1.90453062889488</v>
      </c>
      <c r="BI15" s="17"/>
      <c r="BJ15" s="17"/>
    </row>
    <row r="16" customFormat="false" ht="15" hidden="false" customHeight="false" outlineLevel="0" collapsed="false">
      <c r="A16" s="2" t="n">
        <v>4</v>
      </c>
      <c r="B16" s="11" t="s">
        <v>55</v>
      </c>
      <c r="C16" s="0" t="n">
        <v>3</v>
      </c>
      <c r="D16" s="0" t="s">
        <v>117</v>
      </c>
      <c r="E16" s="12" t="str">
        <f aca="false">CONCATENATE("Als onderdeel van het programma 'Netwerk op zijn Best' omvat dit groot onderhoudsproject op de ",B16," een verbetermaatregel aan de binnenring door het plaatsen van fly-overs op de knooppunten tussen ",B16," grenzend aan de M4 en de M5.")</f>
        <v>Als onderdeel van het programma 'Netwerk op zijn Best' omvat dit groot onderhoudsproject op de B1-D een verbetermaatregel aan de binnenring door het plaatsen van fly-overs op de knooppunten tussen B1-D grenzend aan de M4 en de M5.</v>
      </c>
      <c r="F16" s="13" t="s">
        <v>118</v>
      </c>
      <c r="G16" s="1" t="s">
        <v>114</v>
      </c>
      <c r="H16" s="1" t="n">
        <v>10000</v>
      </c>
      <c r="I16" s="14" t="n">
        <v>3184500</v>
      </c>
      <c r="J16" s="1" t="n">
        <v>9</v>
      </c>
      <c r="K16" s="15" t="n">
        <f aca="false">1/3</f>
        <v>0.333333333333333</v>
      </c>
      <c r="L16" s="1" t="n">
        <v>0</v>
      </c>
      <c r="M16" s="10" t="n">
        <f aca="false">O16-I16</f>
        <v>1449500</v>
      </c>
      <c r="N16" s="10" t="n">
        <f aca="false">IF(P16=1,0,VLOOKUP($P$1,'TTL NORMAL'!$A$2:$B$46,2,0)*(J16+L16)*P16)+IF(Q16=1,0,VLOOKUP($Q$1,'TTL NORMAL'!$A$2:$B$46,2,0)*(J16+L16)*Q16)+IF(R16=1,0,VLOOKUP($R$1,'TTL NORMAL'!$A$2:$B$46,2,0)*(J16+L16)*R16)+IF(S16=1,0,VLOOKUP($S$1,'TTL NORMAL'!$A$2:$B$46,2,0)*(J16+L16)*S16)+IF(T16=1,0,VLOOKUP($T$1,'TTL NORMAL'!$A$2:$B$46,2,0)*(J16+L16)*T16)+IF(U16=1,0,VLOOKUP($U$1,'TTL NORMAL'!$A$2:$B$46,2,0)*(J16+L16)*U16)+IF(V16=1,0,VLOOKUP($V$1,'TTL NORMAL'!$A$2:$B$46,2,0)*(J16+L16)*V16)+IF(W16=1,0,VLOOKUP($W$1,'TTL NORMAL'!$A$2:$B$46,2,0)*(J16+L16)*W16)+IF(X16=1,0,VLOOKUP($X$1,'TTL NORMAL'!$A$2:$B$46,2,0)*(J16+L16)*X16)+IF(Y16=1,0,VLOOKUP($Y$1,'TTL NORMAL'!$A$2:$B$46,2,0)*(J16+L16)*Y16)+IF(Z16=1,0,VLOOKUP($Z$1,'TTL NORMAL'!$A$2:$B$46,2,0)*(J16+L16)*Z16)+IF(AA16=1,0,VLOOKUP($AA$1,'TTL NORMAL'!$A$2:$B$46,2,0)*(J16+L16)*AA16)+IF(AB16=1,0,VLOOKUP($AB$1,'TTL NORMAL'!$A$2:$B$46,2,0)*(J16+L16)*AB16)+IF(AC16=1,0,VLOOKUP($AC$1,'TTL NORMAL'!$A$2:$B$46,2,0)*(J16+L16)*AC16)+IF(AD16=1,0,VLOOKUP($AD$1,'TTL NORMAL'!$A$2:$B$46,2,0)*(J16+L16)*AD16)+IF(AE16=1,0,VLOOKUP($AE$1,'TTL NORMAL'!$A$2:$B$46,2,0)*(J16+L16)*AE16)+IF(AF16=1,0,VLOOKUP($AF$1,'TTL NORMAL'!$A$2:$B$46,2,0)*(J16+L16)*AF16)+IF(AG16=1,0,VLOOKUP($AG$1,'TTL NORMAL'!$A$2:$B$46,2,0)*(J16+L16)*AG16)+IF(AH16=1,0,VLOOKUP($AH$1,'TTL NORMAL'!$A$2:$B$46,2,0)*(J16+L16)*AH16)+IF(AI16=1,0,VLOOKUP($AI$1,'TTL NORMAL'!$A$2:$B$46,2,0)*(J16+L16)*AI16)+IF(AJ16=1,0,VLOOKUP($AJ$1,'TTL NORMAL'!$A$2:$B$46,2,0)*(J16+L16)*AJ16)+IF(AK16=1,0,VLOOKUP($AK$1,'TTL NORMAL'!$A$2:$B$46,2,0)*(J16+L16)*AK16)+IF(AL16=1,0,VLOOKUP($AL$1,'TTL NORMAL'!$A$2:$B$46,2,0)*(J16+L16)*AL16)+IF(AM16=1,0,VLOOKUP($AM$1,'TTL NORMAL'!$A$2:$B$46,2,0)*(J16+L16)*AM16)+IF(AN16=1,0,VLOOKUP($AN$1,'TTL NORMAL'!$A$2:$B$46,2,0)*(J16+L16)*AN16)+IF(AO16=1,0,VLOOKUP($AO$1,'TTL NORMAL'!$A$2:$B$46,2,0)*(J16+L16)*AO16)+IF(AP16=1,0,VLOOKUP($AP$1,'TTL NORMAL'!$A$2:$B$46,2,0)*(J16+L16)*AP16)+IF(AQ16=1,0,VLOOKUP($AQ$1,'TTL NORMAL'!$A$2:$B$46,2,0)*(J16+L16)*AQ16)+IF(AR16=1,0,VLOOKUP($AR$1,'TTL NORMAL'!$A$2:$B$46,2,0)*(J16+L16)*AR16)+IF(AS16=1,0,VLOOKUP($AS$1,'TTL NORMAL'!$A$2:$B$46,2,0)*(J16+L16)*AS16)+IF(AT16=1,0,VLOOKUP($AT$1,'TTL NORMAL'!$A$2:$B$46,2,0)*(J16+L16)*AT16)+IF(AU16=1,0,VLOOKUP($AU$1,'TTL NORMAL'!$A$2:$B$46,2,0)*(J16+L16)*AU16)+IF(AV16=1,0,VLOOKUP($AV$1,'TTL NORMAL'!$A$2:$B$46,2,0)*(J16+L16)*AV16)+IF(AW16=1,0,VLOOKUP($AW$1,'TTL NORMAL'!$A$2:$B$46,2,0)*(J16+L16)*AW16)+IF(AX16=1,0,VLOOKUP($AX$1,'TTL NORMAL'!$A$2:$B$46,2,0)*(J16+L16)*AX16)+IF(AY16=1,0,VLOOKUP($AY$1,'TTL NORMAL'!$A$2:$B$46,2,0)*(J16+L16)*AY16)+IF(AZ16=1,0,VLOOKUP($AZ$1,'TTL NORMAL'!$A$2:$B$46,2,0)*(J16+L16)*AZ16)+IF(BA16=1,0,VLOOKUP($BA$1,'TTL NORMAL'!$A$2:$B$46,2,0)*(J16+L16)*BA16)+IF(BB16=1,0,VLOOKUP($BB$1,'TTL NORMAL'!$A$2:$B$46,2,0)*(J16+L16)*BB16)+IF(BC16=1,0,VLOOKUP($BC$1,'TTL NORMAL'!$A$2:$B$46,2,0)*(J16+L16)*BC16)+IF(BD16=1,0,VLOOKUP($BD$1,'TTL NORMAL'!$A$2:$B$46,2,0)*(J16+L16)*BD16)+IF(BE16=1,0,VLOOKUP($BE$1,'TTL NORMAL'!$A$2:$B$46,2,0)*(J16+L16)*BE16)+IF(BF16=1,0,VLOOKUP($BF$1,'TTL NORMAL'!$A$2:$B$46,2,0)*(J16+L16)*BF16)+IF(BG16=1,0,VLOOKUP($BG$1,'TTL NORMAL'!$A$2:$B$46,2,0)*(J16+L16)*BG16)+IF(BH16=1,0,VLOOKUP($BH$1,'TTL NORMAL'!$A$2:$B$46,2,0)*(J16+L16)*BH16)</f>
        <v>1206592.47072493</v>
      </c>
      <c r="O16" s="5" t="n">
        <v>4634000</v>
      </c>
      <c r="P16" s="18" t="n">
        <v>1.37688776203953</v>
      </c>
      <c r="Q16" s="17" t="n">
        <v>1.37688776203953</v>
      </c>
      <c r="R16" s="17" t="n">
        <v>1.37688776203953</v>
      </c>
      <c r="S16" s="17" t="n">
        <v>1.75377552407906</v>
      </c>
      <c r="T16" s="17" t="n">
        <v>1.37688776203953</v>
      </c>
      <c r="U16" s="17" t="n">
        <v>1.75377552407906</v>
      </c>
      <c r="V16" s="17" t="n">
        <v>1</v>
      </c>
      <c r="W16" s="17" t="n">
        <v>1</v>
      </c>
      <c r="X16" s="17" t="n">
        <v>1</v>
      </c>
      <c r="Y16" s="17" t="n">
        <v>1</v>
      </c>
      <c r="Z16" s="17" t="n">
        <v>1</v>
      </c>
      <c r="AA16" s="17" t="n">
        <v>1</v>
      </c>
      <c r="AB16" s="17" t="n">
        <v>1</v>
      </c>
      <c r="AC16" s="17" t="n">
        <v>1</v>
      </c>
      <c r="AD16" s="17" t="n">
        <v>1</v>
      </c>
      <c r="AE16" s="17" t="n">
        <v>1</v>
      </c>
      <c r="AF16" s="17" t="n">
        <v>1</v>
      </c>
      <c r="AG16" s="17" t="n">
        <v>1</v>
      </c>
      <c r="AH16" s="17" t="n">
        <v>1</v>
      </c>
      <c r="AI16" s="17" t="n">
        <v>1</v>
      </c>
      <c r="AJ16" s="17" t="n">
        <v>1</v>
      </c>
      <c r="AK16" s="17" t="n">
        <v>1</v>
      </c>
      <c r="AL16" s="17" t="n">
        <v>1</v>
      </c>
      <c r="AM16" s="17" t="n">
        <v>1</v>
      </c>
      <c r="AN16" s="17" t="n">
        <v>1</v>
      </c>
      <c r="AO16" s="17" t="n">
        <v>1</v>
      </c>
      <c r="AP16" s="17" t="n">
        <v>1.37688776203953</v>
      </c>
      <c r="AQ16" s="17" t="n">
        <v>1</v>
      </c>
      <c r="AR16" s="17" t="n">
        <v>1</v>
      </c>
      <c r="AS16" s="17" t="n">
        <v>1.37688776203953</v>
      </c>
      <c r="AT16" s="17" t="n">
        <v>1</v>
      </c>
      <c r="AU16" s="17" t="n">
        <v>1</v>
      </c>
      <c r="AV16" s="17" t="n">
        <v>1</v>
      </c>
      <c r="AW16" s="17" t="n">
        <v>1</v>
      </c>
      <c r="AX16" s="17" t="n">
        <v>1</v>
      </c>
      <c r="AY16" s="17" t="n">
        <v>1</v>
      </c>
      <c r="AZ16" s="17" t="n">
        <v>1</v>
      </c>
      <c r="BA16" s="17" t="n">
        <v>1</v>
      </c>
      <c r="BB16" s="17" t="n">
        <v>1</v>
      </c>
      <c r="BC16" s="17" t="n">
        <v>1</v>
      </c>
      <c r="BD16" s="17" t="n">
        <v>1</v>
      </c>
      <c r="BE16" s="17" t="n">
        <v>1.37688776203953</v>
      </c>
      <c r="BF16" s="17" t="n">
        <v>1</v>
      </c>
      <c r="BG16" s="17" t="n">
        <v>1.37688776203953</v>
      </c>
      <c r="BH16" s="17" t="n">
        <v>1.75377552407906</v>
      </c>
      <c r="BI16" s="17"/>
      <c r="BJ16" s="17"/>
    </row>
    <row r="17" customFormat="false" ht="15" hidden="false" customHeight="false" outlineLevel="0" collapsed="false">
      <c r="A17" s="2" t="n">
        <v>4</v>
      </c>
      <c r="B17" s="11" t="s">
        <v>55</v>
      </c>
      <c r="C17" s="0" t="n">
        <v>4</v>
      </c>
      <c r="D17" s="0" t="s">
        <v>119</v>
      </c>
      <c r="E17" s="12" t="str">
        <f aca="false">CONCATENATE("Als onderdeel van het programma 'Netwerk op zijn Best' omvat dit groot onderhoudsproject op de ",B17," een verbetermaatregel aan de binnenring door het plaatsen van fly-overs op de knooppunten tussen ",B17," grenzend aan de M4 en de M5.")</f>
        <v>Als onderdeel van het programma 'Netwerk op zijn Best' omvat dit groot onderhoudsproject op de B1-D een verbetermaatregel aan de binnenring door het plaatsen van fly-overs op de knooppunten tussen B1-D grenzend aan de M4 en de M5.</v>
      </c>
      <c r="F17" s="13" t="s">
        <v>120</v>
      </c>
      <c r="G17" s="1" t="s">
        <v>114</v>
      </c>
      <c r="H17" s="1" t="n">
        <v>12000</v>
      </c>
      <c r="I17" s="14" t="n">
        <v>2895000</v>
      </c>
      <c r="J17" s="1" t="n">
        <v>6.3</v>
      </c>
      <c r="K17" s="15" t="n">
        <f aca="false">1/3</f>
        <v>0.333333333333333</v>
      </c>
      <c r="L17" s="1" t="n">
        <v>2</v>
      </c>
      <c r="M17" s="10" t="n">
        <f aca="false">O17-I17</f>
        <v>1739000</v>
      </c>
      <c r="N17" s="10" t="n">
        <f aca="false">IF(P17=1,0,VLOOKUP($P$1,'TTL NORMAL'!$A$2:$B$46,2,0)*(J17+L17)*P17)+IF(Q17=1,0,VLOOKUP($Q$1,'TTL NORMAL'!$A$2:$B$46,2,0)*(J17+L17)*Q17)+IF(R17=1,0,VLOOKUP($R$1,'TTL NORMAL'!$A$2:$B$46,2,0)*(J17+L17)*R17)+IF(S17=1,0,VLOOKUP($S$1,'TTL NORMAL'!$A$2:$B$46,2,0)*(J17+L17)*S17)+IF(T17=1,0,VLOOKUP($T$1,'TTL NORMAL'!$A$2:$B$46,2,0)*(J17+L17)*T17)+IF(U17=1,0,VLOOKUP($U$1,'TTL NORMAL'!$A$2:$B$46,2,0)*(J17+L17)*U17)+IF(V17=1,0,VLOOKUP($V$1,'TTL NORMAL'!$A$2:$B$46,2,0)*(J17+L17)*V17)+IF(W17=1,0,VLOOKUP($W$1,'TTL NORMAL'!$A$2:$B$46,2,0)*(J17+L17)*W17)+IF(X17=1,0,VLOOKUP($X$1,'TTL NORMAL'!$A$2:$B$46,2,0)*(J17+L17)*X17)+IF(Y17=1,0,VLOOKUP($Y$1,'TTL NORMAL'!$A$2:$B$46,2,0)*(J17+L17)*Y17)+IF(Z17=1,0,VLOOKUP($Z$1,'TTL NORMAL'!$A$2:$B$46,2,0)*(J17+L17)*Z17)+IF(AA17=1,0,VLOOKUP($AA$1,'TTL NORMAL'!$A$2:$B$46,2,0)*(J17+L17)*AA17)+IF(AB17=1,0,VLOOKUP($AB$1,'TTL NORMAL'!$A$2:$B$46,2,0)*(J17+L17)*AB17)+IF(AC17=1,0,VLOOKUP($AC$1,'TTL NORMAL'!$A$2:$B$46,2,0)*(J17+L17)*AC17)+IF(AD17=1,0,VLOOKUP($AD$1,'TTL NORMAL'!$A$2:$B$46,2,0)*(J17+L17)*AD17)+IF(AE17=1,0,VLOOKUP($AE$1,'TTL NORMAL'!$A$2:$B$46,2,0)*(J17+L17)*AE17)+IF(AF17=1,0,VLOOKUP($AF$1,'TTL NORMAL'!$A$2:$B$46,2,0)*(J17+L17)*AF17)+IF(AG17=1,0,VLOOKUP($AG$1,'TTL NORMAL'!$A$2:$B$46,2,0)*(J17+L17)*AG17)+IF(AH17=1,0,VLOOKUP($AH$1,'TTL NORMAL'!$A$2:$B$46,2,0)*(J17+L17)*AH17)+IF(AI17=1,0,VLOOKUP($AI$1,'TTL NORMAL'!$A$2:$B$46,2,0)*(J17+L17)*AI17)+IF(AJ17=1,0,VLOOKUP($AJ$1,'TTL NORMAL'!$A$2:$B$46,2,0)*(J17+L17)*AJ17)+IF(AK17=1,0,VLOOKUP($AK$1,'TTL NORMAL'!$A$2:$B$46,2,0)*(J17+L17)*AK17)+IF(AL17=1,0,VLOOKUP($AL$1,'TTL NORMAL'!$A$2:$B$46,2,0)*(J17+L17)*AL17)+IF(AM17=1,0,VLOOKUP($AM$1,'TTL NORMAL'!$A$2:$B$46,2,0)*(J17+L17)*AM17)+IF(AN17=1,0,VLOOKUP($AN$1,'TTL NORMAL'!$A$2:$B$46,2,0)*(J17+L17)*AN17)+IF(AO17=1,0,VLOOKUP($AO$1,'TTL NORMAL'!$A$2:$B$46,2,0)*(J17+L17)*AO17)+IF(AP17=1,0,VLOOKUP($AP$1,'TTL NORMAL'!$A$2:$B$46,2,0)*(J17+L17)*AP17)+IF(AQ17=1,0,VLOOKUP($AQ$1,'TTL NORMAL'!$A$2:$B$46,2,0)*(J17+L17)*AQ17)+IF(AR17=1,0,VLOOKUP($AR$1,'TTL NORMAL'!$A$2:$B$46,2,0)*(J17+L17)*AR17)+IF(AS17=1,0,VLOOKUP($AS$1,'TTL NORMAL'!$A$2:$B$46,2,0)*(J17+L17)*AS17)+IF(AT17=1,0,VLOOKUP($AT$1,'TTL NORMAL'!$A$2:$B$46,2,0)*(J17+L17)*AT17)+IF(AU17=1,0,VLOOKUP($AU$1,'TTL NORMAL'!$A$2:$B$46,2,0)*(J17+L17)*AU17)+IF(AV17=1,0,VLOOKUP($AV$1,'TTL NORMAL'!$A$2:$B$46,2,0)*(J17+L17)*AV17)+IF(AW17=1,0,VLOOKUP($AW$1,'TTL NORMAL'!$A$2:$B$46,2,0)*(J17+L17)*AW17)+IF(AX17=1,0,VLOOKUP($AX$1,'TTL NORMAL'!$A$2:$B$46,2,0)*(J17+L17)*AX17)+IF(AY17=1,0,VLOOKUP($AY$1,'TTL NORMAL'!$A$2:$B$46,2,0)*(J17+L17)*AY17)+IF(AZ17=1,0,VLOOKUP($AZ$1,'TTL NORMAL'!$A$2:$B$46,2,0)*(J17+L17)*AZ17)+IF(BA17=1,0,VLOOKUP($BA$1,'TTL NORMAL'!$A$2:$B$46,2,0)*(J17+L17)*BA17)+IF(BB17=1,0,VLOOKUP($BB$1,'TTL NORMAL'!$A$2:$B$46,2,0)*(J17+L17)*BB17)+IF(BC17=1,0,VLOOKUP($BC$1,'TTL NORMAL'!$A$2:$B$46,2,0)*(J17+L17)*BC17)+IF(BD17=1,0,VLOOKUP($BD$1,'TTL NORMAL'!$A$2:$B$46,2,0)*(J17+L17)*BD17)+IF(BE17=1,0,VLOOKUP($BE$1,'TTL NORMAL'!$A$2:$B$46,2,0)*(J17+L17)*BE17)+IF(BF17=1,0,VLOOKUP($BF$1,'TTL NORMAL'!$A$2:$B$46,2,0)*(J17+L17)*BF17)+IF(BG17=1,0,VLOOKUP($BG$1,'TTL NORMAL'!$A$2:$B$46,2,0)*(J17+L17)*BG17)+IF(BH17=1,0,VLOOKUP($BH$1,'TTL NORMAL'!$A$2:$B$46,2,0)*(J17+L17)*BH17)</f>
        <v>1233199.48185202</v>
      </c>
      <c r="O17" s="5" t="n">
        <v>4634000</v>
      </c>
      <c r="P17" s="18" t="n">
        <v>1.45226531444744</v>
      </c>
      <c r="Q17" s="17" t="n">
        <v>1.45226531444744</v>
      </c>
      <c r="R17" s="17" t="n">
        <v>1.45226531444744</v>
      </c>
      <c r="S17" s="17" t="n">
        <v>1.90453062889488</v>
      </c>
      <c r="T17" s="17" t="n">
        <v>1.90453062889488</v>
      </c>
      <c r="U17" s="17" t="n">
        <v>1.90453062889488</v>
      </c>
      <c r="V17" s="17" t="n">
        <v>1</v>
      </c>
      <c r="W17" s="17" t="n">
        <v>1</v>
      </c>
      <c r="X17" s="17" t="n">
        <v>1</v>
      </c>
      <c r="Y17" s="17" t="n">
        <v>1</v>
      </c>
      <c r="Z17" s="17" t="n">
        <v>1</v>
      </c>
      <c r="AA17" s="17" t="n">
        <v>1</v>
      </c>
      <c r="AB17" s="17" t="n">
        <v>1</v>
      </c>
      <c r="AC17" s="17" t="n">
        <v>1</v>
      </c>
      <c r="AD17" s="17" t="n">
        <v>1</v>
      </c>
      <c r="AE17" s="17" t="n">
        <v>1</v>
      </c>
      <c r="AF17" s="17" t="n">
        <v>1</v>
      </c>
      <c r="AG17" s="17" t="n">
        <v>1</v>
      </c>
      <c r="AH17" s="17" t="n">
        <v>1</v>
      </c>
      <c r="AI17" s="17" t="n">
        <v>1</v>
      </c>
      <c r="AJ17" s="17" t="n">
        <v>1</v>
      </c>
      <c r="AK17" s="17" t="n">
        <v>1</v>
      </c>
      <c r="AL17" s="17" t="n">
        <v>1</v>
      </c>
      <c r="AM17" s="17" t="n">
        <v>1</v>
      </c>
      <c r="AN17" s="17" t="n">
        <v>1</v>
      </c>
      <c r="AO17" s="17" t="n">
        <v>1</v>
      </c>
      <c r="AP17" s="17" t="n">
        <v>1.45226531444744</v>
      </c>
      <c r="AQ17" s="17" t="n">
        <v>1</v>
      </c>
      <c r="AR17" s="17" t="n">
        <v>1</v>
      </c>
      <c r="AS17" s="17" t="n">
        <v>1.45226531444744</v>
      </c>
      <c r="AT17" s="17" t="n">
        <v>1</v>
      </c>
      <c r="AU17" s="17" t="n">
        <v>1</v>
      </c>
      <c r="AV17" s="17" t="n">
        <v>1</v>
      </c>
      <c r="AW17" s="17" t="n">
        <v>1</v>
      </c>
      <c r="AX17" s="17" t="n">
        <v>1</v>
      </c>
      <c r="AY17" s="17" t="n">
        <v>1</v>
      </c>
      <c r="AZ17" s="17" t="n">
        <v>1</v>
      </c>
      <c r="BA17" s="17" t="n">
        <v>1</v>
      </c>
      <c r="BB17" s="17" t="n">
        <v>1</v>
      </c>
      <c r="BC17" s="17" t="n">
        <v>1</v>
      </c>
      <c r="BD17" s="17" t="n">
        <v>1</v>
      </c>
      <c r="BE17" s="17" t="n">
        <v>1.45226531444744</v>
      </c>
      <c r="BF17" s="17" t="n">
        <v>1</v>
      </c>
      <c r="BG17" s="17" t="n">
        <v>1.45226531444744</v>
      </c>
      <c r="BH17" s="17" t="n">
        <v>1.90453062889488</v>
      </c>
      <c r="BI17" s="17"/>
      <c r="BJ17" s="17"/>
    </row>
    <row r="18" customFormat="false" ht="15" hidden="false" customHeight="false" outlineLevel="0" collapsed="false">
      <c r="A18" s="2" t="n">
        <v>5</v>
      </c>
      <c r="B18" s="11" t="s">
        <v>56</v>
      </c>
      <c r="C18" s="0" t="n">
        <v>1</v>
      </c>
      <c r="D18" s="0" t="s">
        <v>112</v>
      </c>
      <c r="E18" s="12" t="str">
        <f aca="false">CONCATENATE("Als onderdeel van het programma 'Netwerk op zijn Best' omvat dit groot onderhoudsproject op de ",B18," een verbetermaatregel aan de binnenring door het plaatsen van fly-overs op de knooppunten tussen ",B18," grenzend aan de M5 en de M1.")</f>
        <v>Als onderdeel van het programma 'Netwerk op zijn Best' omvat dit groot onderhoudsproject op de B1-E een verbetermaatregel aan de binnenring door het plaatsen van fly-overs op de knooppunten tussen B1-E grenzend aan de M5 en de M1.</v>
      </c>
      <c r="F18" s="13" t="s">
        <v>113</v>
      </c>
      <c r="G18" s="1" t="s">
        <v>114</v>
      </c>
      <c r="H18" s="1" t="n">
        <v>8000</v>
      </c>
      <c r="I18" s="14" t="n">
        <v>3184500</v>
      </c>
      <c r="J18" s="1" t="n">
        <v>9.9</v>
      </c>
      <c r="K18" s="15" t="n">
        <f aca="false">1/3</f>
        <v>0.333333333333333</v>
      </c>
      <c r="L18" s="1" t="n">
        <v>2</v>
      </c>
      <c r="M18" s="10" t="n">
        <f aca="false">O18-I18</f>
        <v>1449500</v>
      </c>
      <c r="N18" s="10" t="n">
        <f aca="false">IF(P18=1,0,VLOOKUP($P$1,'TTL NORMAL'!$A$2:$B$46,2,0)*(J18+L18)*P18)+IF(Q18=1,0,VLOOKUP($Q$1,'TTL NORMAL'!$A$2:$B$46,2,0)*(J18+L18)*Q18)+IF(R18=1,0,VLOOKUP($R$1,'TTL NORMAL'!$A$2:$B$46,2,0)*(J18+L18)*R18)+IF(S18=1,0,VLOOKUP($S$1,'TTL NORMAL'!$A$2:$B$46,2,0)*(J18+L18)*S18)+IF(T18=1,0,VLOOKUP($T$1,'TTL NORMAL'!$A$2:$B$46,2,0)*(J18+L18)*T18)+IF(U18=1,0,VLOOKUP($U$1,'TTL NORMAL'!$A$2:$B$46,2,0)*(J18+L18)*U18)+IF(V18=1,0,VLOOKUP($V$1,'TTL NORMAL'!$A$2:$B$46,2,0)*(J18+L18)*V18)+IF(W18=1,0,VLOOKUP($W$1,'TTL NORMAL'!$A$2:$B$46,2,0)*(J18+L18)*W18)+IF(X18=1,0,VLOOKUP($X$1,'TTL NORMAL'!$A$2:$B$46,2,0)*(J18+L18)*X18)+IF(Y18=1,0,VLOOKUP($Y$1,'TTL NORMAL'!$A$2:$B$46,2,0)*(J18+L18)*Y18)+IF(Z18=1,0,VLOOKUP($Z$1,'TTL NORMAL'!$A$2:$B$46,2,0)*(J18+L18)*Z18)+IF(AA18=1,0,VLOOKUP($AA$1,'TTL NORMAL'!$A$2:$B$46,2,0)*(J18+L18)*AA18)+IF(AB18=1,0,VLOOKUP($AB$1,'TTL NORMAL'!$A$2:$B$46,2,0)*(J18+L18)*AB18)+IF(AC18=1,0,VLOOKUP($AC$1,'TTL NORMAL'!$A$2:$B$46,2,0)*(J18+L18)*AC18)+IF(AD18=1,0,VLOOKUP($AD$1,'TTL NORMAL'!$A$2:$B$46,2,0)*(J18+L18)*AD18)+IF(AE18=1,0,VLOOKUP($AE$1,'TTL NORMAL'!$A$2:$B$46,2,0)*(J18+L18)*AE18)+IF(AF18=1,0,VLOOKUP($AF$1,'TTL NORMAL'!$A$2:$B$46,2,0)*(J18+L18)*AF18)+IF(AG18=1,0,VLOOKUP($AG$1,'TTL NORMAL'!$A$2:$B$46,2,0)*(J18+L18)*AG18)+IF(AH18=1,0,VLOOKUP($AH$1,'TTL NORMAL'!$A$2:$B$46,2,0)*(J18+L18)*AH18)+IF(AI18=1,0,VLOOKUP($AI$1,'TTL NORMAL'!$A$2:$B$46,2,0)*(J18+L18)*AI18)+IF(AJ18=1,0,VLOOKUP($AJ$1,'TTL NORMAL'!$A$2:$B$46,2,0)*(J18+L18)*AJ18)+IF(AK18=1,0,VLOOKUP($AK$1,'TTL NORMAL'!$A$2:$B$46,2,0)*(J18+L18)*AK18)+IF(AL18=1,0,VLOOKUP($AL$1,'TTL NORMAL'!$A$2:$B$46,2,0)*(J18+L18)*AL18)+IF(AM18=1,0,VLOOKUP($AM$1,'TTL NORMAL'!$A$2:$B$46,2,0)*(J18+L18)*AM18)+IF(AN18=1,0,VLOOKUP($AN$1,'TTL NORMAL'!$A$2:$B$46,2,0)*(J18+L18)*AN18)+IF(AO18=1,0,VLOOKUP($AO$1,'TTL NORMAL'!$A$2:$B$46,2,0)*(J18+L18)*AO18)+IF(AP18=1,0,VLOOKUP($AP$1,'TTL NORMAL'!$A$2:$B$46,2,0)*(J18+L18)*AP18)+IF(AQ18=1,0,VLOOKUP($AQ$1,'TTL NORMAL'!$A$2:$B$46,2,0)*(J18+L18)*AQ18)+IF(AR18=1,0,VLOOKUP($AR$1,'TTL NORMAL'!$A$2:$B$46,2,0)*(J18+L18)*AR18)+IF(AS18=1,0,VLOOKUP($AS$1,'TTL NORMAL'!$A$2:$B$46,2,0)*(J18+L18)*AS18)+IF(AT18=1,0,VLOOKUP($AT$1,'TTL NORMAL'!$A$2:$B$46,2,0)*(J18+L18)*AT18)+IF(AU18=1,0,VLOOKUP($AU$1,'TTL NORMAL'!$A$2:$B$46,2,0)*(J18+L18)*AU18)+IF(AV18=1,0,VLOOKUP($AV$1,'TTL NORMAL'!$A$2:$B$46,2,0)*(J18+L18)*AV18)+IF(AW18=1,0,VLOOKUP($AW$1,'TTL NORMAL'!$A$2:$B$46,2,0)*(J18+L18)*AW18)+IF(AX18=1,0,VLOOKUP($AX$1,'TTL NORMAL'!$A$2:$B$46,2,0)*(J18+L18)*AX18)+IF(AY18=1,0,VLOOKUP($AY$1,'TTL NORMAL'!$A$2:$B$46,2,0)*(J18+L18)*AY18)+IF(AZ18=1,0,VLOOKUP($AZ$1,'TTL NORMAL'!$A$2:$B$46,2,0)*(J18+L18)*AZ18)+IF(BA18=1,0,VLOOKUP($BA$1,'TTL NORMAL'!$A$2:$B$46,2,0)*(J18+L18)*BA18)+IF(BB18=1,0,VLOOKUP($BB$1,'TTL NORMAL'!$A$2:$B$46,2,0)*(J18+L18)*BB18)+IF(BC18=1,0,VLOOKUP($BC$1,'TTL NORMAL'!$A$2:$B$46,2,0)*(J18+L18)*BC18)+IF(BD18=1,0,VLOOKUP($BD$1,'TTL NORMAL'!$A$2:$B$46,2,0)*(J18+L18)*BD18)+IF(BE18=1,0,VLOOKUP($BE$1,'TTL NORMAL'!$A$2:$B$46,2,0)*(J18+L18)*BE18)+IF(BF18=1,0,VLOOKUP($BF$1,'TTL NORMAL'!$A$2:$B$46,2,0)*(J18+L18)*BF18)+IF(BG18=1,0,VLOOKUP($BG$1,'TTL NORMAL'!$A$2:$B$46,2,0)*(J18+L18)*BG18)+IF(BH18=1,0,VLOOKUP($BH$1,'TTL NORMAL'!$A$2:$B$46,2,0)*(J18+L18)*BH18)</f>
        <v>1544997.98259388</v>
      </c>
      <c r="O18" s="5" t="n">
        <v>4634000</v>
      </c>
      <c r="P18" s="18" t="n">
        <v>1.60302041926325</v>
      </c>
      <c r="Q18" s="17" t="n">
        <v>1.60302041926325</v>
      </c>
      <c r="R18" s="17" t="n">
        <v>1.30151020963162</v>
      </c>
      <c r="S18" s="17" t="n">
        <v>1.30151020963162</v>
      </c>
      <c r="T18" s="17" t="n">
        <v>1.60302041926325</v>
      </c>
      <c r="U18" s="17" t="n">
        <v>1</v>
      </c>
      <c r="V18" s="17" t="n">
        <v>1</v>
      </c>
      <c r="W18" s="17" t="n">
        <v>1</v>
      </c>
      <c r="X18" s="17" t="n">
        <v>1</v>
      </c>
      <c r="Y18" s="17" t="n">
        <v>1</v>
      </c>
      <c r="Z18" s="17" t="n">
        <v>1</v>
      </c>
      <c r="AA18" s="17" t="n">
        <v>1</v>
      </c>
      <c r="AB18" s="17" t="n">
        <v>1</v>
      </c>
      <c r="AC18" s="17" t="n">
        <v>1</v>
      </c>
      <c r="AD18" s="17" t="n">
        <v>1</v>
      </c>
      <c r="AE18" s="17" t="n">
        <v>1</v>
      </c>
      <c r="AF18" s="17" t="n">
        <v>1</v>
      </c>
      <c r="AG18" s="17" t="n">
        <v>1</v>
      </c>
      <c r="AH18" s="17" t="n">
        <v>1</v>
      </c>
      <c r="AI18" s="17" t="n">
        <v>1</v>
      </c>
      <c r="AJ18" s="17" t="n">
        <v>1.30151020963162</v>
      </c>
      <c r="AK18" s="17" t="n">
        <v>1</v>
      </c>
      <c r="AL18" s="17" t="n">
        <v>1</v>
      </c>
      <c r="AM18" s="17" t="n">
        <v>1</v>
      </c>
      <c r="AN18" s="17" t="n">
        <v>1</v>
      </c>
      <c r="AO18" s="17" t="n">
        <v>1</v>
      </c>
      <c r="AP18" s="17" t="n">
        <v>1</v>
      </c>
      <c r="AQ18" s="17" t="n">
        <v>1</v>
      </c>
      <c r="AR18" s="17" t="n">
        <v>1</v>
      </c>
      <c r="AS18" s="17" t="n">
        <v>1.30151020963162</v>
      </c>
      <c r="AT18" s="17" t="n">
        <v>1</v>
      </c>
      <c r="AU18" s="17" t="n">
        <v>1</v>
      </c>
      <c r="AV18" s="17" t="n">
        <v>1</v>
      </c>
      <c r="AW18" s="17" t="n">
        <v>1</v>
      </c>
      <c r="AX18" s="17" t="n">
        <v>1</v>
      </c>
      <c r="AY18" s="17" t="n">
        <v>1</v>
      </c>
      <c r="AZ18" s="17" t="n">
        <v>1</v>
      </c>
      <c r="BA18" s="17" t="n">
        <v>1</v>
      </c>
      <c r="BB18" s="17" t="n">
        <v>1</v>
      </c>
      <c r="BC18" s="17" t="n">
        <v>1</v>
      </c>
      <c r="BD18" s="17" t="n">
        <v>1</v>
      </c>
      <c r="BE18" s="17" t="n">
        <v>1.60302041926325</v>
      </c>
      <c r="BF18" s="17" t="n">
        <v>1.30151020963162</v>
      </c>
      <c r="BG18" s="17" t="n">
        <v>1</v>
      </c>
      <c r="BH18" s="17" t="n">
        <v>1.30151020963162</v>
      </c>
      <c r="BI18" s="17"/>
      <c r="BJ18" s="17"/>
    </row>
    <row r="19" customFormat="false" ht="15" hidden="false" customHeight="false" outlineLevel="0" collapsed="false">
      <c r="A19" s="2" t="n">
        <v>5</v>
      </c>
      <c r="B19" s="11" t="s">
        <v>56</v>
      </c>
      <c r="C19" s="0" t="n">
        <v>2</v>
      </c>
      <c r="D19" s="0" t="s">
        <v>115</v>
      </c>
      <c r="E19" s="12" t="str">
        <f aca="false">CONCATENATE("Als onderdeel van het programma 'Netwerk op zijn Best' omvat dit groot onderhoudsproject op de ",B19," een verbetermaatregel aan de binnenring door het plaatsen van fly-overs op de knooppunten tussen ",B19," grenzend aan de M5 en de M1.")</f>
        <v>Als onderdeel van het programma 'Netwerk op zijn Best' omvat dit groot onderhoudsproject op de B1-E een verbetermaatregel aan de binnenring door het plaatsen van fly-overs op de knooppunten tussen B1-E grenzend aan de M5 en de M1.</v>
      </c>
      <c r="F19" s="13" t="s">
        <v>116</v>
      </c>
      <c r="G19" s="1" t="s">
        <v>114</v>
      </c>
      <c r="H19" s="1" t="n">
        <v>12000</v>
      </c>
      <c r="I19" s="14" t="n">
        <v>2026500</v>
      </c>
      <c r="J19" s="1" t="n">
        <v>9</v>
      </c>
      <c r="K19" s="15" t="n">
        <f aca="false">1/3</f>
        <v>0.333333333333333</v>
      </c>
      <c r="L19" s="1" t="n">
        <v>4</v>
      </c>
      <c r="M19" s="10" t="n">
        <f aca="false">O19-I19</f>
        <v>2607500</v>
      </c>
      <c r="N19" s="10" t="n">
        <f aca="false">IF(P19=1,0,VLOOKUP($P$1,'TTL NORMAL'!$A$2:$B$46,2,0)*(J19+L19)*P19)+IF(Q19=1,0,VLOOKUP($Q$1,'TTL NORMAL'!$A$2:$B$46,2,0)*(J19+L19)*Q19)+IF(R19=1,0,VLOOKUP($R$1,'TTL NORMAL'!$A$2:$B$46,2,0)*(J19+L19)*R19)+IF(S19=1,0,VLOOKUP($S$1,'TTL NORMAL'!$A$2:$B$46,2,0)*(J19+L19)*S19)+IF(T19=1,0,VLOOKUP($T$1,'TTL NORMAL'!$A$2:$B$46,2,0)*(J19+L19)*T19)+IF(U19=1,0,VLOOKUP($U$1,'TTL NORMAL'!$A$2:$B$46,2,0)*(J19+L19)*U19)+IF(V19=1,0,VLOOKUP($V$1,'TTL NORMAL'!$A$2:$B$46,2,0)*(J19+L19)*V19)+IF(W19=1,0,VLOOKUP($W$1,'TTL NORMAL'!$A$2:$B$46,2,0)*(J19+L19)*W19)+IF(X19=1,0,VLOOKUP($X$1,'TTL NORMAL'!$A$2:$B$46,2,0)*(J19+L19)*X19)+IF(Y19=1,0,VLOOKUP($Y$1,'TTL NORMAL'!$A$2:$B$46,2,0)*(J19+L19)*Y19)+IF(Z19=1,0,VLOOKUP($Z$1,'TTL NORMAL'!$A$2:$B$46,2,0)*(J19+L19)*Z19)+IF(AA19=1,0,VLOOKUP($AA$1,'TTL NORMAL'!$A$2:$B$46,2,0)*(J19+L19)*AA19)+IF(AB19=1,0,VLOOKUP($AB$1,'TTL NORMAL'!$A$2:$B$46,2,0)*(J19+L19)*AB19)+IF(AC19=1,0,VLOOKUP($AC$1,'TTL NORMAL'!$A$2:$B$46,2,0)*(J19+L19)*AC19)+IF(AD19=1,0,VLOOKUP($AD$1,'TTL NORMAL'!$A$2:$B$46,2,0)*(J19+L19)*AD19)+IF(AE19=1,0,VLOOKUP($AE$1,'TTL NORMAL'!$A$2:$B$46,2,0)*(J19+L19)*AE19)+IF(AF19=1,0,VLOOKUP($AF$1,'TTL NORMAL'!$A$2:$B$46,2,0)*(J19+L19)*AF19)+IF(AG19=1,0,VLOOKUP($AG$1,'TTL NORMAL'!$A$2:$B$46,2,0)*(J19+L19)*AG19)+IF(AH19=1,0,VLOOKUP($AH$1,'TTL NORMAL'!$A$2:$B$46,2,0)*(J19+L19)*AH19)+IF(AI19=1,0,VLOOKUP($AI$1,'TTL NORMAL'!$A$2:$B$46,2,0)*(J19+L19)*AI19)+IF(AJ19=1,0,VLOOKUP($AJ$1,'TTL NORMAL'!$A$2:$B$46,2,0)*(J19+L19)*AJ19)+IF(AK19=1,0,VLOOKUP($AK$1,'TTL NORMAL'!$A$2:$B$46,2,0)*(J19+L19)*AK19)+IF(AL19=1,0,VLOOKUP($AL$1,'TTL NORMAL'!$A$2:$B$46,2,0)*(J19+L19)*AL19)+IF(AM19=1,0,VLOOKUP($AM$1,'TTL NORMAL'!$A$2:$B$46,2,0)*(J19+L19)*AM19)+IF(AN19=1,0,VLOOKUP($AN$1,'TTL NORMAL'!$A$2:$B$46,2,0)*(J19+L19)*AN19)+IF(AO19=1,0,VLOOKUP($AO$1,'TTL NORMAL'!$A$2:$B$46,2,0)*(J19+L19)*AO19)+IF(AP19=1,0,VLOOKUP($AP$1,'TTL NORMAL'!$A$2:$B$46,2,0)*(J19+L19)*AP19)+IF(AQ19=1,0,VLOOKUP($AQ$1,'TTL NORMAL'!$A$2:$B$46,2,0)*(J19+L19)*AQ19)+IF(AR19=1,0,VLOOKUP($AR$1,'TTL NORMAL'!$A$2:$B$46,2,0)*(J19+L19)*AR19)+IF(AS19=1,0,VLOOKUP($AS$1,'TTL NORMAL'!$A$2:$B$46,2,0)*(J19+L19)*AS19)+IF(AT19=1,0,VLOOKUP($AT$1,'TTL NORMAL'!$A$2:$B$46,2,0)*(J19+L19)*AT19)+IF(AU19=1,0,VLOOKUP($AU$1,'TTL NORMAL'!$A$2:$B$46,2,0)*(J19+L19)*AU19)+IF(AV19=1,0,VLOOKUP($AV$1,'TTL NORMAL'!$A$2:$B$46,2,0)*(J19+L19)*AV19)+IF(AW19=1,0,VLOOKUP($AW$1,'TTL NORMAL'!$A$2:$B$46,2,0)*(J19+L19)*AW19)+IF(AX19=1,0,VLOOKUP($AX$1,'TTL NORMAL'!$A$2:$B$46,2,0)*(J19+L19)*AX19)+IF(AY19=1,0,VLOOKUP($AY$1,'TTL NORMAL'!$A$2:$B$46,2,0)*(J19+L19)*AY19)+IF(AZ19=1,0,VLOOKUP($AZ$1,'TTL NORMAL'!$A$2:$B$46,2,0)*(J19+L19)*AZ19)+IF(BA19=1,0,VLOOKUP($BA$1,'TTL NORMAL'!$A$2:$B$46,2,0)*(J19+L19)*BA19)+IF(BB19=1,0,VLOOKUP($BB$1,'TTL NORMAL'!$A$2:$B$46,2,0)*(J19+L19)*BB19)+IF(BC19=1,0,VLOOKUP($BC$1,'TTL NORMAL'!$A$2:$B$46,2,0)*(J19+L19)*BC19)+IF(BD19=1,0,VLOOKUP($BD$1,'TTL NORMAL'!$A$2:$B$46,2,0)*(J19+L19)*BD19)+IF(BE19=1,0,VLOOKUP($BE$1,'TTL NORMAL'!$A$2:$B$46,2,0)*(J19+L19)*BE19)+IF(BF19=1,0,VLOOKUP($BF$1,'TTL NORMAL'!$A$2:$B$46,2,0)*(J19+L19)*BF19)+IF(BG19=1,0,VLOOKUP($BG$1,'TTL NORMAL'!$A$2:$B$46,2,0)*(J19+L19)*BG19)+IF(BH19=1,0,VLOOKUP($BH$1,'TTL NORMAL'!$A$2:$B$46,2,0)*(J19+L19)*BH19)</f>
        <v>2009517.26073208</v>
      </c>
      <c r="O19" s="5" t="n">
        <v>4634000</v>
      </c>
      <c r="P19" s="18" t="n">
        <v>1.90453062889488</v>
      </c>
      <c r="Q19" s="17" t="n">
        <v>1.90453062889488</v>
      </c>
      <c r="R19" s="17" t="n">
        <v>1.45226531444744</v>
      </c>
      <c r="S19" s="17" t="n">
        <v>1.45226531444744</v>
      </c>
      <c r="T19" s="17" t="n">
        <v>1.90453062889488</v>
      </c>
      <c r="U19" s="17" t="n">
        <v>1.90453062889488</v>
      </c>
      <c r="V19" s="17" t="n">
        <v>1</v>
      </c>
      <c r="W19" s="17" t="n">
        <v>1</v>
      </c>
      <c r="X19" s="17" t="n">
        <v>1</v>
      </c>
      <c r="Y19" s="17" t="n">
        <v>1</v>
      </c>
      <c r="Z19" s="17" t="n">
        <v>1</v>
      </c>
      <c r="AA19" s="17" t="n">
        <v>1</v>
      </c>
      <c r="AB19" s="17" t="n">
        <v>1</v>
      </c>
      <c r="AC19" s="17" t="n">
        <v>1</v>
      </c>
      <c r="AD19" s="17" t="n">
        <v>1</v>
      </c>
      <c r="AE19" s="17" t="n">
        <v>1</v>
      </c>
      <c r="AF19" s="17" t="n">
        <v>1</v>
      </c>
      <c r="AG19" s="17" t="n">
        <v>1</v>
      </c>
      <c r="AH19" s="17" t="n">
        <v>1</v>
      </c>
      <c r="AI19" s="17" t="n">
        <v>1</v>
      </c>
      <c r="AJ19" s="17" t="n">
        <v>1.45226531444744</v>
      </c>
      <c r="AK19" s="17" t="n">
        <v>1</v>
      </c>
      <c r="AL19" s="17" t="n">
        <v>1</v>
      </c>
      <c r="AM19" s="17" t="n">
        <v>1</v>
      </c>
      <c r="AN19" s="17" t="n">
        <v>1</v>
      </c>
      <c r="AO19" s="17" t="n">
        <v>1</v>
      </c>
      <c r="AP19" s="17" t="n">
        <v>1</v>
      </c>
      <c r="AQ19" s="17" t="n">
        <v>1</v>
      </c>
      <c r="AR19" s="17" t="n">
        <v>1</v>
      </c>
      <c r="AS19" s="17" t="n">
        <v>1.45226531444744</v>
      </c>
      <c r="AT19" s="17" t="n">
        <v>1</v>
      </c>
      <c r="AU19" s="17" t="n">
        <v>1</v>
      </c>
      <c r="AV19" s="17" t="n">
        <v>1</v>
      </c>
      <c r="AW19" s="17" t="n">
        <v>1</v>
      </c>
      <c r="AX19" s="17" t="n">
        <v>1</v>
      </c>
      <c r="AY19" s="17" t="n">
        <v>1</v>
      </c>
      <c r="AZ19" s="17" t="n">
        <v>1</v>
      </c>
      <c r="BA19" s="17" t="n">
        <v>1</v>
      </c>
      <c r="BB19" s="17" t="n">
        <v>1</v>
      </c>
      <c r="BC19" s="17" t="n">
        <v>1</v>
      </c>
      <c r="BD19" s="17" t="n">
        <v>1</v>
      </c>
      <c r="BE19" s="17" t="n">
        <v>1.90453062889488</v>
      </c>
      <c r="BF19" s="17" t="n">
        <v>1.45226531444744</v>
      </c>
      <c r="BG19" s="17" t="n">
        <v>1</v>
      </c>
      <c r="BH19" s="17" t="n">
        <v>1.45226531444744</v>
      </c>
      <c r="BI19" s="17"/>
      <c r="BJ19" s="17"/>
    </row>
    <row r="20" customFormat="false" ht="15" hidden="false" customHeight="false" outlineLevel="0" collapsed="false">
      <c r="A20" s="2" t="n">
        <v>5</v>
      </c>
      <c r="B20" s="11" t="s">
        <v>56</v>
      </c>
      <c r="C20" s="0" t="n">
        <v>3</v>
      </c>
      <c r="D20" s="0" t="s">
        <v>117</v>
      </c>
      <c r="E20" s="12" t="str">
        <f aca="false">CONCATENATE("Als onderdeel van het programma 'Netwerk op zijn Best' omvat dit groot onderhoudsproject op de ",B20," een verbetermaatregel aan de binnenring door het plaatsen van fly-overs op de knooppunten tussen ",B20," grenzend aan de M5 en de M1.")</f>
        <v>Als onderdeel van het programma 'Netwerk op zijn Best' omvat dit groot onderhoudsproject op de B1-E een verbetermaatregel aan de binnenring door het plaatsen van fly-overs op de knooppunten tussen B1-E grenzend aan de M5 en de M1.</v>
      </c>
      <c r="F20" s="13" t="s">
        <v>118</v>
      </c>
      <c r="G20" s="1" t="s">
        <v>114</v>
      </c>
      <c r="H20" s="1" t="n">
        <v>10000</v>
      </c>
      <c r="I20" s="14" t="n">
        <v>3184500</v>
      </c>
      <c r="J20" s="1" t="n">
        <v>9</v>
      </c>
      <c r="K20" s="15" t="n">
        <f aca="false">1/3</f>
        <v>0.333333333333333</v>
      </c>
      <c r="L20" s="1" t="n">
        <v>0</v>
      </c>
      <c r="M20" s="10" t="n">
        <f aca="false">O20-I20</f>
        <v>1449500</v>
      </c>
      <c r="N20" s="10" t="n">
        <f aca="false">IF(P20=1,0,VLOOKUP($P$1,'TTL NORMAL'!$A$2:$B$46,2,0)*(J20+L20)*P20)+IF(Q20=1,0,VLOOKUP($Q$1,'TTL NORMAL'!$A$2:$B$46,2,0)*(J20+L20)*Q20)+IF(R20=1,0,VLOOKUP($R$1,'TTL NORMAL'!$A$2:$B$46,2,0)*(J20+L20)*R20)+IF(S20=1,0,VLOOKUP($S$1,'TTL NORMAL'!$A$2:$B$46,2,0)*(J20+L20)*S20)+IF(T20=1,0,VLOOKUP($T$1,'TTL NORMAL'!$A$2:$B$46,2,0)*(J20+L20)*T20)+IF(U20=1,0,VLOOKUP($U$1,'TTL NORMAL'!$A$2:$B$46,2,0)*(J20+L20)*U20)+IF(V20=1,0,VLOOKUP($V$1,'TTL NORMAL'!$A$2:$B$46,2,0)*(J20+L20)*V20)+IF(W20=1,0,VLOOKUP($W$1,'TTL NORMAL'!$A$2:$B$46,2,0)*(J20+L20)*W20)+IF(X20=1,0,VLOOKUP($X$1,'TTL NORMAL'!$A$2:$B$46,2,0)*(J20+L20)*X20)+IF(Y20=1,0,VLOOKUP($Y$1,'TTL NORMAL'!$A$2:$B$46,2,0)*(J20+L20)*Y20)+IF(Z20=1,0,VLOOKUP($Z$1,'TTL NORMAL'!$A$2:$B$46,2,0)*(J20+L20)*Z20)+IF(AA20=1,0,VLOOKUP($AA$1,'TTL NORMAL'!$A$2:$B$46,2,0)*(J20+L20)*AA20)+IF(AB20=1,0,VLOOKUP($AB$1,'TTL NORMAL'!$A$2:$B$46,2,0)*(J20+L20)*AB20)+IF(AC20=1,0,VLOOKUP($AC$1,'TTL NORMAL'!$A$2:$B$46,2,0)*(J20+L20)*AC20)+IF(AD20=1,0,VLOOKUP($AD$1,'TTL NORMAL'!$A$2:$B$46,2,0)*(J20+L20)*AD20)+IF(AE20=1,0,VLOOKUP($AE$1,'TTL NORMAL'!$A$2:$B$46,2,0)*(J20+L20)*AE20)+IF(AF20=1,0,VLOOKUP($AF$1,'TTL NORMAL'!$A$2:$B$46,2,0)*(J20+L20)*AF20)+IF(AG20=1,0,VLOOKUP($AG$1,'TTL NORMAL'!$A$2:$B$46,2,0)*(J20+L20)*AG20)+IF(AH20=1,0,VLOOKUP($AH$1,'TTL NORMAL'!$A$2:$B$46,2,0)*(J20+L20)*AH20)+IF(AI20=1,0,VLOOKUP($AI$1,'TTL NORMAL'!$A$2:$B$46,2,0)*(J20+L20)*AI20)+IF(AJ20=1,0,VLOOKUP($AJ$1,'TTL NORMAL'!$A$2:$B$46,2,0)*(J20+L20)*AJ20)+IF(AK20=1,0,VLOOKUP($AK$1,'TTL NORMAL'!$A$2:$B$46,2,0)*(J20+L20)*AK20)+IF(AL20=1,0,VLOOKUP($AL$1,'TTL NORMAL'!$A$2:$B$46,2,0)*(J20+L20)*AL20)+IF(AM20=1,0,VLOOKUP($AM$1,'TTL NORMAL'!$A$2:$B$46,2,0)*(J20+L20)*AM20)+IF(AN20=1,0,VLOOKUP($AN$1,'TTL NORMAL'!$A$2:$B$46,2,0)*(J20+L20)*AN20)+IF(AO20=1,0,VLOOKUP($AO$1,'TTL NORMAL'!$A$2:$B$46,2,0)*(J20+L20)*AO20)+IF(AP20=1,0,VLOOKUP($AP$1,'TTL NORMAL'!$A$2:$B$46,2,0)*(J20+L20)*AP20)+IF(AQ20=1,0,VLOOKUP($AQ$1,'TTL NORMAL'!$A$2:$B$46,2,0)*(J20+L20)*AQ20)+IF(AR20=1,0,VLOOKUP($AR$1,'TTL NORMAL'!$A$2:$B$46,2,0)*(J20+L20)*AR20)+IF(AS20=1,0,VLOOKUP($AS$1,'TTL NORMAL'!$A$2:$B$46,2,0)*(J20+L20)*AS20)+IF(AT20=1,0,VLOOKUP($AT$1,'TTL NORMAL'!$A$2:$B$46,2,0)*(J20+L20)*AT20)+IF(AU20=1,0,VLOOKUP($AU$1,'TTL NORMAL'!$A$2:$B$46,2,0)*(J20+L20)*AU20)+IF(AV20=1,0,VLOOKUP($AV$1,'TTL NORMAL'!$A$2:$B$46,2,0)*(J20+L20)*AV20)+IF(AW20=1,0,VLOOKUP($AW$1,'TTL NORMAL'!$A$2:$B$46,2,0)*(J20+L20)*AW20)+IF(AX20=1,0,VLOOKUP($AX$1,'TTL NORMAL'!$A$2:$B$46,2,0)*(J20+L20)*AX20)+IF(AY20=1,0,VLOOKUP($AY$1,'TTL NORMAL'!$A$2:$B$46,2,0)*(J20+L20)*AY20)+IF(AZ20=1,0,VLOOKUP($AZ$1,'TTL NORMAL'!$A$2:$B$46,2,0)*(J20+L20)*AZ20)+IF(BA20=1,0,VLOOKUP($BA$1,'TTL NORMAL'!$A$2:$B$46,2,0)*(J20+L20)*BA20)+IF(BB20=1,0,VLOOKUP($BB$1,'TTL NORMAL'!$A$2:$B$46,2,0)*(J20+L20)*BB20)+IF(BC20=1,0,VLOOKUP($BC$1,'TTL NORMAL'!$A$2:$B$46,2,0)*(J20+L20)*BC20)+IF(BD20=1,0,VLOOKUP($BD$1,'TTL NORMAL'!$A$2:$B$46,2,0)*(J20+L20)*BD20)+IF(BE20=1,0,VLOOKUP($BE$1,'TTL NORMAL'!$A$2:$B$46,2,0)*(J20+L20)*BE20)+IF(BF20=1,0,VLOOKUP($BF$1,'TTL NORMAL'!$A$2:$B$46,2,0)*(J20+L20)*BF20)+IF(BG20=1,0,VLOOKUP($BG$1,'TTL NORMAL'!$A$2:$B$46,2,0)*(J20+L20)*BG20)+IF(BH20=1,0,VLOOKUP($BH$1,'TTL NORMAL'!$A$2:$B$46,2,0)*(J20+L20)*BH20)</f>
        <v>1288717.47072493</v>
      </c>
      <c r="O20" s="5" t="n">
        <v>4634000</v>
      </c>
      <c r="P20" s="18" t="n">
        <v>1.75377552407906</v>
      </c>
      <c r="Q20" s="17" t="n">
        <v>1.75377552407906</v>
      </c>
      <c r="R20" s="17" t="n">
        <v>1.37688776203953</v>
      </c>
      <c r="S20" s="17" t="n">
        <v>1.37688776203953</v>
      </c>
      <c r="T20" s="17" t="n">
        <v>1.75377552407906</v>
      </c>
      <c r="U20" s="17" t="n">
        <v>1.37688776203953</v>
      </c>
      <c r="V20" s="17" t="n">
        <v>1</v>
      </c>
      <c r="W20" s="17" t="n">
        <v>1</v>
      </c>
      <c r="X20" s="17" t="n">
        <v>1</v>
      </c>
      <c r="Y20" s="17" t="n">
        <v>1</v>
      </c>
      <c r="Z20" s="17" t="n">
        <v>1</v>
      </c>
      <c r="AA20" s="17" t="n">
        <v>1</v>
      </c>
      <c r="AB20" s="17" t="n">
        <v>1</v>
      </c>
      <c r="AC20" s="17" t="n">
        <v>1</v>
      </c>
      <c r="AD20" s="17" t="n">
        <v>1</v>
      </c>
      <c r="AE20" s="17" t="n">
        <v>1</v>
      </c>
      <c r="AF20" s="17" t="n">
        <v>1</v>
      </c>
      <c r="AG20" s="17" t="n">
        <v>1</v>
      </c>
      <c r="AH20" s="17" t="n">
        <v>1</v>
      </c>
      <c r="AI20" s="17" t="n">
        <v>1</v>
      </c>
      <c r="AJ20" s="17" t="n">
        <v>1.37688776203953</v>
      </c>
      <c r="AK20" s="17" t="n">
        <v>1</v>
      </c>
      <c r="AL20" s="17" t="n">
        <v>1</v>
      </c>
      <c r="AM20" s="17" t="n">
        <v>1</v>
      </c>
      <c r="AN20" s="17" t="n">
        <v>1</v>
      </c>
      <c r="AO20" s="17" t="n">
        <v>1</v>
      </c>
      <c r="AP20" s="17" t="n">
        <v>1</v>
      </c>
      <c r="AQ20" s="17" t="n">
        <v>1</v>
      </c>
      <c r="AR20" s="17" t="n">
        <v>1</v>
      </c>
      <c r="AS20" s="17" t="n">
        <v>1.37688776203953</v>
      </c>
      <c r="AT20" s="17" t="n">
        <v>1</v>
      </c>
      <c r="AU20" s="17" t="n">
        <v>1</v>
      </c>
      <c r="AV20" s="17" t="n">
        <v>1</v>
      </c>
      <c r="AW20" s="17" t="n">
        <v>1</v>
      </c>
      <c r="AX20" s="17" t="n">
        <v>1</v>
      </c>
      <c r="AY20" s="17" t="n">
        <v>1</v>
      </c>
      <c r="AZ20" s="17" t="n">
        <v>1</v>
      </c>
      <c r="BA20" s="17" t="n">
        <v>1</v>
      </c>
      <c r="BB20" s="17" t="n">
        <v>1</v>
      </c>
      <c r="BC20" s="17" t="n">
        <v>1</v>
      </c>
      <c r="BD20" s="17" t="n">
        <v>1</v>
      </c>
      <c r="BE20" s="17" t="n">
        <v>1.75377552407906</v>
      </c>
      <c r="BF20" s="17" t="n">
        <v>1.37688776203953</v>
      </c>
      <c r="BG20" s="17" t="n">
        <v>1</v>
      </c>
      <c r="BH20" s="17" t="n">
        <v>1.37688776203953</v>
      </c>
      <c r="BI20" s="17"/>
      <c r="BJ20" s="17"/>
    </row>
    <row r="21" customFormat="false" ht="15" hidden="false" customHeight="false" outlineLevel="0" collapsed="false">
      <c r="A21" s="2" t="n">
        <v>5</v>
      </c>
      <c r="B21" s="11" t="s">
        <v>56</v>
      </c>
      <c r="C21" s="0" t="n">
        <v>4</v>
      </c>
      <c r="D21" s="0" t="s">
        <v>119</v>
      </c>
      <c r="E21" s="12" t="str">
        <f aca="false">CONCATENATE("Als onderdeel van het programma 'Netwerk op zijn Best' omvat dit groot onderhoudsproject op de ",B21," een verbetermaatregel aan de binnenring door het plaatsen van fly-overs op de knooppunten tussen ",B21," grenzend aan de M5 en de M1.")</f>
        <v>Als onderdeel van het programma 'Netwerk op zijn Best' omvat dit groot onderhoudsproject op de B1-E een verbetermaatregel aan de binnenring door het plaatsen van fly-overs op de knooppunten tussen B1-E grenzend aan de M5 en de M1.</v>
      </c>
      <c r="F21" s="13" t="s">
        <v>120</v>
      </c>
      <c r="G21" s="1" t="s">
        <v>114</v>
      </c>
      <c r="H21" s="1" t="n">
        <v>12000</v>
      </c>
      <c r="I21" s="14" t="n">
        <v>2895000</v>
      </c>
      <c r="J21" s="1" t="n">
        <v>6.3</v>
      </c>
      <c r="K21" s="15" t="n">
        <f aca="false">1/3</f>
        <v>0.333333333333333</v>
      </c>
      <c r="L21" s="1" t="n">
        <v>2</v>
      </c>
      <c r="M21" s="10" t="n">
        <f aca="false">O21-I21</f>
        <v>1739000</v>
      </c>
      <c r="N21" s="10" t="n">
        <f aca="false">IF(P21=1,0,VLOOKUP($P$1,'TTL NORMAL'!$A$2:$B$46,2,0)*(J21+L21)*P21)+IF(Q21=1,0,VLOOKUP($Q$1,'TTL NORMAL'!$A$2:$B$46,2,0)*(J21+L21)*Q21)+IF(R21=1,0,VLOOKUP($R$1,'TTL NORMAL'!$A$2:$B$46,2,0)*(J21+L21)*R21)+IF(S21=1,0,VLOOKUP($S$1,'TTL NORMAL'!$A$2:$B$46,2,0)*(J21+L21)*S21)+IF(T21=1,0,VLOOKUP($T$1,'TTL NORMAL'!$A$2:$B$46,2,0)*(J21+L21)*T21)+IF(U21=1,0,VLOOKUP($U$1,'TTL NORMAL'!$A$2:$B$46,2,0)*(J21+L21)*U21)+IF(V21=1,0,VLOOKUP($V$1,'TTL NORMAL'!$A$2:$B$46,2,0)*(J21+L21)*V21)+IF(W21=1,0,VLOOKUP($W$1,'TTL NORMAL'!$A$2:$B$46,2,0)*(J21+L21)*W21)+IF(X21=1,0,VLOOKUP($X$1,'TTL NORMAL'!$A$2:$B$46,2,0)*(J21+L21)*X21)+IF(Y21=1,0,VLOOKUP($Y$1,'TTL NORMAL'!$A$2:$B$46,2,0)*(J21+L21)*Y21)+IF(Z21=1,0,VLOOKUP($Z$1,'TTL NORMAL'!$A$2:$B$46,2,0)*(J21+L21)*Z21)+IF(AA21=1,0,VLOOKUP($AA$1,'TTL NORMAL'!$A$2:$B$46,2,0)*(J21+L21)*AA21)+IF(AB21=1,0,VLOOKUP($AB$1,'TTL NORMAL'!$A$2:$B$46,2,0)*(J21+L21)*AB21)+IF(AC21=1,0,VLOOKUP($AC$1,'TTL NORMAL'!$A$2:$B$46,2,0)*(J21+L21)*AC21)+IF(AD21=1,0,VLOOKUP($AD$1,'TTL NORMAL'!$A$2:$B$46,2,0)*(J21+L21)*AD21)+IF(AE21=1,0,VLOOKUP($AE$1,'TTL NORMAL'!$A$2:$B$46,2,0)*(J21+L21)*AE21)+IF(AF21=1,0,VLOOKUP($AF$1,'TTL NORMAL'!$A$2:$B$46,2,0)*(J21+L21)*AF21)+IF(AG21=1,0,VLOOKUP($AG$1,'TTL NORMAL'!$A$2:$B$46,2,0)*(J21+L21)*AG21)+IF(AH21=1,0,VLOOKUP($AH$1,'TTL NORMAL'!$A$2:$B$46,2,0)*(J21+L21)*AH21)+IF(AI21=1,0,VLOOKUP($AI$1,'TTL NORMAL'!$A$2:$B$46,2,0)*(J21+L21)*AI21)+IF(AJ21=1,0,VLOOKUP($AJ$1,'TTL NORMAL'!$A$2:$B$46,2,0)*(J21+L21)*AJ21)+IF(AK21=1,0,VLOOKUP($AK$1,'TTL NORMAL'!$A$2:$B$46,2,0)*(J21+L21)*AK21)+IF(AL21=1,0,VLOOKUP($AL$1,'TTL NORMAL'!$A$2:$B$46,2,0)*(J21+L21)*AL21)+IF(AM21=1,0,VLOOKUP($AM$1,'TTL NORMAL'!$A$2:$B$46,2,0)*(J21+L21)*AM21)+IF(AN21=1,0,VLOOKUP($AN$1,'TTL NORMAL'!$A$2:$B$46,2,0)*(J21+L21)*AN21)+IF(AO21=1,0,VLOOKUP($AO$1,'TTL NORMAL'!$A$2:$B$46,2,0)*(J21+L21)*AO21)+IF(AP21=1,0,VLOOKUP($AP$1,'TTL NORMAL'!$A$2:$B$46,2,0)*(J21+L21)*AP21)+IF(AQ21=1,0,VLOOKUP($AQ$1,'TTL NORMAL'!$A$2:$B$46,2,0)*(J21+L21)*AQ21)+IF(AR21=1,0,VLOOKUP($AR$1,'TTL NORMAL'!$A$2:$B$46,2,0)*(J21+L21)*AR21)+IF(AS21=1,0,VLOOKUP($AS$1,'TTL NORMAL'!$A$2:$B$46,2,0)*(J21+L21)*AS21)+IF(AT21=1,0,VLOOKUP($AT$1,'TTL NORMAL'!$A$2:$B$46,2,0)*(J21+L21)*AT21)+IF(AU21=1,0,VLOOKUP($AU$1,'TTL NORMAL'!$A$2:$B$46,2,0)*(J21+L21)*AU21)+IF(AV21=1,0,VLOOKUP($AV$1,'TTL NORMAL'!$A$2:$B$46,2,0)*(J21+L21)*AV21)+IF(AW21=1,0,VLOOKUP($AW$1,'TTL NORMAL'!$A$2:$B$46,2,0)*(J21+L21)*AW21)+IF(AX21=1,0,VLOOKUP($AX$1,'TTL NORMAL'!$A$2:$B$46,2,0)*(J21+L21)*AX21)+IF(AY21=1,0,VLOOKUP($AY$1,'TTL NORMAL'!$A$2:$B$46,2,0)*(J21+L21)*AY21)+IF(AZ21=1,0,VLOOKUP($AZ$1,'TTL NORMAL'!$A$2:$B$46,2,0)*(J21+L21)*AZ21)+IF(BA21=1,0,VLOOKUP($BA$1,'TTL NORMAL'!$A$2:$B$46,2,0)*(J21+L21)*BA21)+IF(BB21=1,0,VLOOKUP($BB$1,'TTL NORMAL'!$A$2:$B$46,2,0)*(J21+L21)*BB21)+IF(BC21=1,0,VLOOKUP($BC$1,'TTL NORMAL'!$A$2:$B$46,2,0)*(J21+L21)*BC21)+IF(BD21=1,0,VLOOKUP($BD$1,'TTL NORMAL'!$A$2:$B$46,2,0)*(J21+L21)*BD21)+IF(BE21=1,0,VLOOKUP($BE$1,'TTL NORMAL'!$A$2:$B$46,2,0)*(J21+L21)*BE21)+IF(BF21=1,0,VLOOKUP($BF$1,'TTL NORMAL'!$A$2:$B$46,2,0)*(J21+L21)*BF21)+IF(BG21=1,0,VLOOKUP($BG$1,'TTL NORMAL'!$A$2:$B$46,2,0)*(J21+L21)*BG21)+IF(BH21=1,0,VLOOKUP($BH$1,'TTL NORMAL'!$A$2:$B$46,2,0)*(J21+L21)*BH21)</f>
        <v>1282999.48185202</v>
      </c>
      <c r="O21" s="5" t="n">
        <v>4634000</v>
      </c>
      <c r="P21" s="18" t="n">
        <v>1.90453062889488</v>
      </c>
      <c r="Q21" s="17" t="n">
        <v>1.90453062889488</v>
      </c>
      <c r="R21" s="17" t="n">
        <v>1.45226531444744</v>
      </c>
      <c r="S21" s="17" t="n">
        <v>1.45226531444744</v>
      </c>
      <c r="T21" s="17" t="n">
        <v>1.90453062889488</v>
      </c>
      <c r="U21" s="17" t="n">
        <v>1.90453062889488</v>
      </c>
      <c r="V21" s="17" t="n">
        <v>1</v>
      </c>
      <c r="W21" s="17" t="n">
        <v>1</v>
      </c>
      <c r="X21" s="17" t="n">
        <v>1</v>
      </c>
      <c r="Y21" s="17" t="n">
        <v>1</v>
      </c>
      <c r="Z21" s="17" t="n">
        <v>1</v>
      </c>
      <c r="AA21" s="17" t="n">
        <v>1</v>
      </c>
      <c r="AB21" s="17" t="n">
        <v>1</v>
      </c>
      <c r="AC21" s="17" t="n">
        <v>1</v>
      </c>
      <c r="AD21" s="17" t="n">
        <v>1</v>
      </c>
      <c r="AE21" s="17" t="n">
        <v>1</v>
      </c>
      <c r="AF21" s="17" t="n">
        <v>1</v>
      </c>
      <c r="AG21" s="17" t="n">
        <v>1</v>
      </c>
      <c r="AH21" s="17" t="n">
        <v>1</v>
      </c>
      <c r="AI21" s="17" t="n">
        <v>1</v>
      </c>
      <c r="AJ21" s="17" t="n">
        <v>1.45226531444744</v>
      </c>
      <c r="AK21" s="17" t="n">
        <v>1</v>
      </c>
      <c r="AL21" s="17" t="n">
        <v>1</v>
      </c>
      <c r="AM21" s="17" t="n">
        <v>1</v>
      </c>
      <c r="AN21" s="17" t="n">
        <v>1</v>
      </c>
      <c r="AO21" s="17" t="n">
        <v>1</v>
      </c>
      <c r="AP21" s="17" t="n">
        <v>1</v>
      </c>
      <c r="AQ21" s="17" t="n">
        <v>1</v>
      </c>
      <c r="AR21" s="17" t="n">
        <v>1</v>
      </c>
      <c r="AS21" s="17" t="n">
        <v>1.45226531444744</v>
      </c>
      <c r="AT21" s="17" t="n">
        <v>1</v>
      </c>
      <c r="AU21" s="17" t="n">
        <v>1</v>
      </c>
      <c r="AV21" s="17" t="n">
        <v>1</v>
      </c>
      <c r="AW21" s="17" t="n">
        <v>1</v>
      </c>
      <c r="AX21" s="17" t="n">
        <v>1</v>
      </c>
      <c r="AY21" s="17" t="n">
        <v>1</v>
      </c>
      <c r="AZ21" s="17" t="n">
        <v>1</v>
      </c>
      <c r="BA21" s="17" t="n">
        <v>1</v>
      </c>
      <c r="BB21" s="17" t="n">
        <v>1</v>
      </c>
      <c r="BC21" s="17" t="n">
        <v>1</v>
      </c>
      <c r="BD21" s="17" t="n">
        <v>1</v>
      </c>
      <c r="BE21" s="17" t="n">
        <v>1.90453062889488</v>
      </c>
      <c r="BF21" s="17" t="n">
        <v>1.45226531444744</v>
      </c>
      <c r="BG21" s="17" t="n">
        <v>1</v>
      </c>
      <c r="BH21" s="17" t="n">
        <v>1.45226531444744</v>
      </c>
      <c r="BI21" s="17"/>
      <c r="BJ21" s="17"/>
    </row>
    <row r="22" customFormat="false" ht="15" hidden="false" customHeight="false" outlineLevel="0" collapsed="false">
      <c r="A22" s="2" t="n">
        <v>16</v>
      </c>
      <c r="B22" s="19" t="s">
        <v>67</v>
      </c>
      <c r="C22" s="0" t="n">
        <v>1</v>
      </c>
      <c r="D22" s="0" t="s">
        <v>112</v>
      </c>
      <c r="E22" s="12" t="str">
        <f aca="false">CONCATENATE("Als onderdeel van het programma 'Netwerk op zijn Best' omvat dit groot onderhoudsproject op de ",B22," een grootschalige vernieuwing van het asfalt.")</f>
        <v>Als onderdeel van het programma 'Netwerk op zijn Best' omvat dit groot onderhoudsproject op de B11-A een grootschalige vernieuwing van het asfalt.</v>
      </c>
      <c r="F22" s="13" t="s">
        <v>113</v>
      </c>
      <c r="G22" s="1" t="s">
        <v>121</v>
      </c>
      <c r="H22" s="1" t="n">
        <v>1760</v>
      </c>
      <c r="I22" s="14" t="n">
        <v>5778000</v>
      </c>
      <c r="J22" s="1" t="n">
        <v>8.8</v>
      </c>
      <c r="K22" s="15" t="n">
        <f aca="false">1/3</f>
        <v>0.333333333333333</v>
      </c>
      <c r="L22" s="1" t="n">
        <v>2</v>
      </c>
      <c r="M22" s="10" t="n">
        <f aca="false">O22-I22</f>
        <v>2630000</v>
      </c>
      <c r="N22" s="10" t="n">
        <f aca="false">IF(P22=1,0,VLOOKUP($P$1,'TTL NORMAL'!$A$2:$B$46,2,0)*(J22+L22)*P22)+IF(Q22=1,0,VLOOKUP($Q$1,'TTL NORMAL'!$A$2:$B$46,2,0)*(J22+L22)*Q22)+IF(R22=1,0,VLOOKUP($R$1,'TTL NORMAL'!$A$2:$B$46,2,0)*(J22+L22)*R22)+IF(S22=1,0,VLOOKUP($S$1,'TTL NORMAL'!$A$2:$B$46,2,0)*(J22+L22)*S22)+IF(T22=1,0,VLOOKUP($T$1,'TTL NORMAL'!$A$2:$B$46,2,0)*(J22+L22)*T22)+IF(U22=1,0,VLOOKUP($U$1,'TTL NORMAL'!$A$2:$B$46,2,0)*(J22+L22)*U22)+IF(V22=1,0,VLOOKUP($V$1,'TTL NORMAL'!$A$2:$B$46,2,0)*(J22+L22)*V22)+IF(W22=1,0,VLOOKUP($W$1,'TTL NORMAL'!$A$2:$B$46,2,0)*(J22+L22)*W22)+IF(X22=1,0,VLOOKUP($X$1,'TTL NORMAL'!$A$2:$B$46,2,0)*(J22+L22)*X22)+IF(Y22=1,0,VLOOKUP($Y$1,'TTL NORMAL'!$A$2:$B$46,2,0)*(J22+L22)*Y22)+IF(Z22=1,0,VLOOKUP($Z$1,'TTL NORMAL'!$A$2:$B$46,2,0)*(J22+L22)*Z22)+IF(AA22=1,0,VLOOKUP($AA$1,'TTL NORMAL'!$A$2:$B$46,2,0)*(J22+L22)*AA22)+IF(AB22=1,0,VLOOKUP($AB$1,'TTL NORMAL'!$A$2:$B$46,2,0)*(J22+L22)*AB22)+IF(AC22=1,0,VLOOKUP($AC$1,'TTL NORMAL'!$A$2:$B$46,2,0)*(J22+L22)*AC22)+IF(AD22=1,0,VLOOKUP($AD$1,'TTL NORMAL'!$A$2:$B$46,2,0)*(J22+L22)*AD22)+IF(AE22=1,0,VLOOKUP($AE$1,'TTL NORMAL'!$A$2:$B$46,2,0)*(J22+L22)*AE22)+IF(AF22=1,0,VLOOKUP($AF$1,'TTL NORMAL'!$A$2:$B$46,2,0)*(J22+L22)*AF22)+IF(AG22=1,0,VLOOKUP($AG$1,'TTL NORMAL'!$A$2:$B$46,2,0)*(J22+L22)*AG22)+IF(AH22=1,0,VLOOKUP($AH$1,'TTL NORMAL'!$A$2:$B$46,2,0)*(J22+L22)*AH22)+IF(AI22=1,0,VLOOKUP($AI$1,'TTL NORMAL'!$A$2:$B$46,2,0)*(J22+L22)*AI22)+IF(AJ22=1,0,VLOOKUP($AJ$1,'TTL NORMAL'!$A$2:$B$46,2,0)*(J22+L22)*AJ22)+IF(AK22=1,0,VLOOKUP($AK$1,'TTL NORMAL'!$A$2:$B$46,2,0)*(J22+L22)*AK22)+IF(AL22=1,0,VLOOKUP($AL$1,'TTL NORMAL'!$A$2:$B$46,2,0)*(J22+L22)*AL22)+IF(AM22=1,0,VLOOKUP($AM$1,'TTL NORMAL'!$A$2:$B$46,2,0)*(J22+L22)*AM22)+IF(AN22=1,0,VLOOKUP($AN$1,'TTL NORMAL'!$A$2:$B$46,2,0)*(J22+L22)*AN22)+IF(AO22=1,0,VLOOKUP($AO$1,'TTL NORMAL'!$A$2:$B$46,2,0)*(J22+L22)*AO22)+IF(AP22=1,0,VLOOKUP($AP$1,'TTL NORMAL'!$A$2:$B$46,2,0)*(J22+L22)*AP22)+IF(AQ22=1,0,VLOOKUP($AQ$1,'TTL NORMAL'!$A$2:$B$46,2,0)*(J22+L22)*AQ22)+IF(AR22=1,0,VLOOKUP($AR$1,'TTL NORMAL'!$A$2:$B$46,2,0)*(J22+L22)*AR22)+IF(AS22=1,0,VLOOKUP($AS$1,'TTL NORMAL'!$A$2:$B$46,2,0)*(J22+L22)*AS22)+IF(AT22=1,0,VLOOKUP($AT$1,'TTL NORMAL'!$A$2:$B$46,2,0)*(J22+L22)*AT22)+IF(AU22=1,0,VLOOKUP($AU$1,'TTL NORMAL'!$A$2:$B$46,2,0)*(J22+L22)*AU22)+IF(AV22=1,0,VLOOKUP($AV$1,'TTL NORMAL'!$A$2:$B$46,2,0)*(J22+L22)*AV22)+IF(AW22=1,0,VLOOKUP($AW$1,'TTL NORMAL'!$A$2:$B$46,2,0)*(J22+L22)*AW22)+IF(AX22=1,0,VLOOKUP($AX$1,'TTL NORMAL'!$A$2:$B$46,2,0)*(J22+L22)*AX22)+IF(AY22=1,0,VLOOKUP($AY$1,'TTL NORMAL'!$A$2:$B$46,2,0)*(J22+L22)*AY22)+IF(AZ22=1,0,VLOOKUP($AZ$1,'TTL NORMAL'!$A$2:$B$46,2,0)*(J22+L22)*AZ22)+IF(BA22=1,0,VLOOKUP($BA$1,'TTL NORMAL'!$A$2:$B$46,2,0)*(J22+L22)*BA22)+IF(BB22=1,0,VLOOKUP($BB$1,'TTL NORMAL'!$A$2:$B$46,2,0)*(J22+L22)*BB22)+IF(BC22=1,0,VLOOKUP($BC$1,'TTL NORMAL'!$A$2:$B$46,2,0)*(J22+L22)*BC22)+IF(BD22=1,0,VLOOKUP($BD$1,'TTL NORMAL'!$A$2:$B$46,2,0)*(J22+L22)*BD22)+IF(BE22=1,0,VLOOKUP($BE$1,'TTL NORMAL'!$A$2:$B$46,2,0)*(J22+L22)*BE22)+IF(BF22=1,0,VLOOKUP($BF$1,'TTL NORMAL'!$A$2:$B$46,2,0)*(J22+L22)*BF22)+IF(BG22=1,0,VLOOKUP($BG$1,'TTL NORMAL'!$A$2:$B$46,2,0)*(J22+L22)*BG22)+IF(BH22=1,0,VLOOKUP($BH$1,'TTL NORMAL'!$A$2:$B$46,2,0)*(J22+L22)*BH22)</f>
        <v>1086350.62913831</v>
      </c>
      <c r="O22" s="5" t="n">
        <v>8408000</v>
      </c>
      <c r="P22" s="18" t="n">
        <v>1</v>
      </c>
      <c r="Q22" s="17" t="n">
        <v>1</v>
      </c>
      <c r="R22" s="17" t="n">
        <v>1</v>
      </c>
      <c r="S22" s="17" t="n">
        <v>1</v>
      </c>
      <c r="T22" s="17" t="n">
        <v>1</v>
      </c>
      <c r="U22" s="17" t="n">
        <v>1</v>
      </c>
      <c r="V22" s="17" t="n">
        <v>1.32997384290268</v>
      </c>
      <c r="W22" s="17" t="n">
        <v>1.65994768580536</v>
      </c>
      <c r="X22" s="17" t="n">
        <v>1</v>
      </c>
      <c r="Y22" s="17" t="n">
        <v>1.32997384290268</v>
      </c>
      <c r="Z22" s="17" t="n">
        <v>1</v>
      </c>
      <c r="AA22" s="17" t="n">
        <v>1</v>
      </c>
      <c r="AB22" s="17" t="n">
        <v>1</v>
      </c>
      <c r="AC22" s="17" t="n">
        <v>1</v>
      </c>
      <c r="AD22" s="17" t="n">
        <v>1</v>
      </c>
      <c r="AE22" s="20" t="n">
        <v>1</v>
      </c>
      <c r="AF22" s="17" t="n">
        <v>1</v>
      </c>
      <c r="AG22" s="17" t="n">
        <v>1.65994768580536</v>
      </c>
      <c r="AH22" s="17" t="n">
        <v>1.32997384290268</v>
      </c>
      <c r="AI22" s="17" t="n">
        <v>1.65994768580536</v>
      </c>
      <c r="AJ22" s="17" t="n">
        <v>1.65994768580536</v>
      </c>
      <c r="AK22" s="20" t="n">
        <v>1.32997384290268</v>
      </c>
      <c r="AL22" s="17" t="n">
        <v>1.32997384290268</v>
      </c>
      <c r="AM22" s="17" t="n">
        <v>1.32997384290268</v>
      </c>
      <c r="AN22" s="17" t="n">
        <v>1</v>
      </c>
      <c r="AO22" s="17" t="n">
        <v>1</v>
      </c>
      <c r="AP22" s="20" t="n">
        <v>1</v>
      </c>
      <c r="AQ22" s="20" t="n">
        <v>1</v>
      </c>
      <c r="AR22" s="20" t="n">
        <v>1</v>
      </c>
      <c r="AS22" s="20" t="n">
        <v>1.32997384290268</v>
      </c>
      <c r="AT22" s="20" t="n">
        <v>1.32997384290268</v>
      </c>
      <c r="AU22" s="17" t="n">
        <v>1.32997384290268</v>
      </c>
      <c r="AV22" s="17" t="n">
        <v>1</v>
      </c>
      <c r="AW22" s="17" t="n">
        <v>1</v>
      </c>
      <c r="AX22" s="17" t="n">
        <v>1</v>
      </c>
      <c r="AY22" s="17" t="n">
        <v>1</v>
      </c>
      <c r="AZ22" s="17" t="n">
        <v>1</v>
      </c>
      <c r="BA22" s="17" t="n">
        <v>1</v>
      </c>
      <c r="BB22" s="17" t="n">
        <v>1</v>
      </c>
      <c r="BC22" s="17" t="n">
        <v>1</v>
      </c>
      <c r="BD22" s="17" t="n">
        <v>1.32997384290268</v>
      </c>
      <c r="BE22" s="17" t="n">
        <v>1.32997384290268</v>
      </c>
      <c r="BF22" s="17" t="n">
        <v>1.32997384290268</v>
      </c>
      <c r="BG22" s="17" t="n">
        <v>1</v>
      </c>
      <c r="BH22" s="17" t="n">
        <v>1</v>
      </c>
      <c r="BI22" s="20"/>
      <c r="BJ22" s="20"/>
    </row>
    <row r="23" customFormat="false" ht="15" hidden="false" customHeight="false" outlineLevel="0" collapsed="false">
      <c r="A23" s="2" t="n">
        <v>16</v>
      </c>
      <c r="B23" s="19" t="s">
        <v>67</v>
      </c>
      <c r="C23" s="0" t="n">
        <v>2</v>
      </c>
      <c r="D23" s="0" t="s">
        <v>115</v>
      </c>
      <c r="E23" s="12" t="str">
        <f aca="false">CONCATENATE("Als onderdeel van het programma 'Netwerk op zijn Best' omvat dit groot onderhoudsproject op de ",B23," een grootschalige vernieuwing van het asfalt.")</f>
        <v>Als onderdeel van het programma 'Netwerk op zijn Best' omvat dit groot onderhoudsproject op de B11-A een grootschalige vernieuwing van het asfalt.</v>
      </c>
      <c r="F23" s="13" t="s">
        <v>116</v>
      </c>
      <c r="G23" s="1" t="s">
        <v>121</v>
      </c>
      <c r="H23" s="1" t="n">
        <v>2640</v>
      </c>
      <c r="I23" s="14" t="n">
        <v>3676500</v>
      </c>
      <c r="J23" s="1" t="n">
        <v>8</v>
      </c>
      <c r="K23" s="15" t="n">
        <f aca="false">1/3</f>
        <v>0.333333333333333</v>
      </c>
      <c r="L23" s="1" t="n">
        <v>4</v>
      </c>
      <c r="M23" s="10" t="n">
        <f aca="false">O23-I23</f>
        <v>4731500</v>
      </c>
      <c r="N23" s="10" t="n">
        <f aca="false">IF(P23=1,0,VLOOKUP($P$1,'TTL NORMAL'!$A$2:$B$46,2,0)*(J23+L23)*P23)+IF(Q23=1,0,VLOOKUP($Q$1,'TTL NORMAL'!$A$2:$B$46,2,0)*(J23+L23)*Q23)+IF(R23=1,0,VLOOKUP($R$1,'TTL NORMAL'!$A$2:$B$46,2,0)*(J23+L23)*R23)+IF(S23=1,0,VLOOKUP($S$1,'TTL NORMAL'!$A$2:$B$46,2,0)*(J23+L23)*S23)+IF(T23=1,0,VLOOKUP($T$1,'TTL NORMAL'!$A$2:$B$46,2,0)*(J23+L23)*T23)+IF(U23=1,0,VLOOKUP($U$1,'TTL NORMAL'!$A$2:$B$46,2,0)*(J23+L23)*U23)+IF(V23=1,0,VLOOKUP($V$1,'TTL NORMAL'!$A$2:$B$46,2,0)*(J23+L23)*V23)+IF(W23=1,0,VLOOKUP($W$1,'TTL NORMAL'!$A$2:$B$46,2,0)*(J23+L23)*W23)+IF(X23=1,0,VLOOKUP($X$1,'TTL NORMAL'!$A$2:$B$46,2,0)*(J23+L23)*X23)+IF(Y23=1,0,VLOOKUP($Y$1,'TTL NORMAL'!$A$2:$B$46,2,0)*(J23+L23)*Y23)+IF(Z23=1,0,VLOOKUP($Z$1,'TTL NORMAL'!$A$2:$B$46,2,0)*(J23+L23)*Z23)+IF(AA23=1,0,VLOOKUP($AA$1,'TTL NORMAL'!$A$2:$B$46,2,0)*(J23+L23)*AA23)+IF(AB23=1,0,VLOOKUP($AB$1,'TTL NORMAL'!$A$2:$B$46,2,0)*(J23+L23)*AB23)+IF(AC23=1,0,VLOOKUP($AC$1,'TTL NORMAL'!$A$2:$B$46,2,0)*(J23+L23)*AC23)+IF(AD23=1,0,VLOOKUP($AD$1,'TTL NORMAL'!$A$2:$B$46,2,0)*(J23+L23)*AD23)+IF(AE23=1,0,VLOOKUP($AE$1,'TTL NORMAL'!$A$2:$B$46,2,0)*(J23+L23)*AE23)+IF(AF23=1,0,VLOOKUP($AF$1,'TTL NORMAL'!$A$2:$B$46,2,0)*(J23+L23)*AF23)+IF(AG23=1,0,VLOOKUP($AG$1,'TTL NORMAL'!$A$2:$B$46,2,0)*(J23+L23)*AG23)+IF(AH23=1,0,VLOOKUP($AH$1,'TTL NORMAL'!$A$2:$B$46,2,0)*(J23+L23)*AH23)+IF(AI23=1,0,VLOOKUP($AI$1,'TTL NORMAL'!$A$2:$B$46,2,0)*(J23+L23)*AI23)+IF(AJ23=1,0,VLOOKUP($AJ$1,'TTL NORMAL'!$A$2:$B$46,2,0)*(J23+L23)*AJ23)+IF(AK23=1,0,VLOOKUP($AK$1,'TTL NORMAL'!$A$2:$B$46,2,0)*(J23+L23)*AK23)+IF(AL23=1,0,VLOOKUP($AL$1,'TTL NORMAL'!$A$2:$B$46,2,0)*(J23+L23)*AL23)+IF(AM23=1,0,VLOOKUP($AM$1,'TTL NORMAL'!$A$2:$B$46,2,0)*(J23+L23)*AM23)+IF(AN23=1,0,VLOOKUP($AN$1,'TTL NORMAL'!$A$2:$B$46,2,0)*(J23+L23)*AN23)+IF(AO23=1,0,VLOOKUP($AO$1,'TTL NORMAL'!$A$2:$B$46,2,0)*(J23+L23)*AO23)+IF(AP23=1,0,VLOOKUP($AP$1,'TTL NORMAL'!$A$2:$B$46,2,0)*(J23+L23)*AP23)+IF(AQ23=1,0,VLOOKUP($AQ$1,'TTL NORMAL'!$A$2:$B$46,2,0)*(J23+L23)*AQ23)+IF(AR23=1,0,VLOOKUP($AR$1,'TTL NORMAL'!$A$2:$B$46,2,0)*(J23+L23)*AR23)+IF(AS23=1,0,VLOOKUP($AS$1,'TTL NORMAL'!$A$2:$B$46,2,0)*(J23+L23)*AS23)+IF(AT23=1,0,VLOOKUP($AT$1,'TTL NORMAL'!$A$2:$B$46,2,0)*(J23+L23)*AT23)+IF(AU23=1,0,VLOOKUP($AU$1,'TTL NORMAL'!$A$2:$B$46,2,0)*(J23+L23)*AU23)+IF(AV23=1,0,VLOOKUP($AV$1,'TTL NORMAL'!$A$2:$B$46,2,0)*(J23+L23)*AV23)+IF(AW23=1,0,VLOOKUP($AW$1,'TTL NORMAL'!$A$2:$B$46,2,0)*(J23+L23)*AW23)+IF(AX23=1,0,VLOOKUP($AX$1,'TTL NORMAL'!$A$2:$B$46,2,0)*(J23+L23)*AX23)+IF(AY23=1,0,VLOOKUP($AY$1,'TTL NORMAL'!$A$2:$B$46,2,0)*(J23+L23)*AY23)+IF(AZ23=1,0,VLOOKUP($AZ$1,'TTL NORMAL'!$A$2:$B$46,2,0)*(J23+L23)*AZ23)+IF(BA23=1,0,VLOOKUP($BA$1,'TTL NORMAL'!$A$2:$B$46,2,0)*(J23+L23)*BA23)+IF(BB23=1,0,VLOOKUP($BB$1,'TTL NORMAL'!$A$2:$B$46,2,0)*(J23+L23)*BB23)+IF(BC23=1,0,VLOOKUP($BC$1,'TTL NORMAL'!$A$2:$B$46,2,0)*(J23+L23)*BC23)+IF(BD23=1,0,VLOOKUP($BD$1,'TTL NORMAL'!$A$2:$B$46,2,0)*(J23+L23)*BD23)+IF(BE23=1,0,VLOOKUP($BE$1,'TTL NORMAL'!$A$2:$B$46,2,0)*(J23+L23)*BE23)+IF(BF23=1,0,VLOOKUP($BF$1,'TTL NORMAL'!$A$2:$B$46,2,0)*(J23+L23)*BF23)+IF(BG23=1,0,VLOOKUP($BG$1,'TTL NORMAL'!$A$2:$B$46,2,0)*(J23+L23)*BG23)+IF(BH23=1,0,VLOOKUP($BH$1,'TTL NORMAL'!$A$2:$B$46,2,0)*(J23+L23)*BH23)</f>
        <v>1490930.63181685</v>
      </c>
      <c r="O23" s="5" t="n">
        <v>8408000</v>
      </c>
      <c r="P23" s="18" t="n">
        <v>1</v>
      </c>
      <c r="Q23" s="17" t="n">
        <v>1</v>
      </c>
      <c r="R23" s="17" t="n">
        <v>1</v>
      </c>
      <c r="S23" s="17" t="n">
        <v>1</v>
      </c>
      <c r="T23" s="17" t="n">
        <v>1</v>
      </c>
      <c r="U23" s="17" t="n">
        <v>1</v>
      </c>
      <c r="V23" s="17" t="n">
        <v>1.49496076435402</v>
      </c>
      <c r="W23" s="17" t="n">
        <v>1.98992152870804</v>
      </c>
      <c r="X23" s="17" t="n">
        <v>1</v>
      </c>
      <c r="Y23" s="17" t="n">
        <v>1.49496076435402</v>
      </c>
      <c r="Z23" s="17" t="n">
        <v>1</v>
      </c>
      <c r="AA23" s="17" t="n">
        <v>1</v>
      </c>
      <c r="AB23" s="17" t="n">
        <v>1</v>
      </c>
      <c r="AC23" s="17" t="n">
        <v>1</v>
      </c>
      <c r="AD23" s="17" t="n">
        <v>1</v>
      </c>
      <c r="AE23" s="20" t="n">
        <v>1</v>
      </c>
      <c r="AF23" s="17" t="n">
        <v>1.98992152870804</v>
      </c>
      <c r="AG23" s="17" t="n">
        <v>1.98992152870804</v>
      </c>
      <c r="AH23" s="17" t="n">
        <v>1.49496076435402</v>
      </c>
      <c r="AI23" s="17" t="n">
        <v>1.98992152870804</v>
      </c>
      <c r="AJ23" s="17" t="n">
        <v>1.98992152870804</v>
      </c>
      <c r="AK23" s="20" t="n">
        <v>1.49496076435402</v>
      </c>
      <c r="AL23" s="17" t="n">
        <v>1.49496076435402</v>
      </c>
      <c r="AM23" s="17" t="n">
        <v>1.49496076435402</v>
      </c>
      <c r="AN23" s="17" t="n">
        <v>1</v>
      </c>
      <c r="AO23" s="17" t="n">
        <v>1</v>
      </c>
      <c r="AP23" s="20" t="n">
        <v>1</v>
      </c>
      <c r="AQ23" s="20" t="n">
        <v>1</v>
      </c>
      <c r="AR23" s="20" t="n">
        <v>1</v>
      </c>
      <c r="AS23" s="20" t="n">
        <v>1.49496076435402</v>
      </c>
      <c r="AT23" s="20" t="n">
        <v>1.49496076435402</v>
      </c>
      <c r="AU23" s="17" t="n">
        <v>1.49496076435402</v>
      </c>
      <c r="AV23" s="17" t="n">
        <v>1</v>
      </c>
      <c r="AW23" s="17" t="n">
        <v>1</v>
      </c>
      <c r="AX23" s="17" t="n">
        <v>1</v>
      </c>
      <c r="AY23" s="17" t="n">
        <v>1</v>
      </c>
      <c r="AZ23" s="17" t="n">
        <v>1</v>
      </c>
      <c r="BA23" s="17" t="n">
        <v>1</v>
      </c>
      <c r="BB23" s="17" t="n">
        <v>1</v>
      </c>
      <c r="BC23" s="17" t="n">
        <v>1</v>
      </c>
      <c r="BD23" s="17" t="n">
        <v>1.49496076435402</v>
      </c>
      <c r="BE23" s="17" t="n">
        <v>1.49496076435402</v>
      </c>
      <c r="BF23" s="17" t="n">
        <v>1.49496076435402</v>
      </c>
      <c r="BG23" s="17" t="n">
        <v>1</v>
      </c>
      <c r="BH23" s="17" t="n">
        <v>1</v>
      </c>
      <c r="BI23" s="20"/>
      <c r="BJ23" s="20"/>
    </row>
    <row r="24" customFormat="false" ht="15" hidden="false" customHeight="false" outlineLevel="0" collapsed="false">
      <c r="A24" s="2" t="n">
        <v>16</v>
      </c>
      <c r="B24" s="19" t="s">
        <v>67</v>
      </c>
      <c r="C24" s="0" t="n">
        <v>3</v>
      </c>
      <c r="D24" s="0" t="s">
        <v>117</v>
      </c>
      <c r="E24" s="12" t="str">
        <f aca="false">CONCATENATE("Als onderdeel van het programma 'Netwerk op zijn Best' omvat dit groot onderhoudsproject op de ",B24," een grootschalige vernieuwing van het asfalt.")</f>
        <v>Als onderdeel van het programma 'Netwerk op zijn Best' omvat dit groot onderhoudsproject op de B11-A een grootschalige vernieuwing van het asfalt.</v>
      </c>
      <c r="F24" s="13" t="s">
        <v>118</v>
      </c>
      <c r="G24" s="1" t="s">
        <v>121</v>
      </c>
      <c r="H24" s="1" t="n">
        <v>2200</v>
      </c>
      <c r="I24" s="14" t="n">
        <v>5778300</v>
      </c>
      <c r="J24" s="1" t="n">
        <v>8</v>
      </c>
      <c r="K24" s="15" t="n">
        <f aca="false">1/3</f>
        <v>0.333333333333333</v>
      </c>
      <c r="L24" s="1" t="n">
        <v>0</v>
      </c>
      <c r="M24" s="10" t="n">
        <f aca="false">O24-I24</f>
        <v>2629700</v>
      </c>
      <c r="N24" s="10" t="n">
        <f aca="false">IF(P24=1,0,VLOOKUP($P$1,'TTL NORMAL'!$A$2:$B$46,2,0)*(J24+L24)*P24)+IF(Q24=1,0,VLOOKUP($Q$1,'TTL NORMAL'!$A$2:$B$46,2,0)*(J24+L24)*Q24)+IF(R24=1,0,VLOOKUP($R$1,'TTL NORMAL'!$A$2:$B$46,2,0)*(J24+L24)*R24)+IF(S24=1,0,VLOOKUP($S$1,'TTL NORMAL'!$A$2:$B$46,2,0)*(J24+L24)*S24)+IF(T24=1,0,VLOOKUP($T$1,'TTL NORMAL'!$A$2:$B$46,2,0)*(J24+L24)*T24)+IF(U24=1,0,VLOOKUP($U$1,'TTL NORMAL'!$A$2:$B$46,2,0)*(J24+L24)*U24)+IF(V24=1,0,VLOOKUP($V$1,'TTL NORMAL'!$A$2:$B$46,2,0)*(J24+L24)*V24)+IF(W24=1,0,VLOOKUP($W$1,'TTL NORMAL'!$A$2:$B$46,2,0)*(J24+L24)*W24)+IF(X24=1,0,VLOOKUP($X$1,'TTL NORMAL'!$A$2:$B$46,2,0)*(J24+L24)*X24)+IF(Y24=1,0,VLOOKUP($Y$1,'TTL NORMAL'!$A$2:$B$46,2,0)*(J24+L24)*Y24)+IF(Z24=1,0,VLOOKUP($Z$1,'TTL NORMAL'!$A$2:$B$46,2,0)*(J24+L24)*Z24)+IF(AA24=1,0,VLOOKUP($AA$1,'TTL NORMAL'!$A$2:$B$46,2,0)*(J24+L24)*AA24)+IF(AB24=1,0,VLOOKUP($AB$1,'TTL NORMAL'!$A$2:$B$46,2,0)*(J24+L24)*AB24)+IF(AC24=1,0,VLOOKUP($AC$1,'TTL NORMAL'!$A$2:$B$46,2,0)*(J24+L24)*AC24)+IF(AD24=1,0,VLOOKUP($AD$1,'TTL NORMAL'!$A$2:$B$46,2,0)*(J24+L24)*AD24)+IF(AE24=1,0,VLOOKUP($AE$1,'TTL NORMAL'!$A$2:$B$46,2,0)*(J24+L24)*AE24)+IF(AF24=1,0,VLOOKUP($AF$1,'TTL NORMAL'!$A$2:$B$46,2,0)*(J24+L24)*AF24)+IF(AG24=1,0,VLOOKUP($AG$1,'TTL NORMAL'!$A$2:$B$46,2,0)*(J24+L24)*AG24)+IF(AH24=1,0,VLOOKUP($AH$1,'TTL NORMAL'!$A$2:$B$46,2,0)*(J24+L24)*AH24)+IF(AI24=1,0,VLOOKUP($AI$1,'TTL NORMAL'!$A$2:$B$46,2,0)*(J24+L24)*AI24)+IF(AJ24=1,0,VLOOKUP($AJ$1,'TTL NORMAL'!$A$2:$B$46,2,0)*(J24+L24)*AJ24)+IF(AK24=1,0,VLOOKUP($AK$1,'TTL NORMAL'!$A$2:$B$46,2,0)*(J24+L24)*AK24)+IF(AL24=1,0,VLOOKUP($AL$1,'TTL NORMAL'!$A$2:$B$46,2,0)*(J24+L24)*AL24)+IF(AM24=1,0,VLOOKUP($AM$1,'TTL NORMAL'!$A$2:$B$46,2,0)*(J24+L24)*AM24)+IF(AN24=1,0,VLOOKUP($AN$1,'TTL NORMAL'!$A$2:$B$46,2,0)*(J24+L24)*AN24)+IF(AO24=1,0,VLOOKUP($AO$1,'TTL NORMAL'!$A$2:$B$46,2,0)*(J24+L24)*AO24)+IF(AP24=1,0,VLOOKUP($AP$1,'TTL NORMAL'!$A$2:$B$46,2,0)*(J24+L24)*AP24)+IF(AQ24=1,0,VLOOKUP($AQ$1,'TTL NORMAL'!$A$2:$B$46,2,0)*(J24+L24)*AQ24)+IF(AR24=1,0,VLOOKUP($AR$1,'TTL NORMAL'!$A$2:$B$46,2,0)*(J24+L24)*AR24)+IF(AS24=1,0,VLOOKUP($AS$1,'TTL NORMAL'!$A$2:$B$46,2,0)*(J24+L24)*AS24)+IF(AT24=1,0,VLOOKUP($AT$1,'TTL NORMAL'!$A$2:$B$46,2,0)*(J24+L24)*AT24)+IF(AU24=1,0,VLOOKUP($AU$1,'TTL NORMAL'!$A$2:$B$46,2,0)*(J24+L24)*AU24)+IF(AV24=1,0,VLOOKUP($AV$1,'TTL NORMAL'!$A$2:$B$46,2,0)*(J24+L24)*AV24)+IF(AW24=1,0,VLOOKUP($AW$1,'TTL NORMAL'!$A$2:$B$46,2,0)*(J24+L24)*AW24)+IF(AX24=1,0,VLOOKUP($AX$1,'TTL NORMAL'!$A$2:$B$46,2,0)*(J24+L24)*AX24)+IF(AY24=1,0,VLOOKUP($AY$1,'TTL NORMAL'!$A$2:$B$46,2,0)*(J24+L24)*AY24)+IF(AZ24=1,0,VLOOKUP($AZ$1,'TTL NORMAL'!$A$2:$B$46,2,0)*(J24+L24)*AZ24)+IF(BA24=1,0,VLOOKUP($BA$1,'TTL NORMAL'!$A$2:$B$46,2,0)*(J24+L24)*BA24)+IF(BB24=1,0,VLOOKUP($BB$1,'TTL NORMAL'!$A$2:$B$46,2,0)*(J24+L24)*BB24)+IF(BC24=1,0,VLOOKUP($BC$1,'TTL NORMAL'!$A$2:$B$46,2,0)*(J24+L24)*BC24)+IF(BD24=1,0,VLOOKUP($BD$1,'TTL NORMAL'!$A$2:$B$46,2,0)*(J24+L24)*BD24)+IF(BE24=1,0,VLOOKUP($BE$1,'TTL NORMAL'!$A$2:$B$46,2,0)*(J24+L24)*BE24)+IF(BF24=1,0,VLOOKUP($BF$1,'TTL NORMAL'!$A$2:$B$46,2,0)*(J24+L24)*BF24)+IF(BG24=1,0,VLOOKUP($BG$1,'TTL NORMAL'!$A$2:$B$46,2,0)*(J24+L24)*BG24)+IF(BH24=1,0,VLOOKUP($BH$1,'TTL NORMAL'!$A$2:$B$46,2,0)*(J24+L24)*BH24)</f>
        <v>915489.550030369</v>
      </c>
      <c r="O24" s="10" t="n">
        <v>8408000</v>
      </c>
      <c r="P24" s="18" t="n">
        <v>1</v>
      </c>
      <c r="Q24" s="17" t="n">
        <v>1</v>
      </c>
      <c r="R24" s="17" t="n">
        <v>1</v>
      </c>
      <c r="S24" s="17" t="n">
        <v>1</v>
      </c>
      <c r="T24" s="17" t="n">
        <v>1</v>
      </c>
      <c r="U24" s="17" t="n">
        <v>1</v>
      </c>
      <c r="V24" s="17" t="n">
        <v>1.41246730362835</v>
      </c>
      <c r="W24" s="17" t="n">
        <v>1.8249346072567</v>
      </c>
      <c r="X24" s="17" t="n">
        <v>1</v>
      </c>
      <c r="Y24" s="17" t="n">
        <v>1.41246730362835</v>
      </c>
      <c r="Z24" s="17" t="n">
        <v>1</v>
      </c>
      <c r="AA24" s="17" t="n">
        <v>1</v>
      </c>
      <c r="AB24" s="17" t="n">
        <v>1</v>
      </c>
      <c r="AC24" s="17" t="n">
        <v>1</v>
      </c>
      <c r="AD24" s="17" t="n">
        <v>1</v>
      </c>
      <c r="AE24" s="20" t="n">
        <v>1</v>
      </c>
      <c r="AF24" s="17" t="n">
        <v>1.41246730362835</v>
      </c>
      <c r="AG24" s="17" t="n">
        <v>1.8249346072567</v>
      </c>
      <c r="AH24" s="17" t="n">
        <v>1.41246730362835</v>
      </c>
      <c r="AI24" s="17" t="n">
        <v>1.8249346072567</v>
      </c>
      <c r="AJ24" s="17" t="n">
        <v>1.8249346072567</v>
      </c>
      <c r="AK24" s="20" t="n">
        <v>1.41246730362835</v>
      </c>
      <c r="AL24" s="17" t="n">
        <v>1.41246730362835</v>
      </c>
      <c r="AM24" s="17" t="n">
        <v>1.41246730362835</v>
      </c>
      <c r="AN24" s="17" t="n">
        <v>1</v>
      </c>
      <c r="AO24" s="17" t="n">
        <v>1</v>
      </c>
      <c r="AP24" s="20" t="n">
        <v>1</v>
      </c>
      <c r="AQ24" s="20" t="n">
        <v>1</v>
      </c>
      <c r="AR24" s="20" t="n">
        <v>1</v>
      </c>
      <c r="AS24" s="20" t="n">
        <v>1.41246730362835</v>
      </c>
      <c r="AT24" s="20" t="n">
        <v>1.41246730362835</v>
      </c>
      <c r="AU24" s="17" t="n">
        <v>1.41246730362835</v>
      </c>
      <c r="AV24" s="17" t="n">
        <v>1</v>
      </c>
      <c r="AW24" s="17" t="n">
        <v>1</v>
      </c>
      <c r="AX24" s="17" t="n">
        <v>1</v>
      </c>
      <c r="AY24" s="17" t="n">
        <v>1</v>
      </c>
      <c r="AZ24" s="17" t="n">
        <v>1</v>
      </c>
      <c r="BA24" s="17" t="n">
        <v>1</v>
      </c>
      <c r="BB24" s="17" t="n">
        <v>1</v>
      </c>
      <c r="BC24" s="17" t="n">
        <v>1</v>
      </c>
      <c r="BD24" s="17" t="n">
        <v>1.41246730362835</v>
      </c>
      <c r="BE24" s="17" t="n">
        <v>1.41246730362835</v>
      </c>
      <c r="BF24" s="17" t="n">
        <v>1.41246730362835</v>
      </c>
      <c r="BG24" s="17" t="n">
        <v>1</v>
      </c>
      <c r="BH24" s="17" t="n">
        <v>1</v>
      </c>
      <c r="BI24" s="20"/>
      <c r="BJ24" s="20"/>
    </row>
    <row r="25" customFormat="false" ht="15" hidden="false" customHeight="false" outlineLevel="0" collapsed="false">
      <c r="A25" s="2" t="n">
        <v>16</v>
      </c>
      <c r="B25" s="19" t="s">
        <v>67</v>
      </c>
      <c r="C25" s="0" t="n">
        <v>4</v>
      </c>
      <c r="D25" s="0" t="s">
        <v>119</v>
      </c>
      <c r="E25" s="12" t="str">
        <f aca="false">CONCATENATE("Als onderdeel van het programma 'Netwerk op zijn Best' omvat dit groot onderhoudsproject op de ",B25," een grootschalige vernieuwing van het asfalt.")</f>
        <v>Als onderdeel van het programma 'Netwerk op zijn Best' omvat dit groot onderhoudsproject op de B11-A een grootschalige vernieuwing van het asfalt.</v>
      </c>
      <c r="F25" s="13" t="s">
        <v>120</v>
      </c>
      <c r="G25" s="1" t="s">
        <v>121</v>
      </c>
      <c r="H25" s="1" t="n">
        <v>2640</v>
      </c>
      <c r="I25" s="14" t="n">
        <v>5253000</v>
      </c>
      <c r="J25" s="1" t="n">
        <v>5.6</v>
      </c>
      <c r="K25" s="15" t="n">
        <f aca="false">1/3</f>
        <v>0.333333333333333</v>
      </c>
      <c r="L25" s="1" t="n">
        <v>2</v>
      </c>
      <c r="M25" s="10" t="n">
        <f aca="false">O25-I25</f>
        <v>3155000</v>
      </c>
      <c r="N25" s="10" t="n">
        <f aca="false">IF(P25=1,0,VLOOKUP($P$1,'TTL NORMAL'!$A$2:$B$46,2,0)*(J25+L25)*P25)+IF(Q25=1,0,VLOOKUP($Q$1,'TTL NORMAL'!$A$2:$B$46,2,0)*(J25+L25)*Q25)+IF(R25=1,0,VLOOKUP($R$1,'TTL NORMAL'!$A$2:$B$46,2,0)*(J25+L25)*R25)+IF(S25=1,0,VLOOKUP($S$1,'TTL NORMAL'!$A$2:$B$46,2,0)*(J25+L25)*S25)+IF(T25=1,0,VLOOKUP($T$1,'TTL NORMAL'!$A$2:$B$46,2,0)*(J25+L25)*T25)+IF(U25=1,0,VLOOKUP($U$1,'TTL NORMAL'!$A$2:$B$46,2,0)*(J25+L25)*U25)+IF(V25=1,0,VLOOKUP($V$1,'TTL NORMAL'!$A$2:$B$46,2,0)*(J25+L25)*V25)+IF(W25=1,0,VLOOKUP($W$1,'TTL NORMAL'!$A$2:$B$46,2,0)*(J25+L25)*W25)+IF(X25=1,0,VLOOKUP($X$1,'TTL NORMAL'!$A$2:$B$46,2,0)*(J25+L25)*X25)+IF(Y25=1,0,VLOOKUP($Y$1,'TTL NORMAL'!$A$2:$B$46,2,0)*(J25+L25)*Y25)+IF(Z25=1,0,VLOOKUP($Z$1,'TTL NORMAL'!$A$2:$B$46,2,0)*(J25+L25)*Z25)+IF(AA25=1,0,VLOOKUP($AA$1,'TTL NORMAL'!$A$2:$B$46,2,0)*(J25+L25)*AA25)+IF(AB25=1,0,VLOOKUP($AB$1,'TTL NORMAL'!$A$2:$B$46,2,0)*(J25+L25)*AB25)+IF(AC25=1,0,VLOOKUP($AC$1,'TTL NORMAL'!$A$2:$B$46,2,0)*(J25+L25)*AC25)+IF(AD25=1,0,VLOOKUP($AD$1,'TTL NORMAL'!$A$2:$B$46,2,0)*(J25+L25)*AD25)+IF(AE25=1,0,VLOOKUP($AE$1,'TTL NORMAL'!$A$2:$B$46,2,0)*(J25+L25)*AE25)+IF(AF25=1,0,VLOOKUP($AF$1,'TTL NORMAL'!$A$2:$B$46,2,0)*(J25+L25)*AF25)+IF(AG25=1,0,VLOOKUP($AG$1,'TTL NORMAL'!$A$2:$B$46,2,0)*(J25+L25)*AG25)+IF(AH25=1,0,VLOOKUP($AH$1,'TTL NORMAL'!$A$2:$B$46,2,0)*(J25+L25)*AH25)+IF(AI25=1,0,VLOOKUP($AI$1,'TTL NORMAL'!$A$2:$B$46,2,0)*(J25+L25)*AI25)+IF(AJ25=1,0,VLOOKUP($AJ$1,'TTL NORMAL'!$A$2:$B$46,2,0)*(J25+L25)*AJ25)+IF(AK25=1,0,VLOOKUP($AK$1,'TTL NORMAL'!$A$2:$B$46,2,0)*(J25+L25)*AK25)+IF(AL25=1,0,VLOOKUP($AL$1,'TTL NORMAL'!$A$2:$B$46,2,0)*(J25+L25)*AL25)+IF(AM25=1,0,VLOOKUP($AM$1,'TTL NORMAL'!$A$2:$B$46,2,0)*(J25+L25)*AM25)+IF(AN25=1,0,VLOOKUP($AN$1,'TTL NORMAL'!$A$2:$B$46,2,0)*(J25+L25)*AN25)+IF(AO25=1,0,VLOOKUP($AO$1,'TTL NORMAL'!$A$2:$B$46,2,0)*(J25+L25)*AO25)+IF(AP25=1,0,VLOOKUP($AP$1,'TTL NORMAL'!$A$2:$B$46,2,0)*(J25+L25)*AP25)+IF(AQ25=1,0,VLOOKUP($AQ$1,'TTL NORMAL'!$A$2:$B$46,2,0)*(J25+L25)*AQ25)+IF(AR25=1,0,VLOOKUP($AR$1,'TTL NORMAL'!$A$2:$B$46,2,0)*(J25+L25)*AR25)+IF(AS25=1,0,VLOOKUP($AS$1,'TTL NORMAL'!$A$2:$B$46,2,0)*(J25+L25)*AS25)+IF(AT25=1,0,VLOOKUP($AT$1,'TTL NORMAL'!$A$2:$B$46,2,0)*(J25+L25)*AT25)+IF(AU25=1,0,VLOOKUP($AU$1,'TTL NORMAL'!$A$2:$B$46,2,0)*(J25+L25)*AU25)+IF(AV25=1,0,VLOOKUP($AV$1,'TTL NORMAL'!$A$2:$B$46,2,0)*(J25+L25)*AV25)+IF(AW25=1,0,VLOOKUP($AW$1,'TTL NORMAL'!$A$2:$B$46,2,0)*(J25+L25)*AW25)+IF(AX25=1,0,VLOOKUP($AX$1,'TTL NORMAL'!$A$2:$B$46,2,0)*(J25+L25)*AX25)+IF(AY25=1,0,VLOOKUP($AY$1,'TTL NORMAL'!$A$2:$B$46,2,0)*(J25+L25)*AY25)+IF(AZ25=1,0,VLOOKUP($AZ$1,'TTL NORMAL'!$A$2:$B$46,2,0)*(J25+L25)*AZ25)+IF(BA25=1,0,VLOOKUP($BA$1,'TTL NORMAL'!$A$2:$B$46,2,0)*(J25+L25)*BA25)+IF(BB25=1,0,VLOOKUP($BB$1,'TTL NORMAL'!$A$2:$B$46,2,0)*(J25+L25)*BB25)+IF(BC25=1,0,VLOOKUP($BC$1,'TTL NORMAL'!$A$2:$B$46,2,0)*(J25+L25)*BC25)+IF(BD25=1,0,VLOOKUP($BD$1,'TTL NORMAL'!$A$2:$B$46,2,0)*(J25+L25)*BD25)+IF(BE25=1,0,VLOOKUP($BE$1,'TTL NORMAL'!$A$2:$B$46,2,0)*(J25+L25)*BE25)+IF(BF25=1,0,VLOOKUP($BF$1,'TTL NORMAL'!$A$2:$B$46,2,0)*(J25+L25)*BF25)+IF(BG25=1,0,VLOOKUP($BG$1,'TTL NORMAL'!$A$2:$B$46,2,0)*(J25+L25)*BG25)+IF(BH25=1,0,VLOOKUP($BH$1,'TTL NORMAL'!$A$2:$B$46,2,0)*(J25+L25)*BH25)</f>
        <v>944256.066817338</v>
      </c>
      <c r="O25" s="5" t="n">
        <v>8408000</v>
      </c>
      <c r="P25" s="18" t="n">
        <v>1</v>
      </c>
      <c r="Q25" s="17" t="n">
        <v>1</v>
      </c>
      <c r="R25" s="17" t="n">
        <v>1</v>
      </c>
      <c r="S25" s="17" t="n">
        <v>1</v>
      </c>
      <c r="T25" s="17" t="n">
        <v>1</v>
      </c>
      <c r="U25" s="17" t="n">
        <v>1</v>
      </c>
      <c r="V25" s="17" t="n">
        <v>1.49496076435402</v>
      </c>
      <c r="W25" s="17" t="n">
        <v>1.98992152870804</v>
      </c>
      <c r="X25" s="17" t="n">
        <v>1</v>
      </c>
      <c r="Y25" s="17" t="n">
        <v>1.49496076435402</v>
      </c>
      <c r="Z25" s="17" t="n">
        <v>1</v>
      </c>
      <c r="AA25" s="17" t="n">
        <v>1</v>
      </c>
      <c r="AB25" s="17" t="n">
        <v>1</v>
      </c>
      <c r="AC25" s="17" t="n">
        <v>1</v>
      </c>
      <c r="AD25" s="17" t="n">
        <v>1</v>
      </c>
      <c r="AE25" s="20" t="n">
        <v>1</v>
      </c>
      <c r="AF25" s="17" t="n">
        <v>1.98992152870804</v>
      </c>
      <c r="AG25" s="17" t="n">
        <v>1.98992152870804</v>
      </c>
      <c r="AH25" s="17" t="n">
        <v>1.49496076435402</v>
      </c>
      <c r="AI25" s="17" t="n">
        <v>1.98992152870804</v>
      </c>
      <c r="AJ25" s="17" t="n">
        <v>1.98992152870804</v>
      </c>
      <c r="AK25" s="20" t="n">
        <v>1.49496076435402</v>
      </c>
      <c r="AL25" s="17" t="n">
        <v>1.49496076435402</v>
      </c>
      <c r="AM25" s="17" t="n">
        <v>1.49496076435402</v>
      </c>
      <c r="AN25" s="17" t="n">
        <v>1</v>
      </c>
      <c r="AO25" s="17" t="n">
        <v>1</v>
      </c>
      <c r="AP25" s="20" t="n">
        <v>1</v>
      </c>
      <c r="AQ25" s="20" t="n">
        <v>1</v>
      </c>
      <c r="AR25" s="20" t="n">
        <v>1</v>
      </c>
      <c r="AS25" s="20" t="n">
        <v>1.49496076435402</v>
      </c>
      <c r="AT25" s="20" t="n">
        <v>1.49496076435402</v>
      </c>
      <c r="AU25" s="17" t="n">
        <v>1.49496076435402</v>
      </c>
      <c r="AV25" s="17" t="n">
        <v>1</v>
      </c>
      <c r="AW25" s="17" t="n">
        <v>1</v>
      </c>
      <c r="AX25" s="17" t="n">
        <v>1</v>
      </c>
      <c r="AY25" s="17" t="n">
        <v>1</v>
      </c>
      <c r="AZ25" s="17" t="n">
        <v>1</v>
      </c>
      <c r="BA25" s="17" t="n">
        <v>1</v>
      </c>
      <c r="BB25" s="17" t="n">
        <v>1</v>
      </c>
      <c r="BC25" s="17" t="n">
        <v>1</v>
      </c>
      <c r="BD25" s="17" t="n">
        <v>1.49496076435402</v>
      </c>
      <c r="BE25" s="17" t="n">
        <v>1.49496076435402</v>
      </c>
      <c r="BF25" s="17" t="n">
        <v>1.49496076435402</v>
      </c>
      <c r="BG25" s="17" t="n">
        <v>1</v>
      </c>
      <c r="BH25" s="17" t="n">
        <v>1</v>
      </c>
      <c r="BI25" s="20"/>
      <c r="BJ25" s="20"/>
    </row>
    <row r="26" customFormat="false" ht="15" hidden="false" customHeight="false" outlineLevel="0" collapsed="false">
      <c r="A26" s="2" t="n">
        <v>17</v>
      </c>
      <c r="B26" s="0" t="s">
        <v>68</v>
      </c>
      <c r="C26" s="0" t="n">
        <v>1</v>
      </c>
      <c r="D26" s="0" t="s">
        <v>112</v>
      </c>
      <c r="E26" s="0" t="str">
        <f aca="false">CONCATENATE("Als onderdeel van het programma 'Netwerk op zijn Best' omvat dit groot onderhoudsproject op de ",B26," een rijbaanverbreding van 3 naar 4 rijstroken op het knooppunt tussen de ",B26," en de M2.")</f>
        <v>Als onderdeel van het programma 'Netwerk op zijn Best' omvat dit groot onderhoudsproject op de B11-B een rijbaanverbreding van 3 naar 4 rijstroken op het knooppunt tussen de B11-B en de M2.</v>
      </c>
      <c r="F26" s="13" t="s">
        <v>113</v>
      </c>
      <c r="G26" s="1" t="s">
        <v>122</v>
      </c>
      <c r="H26" s="1" t="n">
        <v>3040</v>
      </c>
      <c r="I26" s="14" t="n">
        <v>4618500</v>
      </c>
      <c r="J26" s="1" t="n">
        <v>14.3</v>
      </c>
      <c r="K26" s="15" t="n">
        <f aca="false">1/3</f>
        <v>0.333333333333333</v>
      </c>
      <c r="L26" s="1" t="n">
        <v>2</v>
      </c>
      <c r="M26" s="10" t="n">
        <f aca="false">O26-I26</f>
        <v>2103500</v>
      </c>
      <c r="N26" s="10" t="n">
        <f aca="false">IF(P26=1,0,VLOOKUP($P$1,'TTL NORMAL'!$A$2:$B$46,2,0)*(J26+L26)*P26)+IF(Q26=1,0,VLOOKUP($Q$1,'TTL NORMAL'!$A$2:$B$46,2,0)*(J26+L26)*Q26)+IF(R26=1,0,VLOOKUP($R$1,'TTL NORMAL'!$A$2:$B$46,2,0)*(J26+L26)*R26)+IF(S26=1,0,VLOOKUP($S$1,'TTL NORMAL'!$A$2:$B$46,2,0)*(J26+L26)*S26)+IF(T26=1,0,VLOOKUP($T$1,'TTL NORMAL'!$A$2:$B$46,2,0)*(J26+L26)*T26)+IF(U26=1,0,VLOOKUP($U$1,'TTL NORMAL'!$A$2:$B$46,2,0)*(J26+L26)*U26)+IF(V26=1,0,VLOOKUP($V$1,'TTL NORMAL'!$A$2:$B$46,2,0)*(J26+L26)*V26)+IF(W26=1,0,VLOOKUP($W$1,'TTL NORMAL'!$A$2:$B$46,2,0)*(J26+L26)*W26)+IF(X26=1,0,VLOOKUP($X$1,'TTL NORMAL'!$A$2:$B$46,2,0)*(J26+L26)*X26)+IF(Y26=1,0,VLOOKUP($Y$1,'TTL NORMAL'!$A$2:$B$46,2,0)*(J26+L26)*Y26)+IF(Z26=1,0,VLOOKUP($Z$1,'TTL NORMAL'!$A$2:$B$46,2,0)*(J26+L26)*Z26)+IF(AA26=1,0,VLOOKUP($AA$1,'TTL NORMAL'!$A$2:$B$46,2,0)*(J26+L26)*AA26)+IF(AB26=1,0,VLOOKUP($AB$1,'TTL NORMAL'!$A$2:$B$46,2,0)*(J26+L26)*AB26)+IF(AC26=1,0,VLOOKUP($AC$1,'TTL NORMAL'!$A$2:$B$46,2,0)*(J26+L26)*AC26)+IF(AD26=1,0,VLOOKUP($AD$1,'TTL NORMAL'!$A$2:$B$46,2,0)*(J26+L26)*AD26)+IF(AE26=1,0,VLOOKUP($AE$1,'TTL NORMAL'!$A$2:$B$46,2,0)*(J26+L26)*AE26)+IF(AF26=1,0,VLOOKUP($AF$1,'TTL NORMAL'!$A$2:$B$46,2,0)*(J26+L26)*AF26)+IF(AG26=1,0,VLOOKUP($AG$1,'TTL NORMAL'!$A$2:$B$46,2,0)*(J26+L26)*AG26)+IF(AH26=1,0,VLOOKUP($AH$1,'TTL NORMAL'!$A$2:$B$46,2,0)*(J26+L26)*AH26)+IF(AI26=1,0,VLOOKUP($AI$1,'TTL NORMAL'!$A$2:$B$46,2,0)*(J26+L26)*AI26)+IF(AJ26=1,0,VLOOKUP($AJ$1,'TTL NORMAL'!$A$2:$B$46,2,0)*(J26+L26)*AJ26)+IF(AK26=1,0,VLOOKUP($AK$1,'TTL NORMAL'!$A$2:$B$46,2,0)*(J26+L26)*AK26)+IF(AL26=1,0,VLOOKUP($AL$1,'TTL NORMAL'!$A$2:$B$46,2,0)*(J26+L26)*AL26)+IF(AM26=1,0,VLOOKUP($AM$1,'TTL NORMAL'!$A$2:$B$46,2,0)*(J26+L26)*AM26)+IF(AN26=1,0,VLOOKUP($AN$1,'TTL NORMAL'!$A$2:$B$46,2,0)*(J26+L26)*AN26)+IF(AO26=1,0,VLOOKUP($AO$1,'TTL NORMAL'!$A$2:$B$46,2,0)*(J26+L26)*AO26)+IF(AP26=1,0,VLOOKUP($AP$1,'TTL NORMAL'!$A$2:$B$46,2,0)*(J26+L26)*AP26)+IF(AQ26=1,0,VLOOKUP($AQ$1,'TTL NORMAL'!$A$2:$B$46,2,0)*(J26+L26)*AQ26)+IF(AR26=1,0,VLOOKUP($AR$1,'TTL NORMAL'!$A$2:$B$46,2,0)*(J26+L26)*AR26)+IF(AS26=1,0,VLOOKUP($AS$1,'TTL NORMAL'!$A$2:$B$46,2,0)*(J26+L26)*AS26)+IF(AT26=1,0,VLOOKUP($AT$1,'TTL NORMAL'!$A$2:$B$46,2,0)*(J26+L26)*AT26)+IF(AU26=1,0,VLOOKUP($AU$1,'TTL NORMAL'!$A$2:$B$46,2,0)*(J26+L26)*AU26)+IF(AV26=1,0,VLOOKUP($AV$1,'TTL NORMAL'!$A$2:$B$46,2,0)*(J26+L26)*AV26)+IF(AW26=1,0,VLOOKUP($AW$1,'TTL NORMAL'!$A$2:$B$46,2,0)*(J26+L26)*AW26)+IF(AX26=1,0,VLOOKUP($AX$1,'TTL NORMAL'!$A$2:$B$46,2,0)*(J26+L26)*AX26)+IF(AY26=1,0,VLOOKUP($AY$1,'TTL NORMAL'!$A$2:$B$46,2,0)*(J26+L26)*AY26)+IF(AZ26=1,0,VLOOKUP($AZ$1,'TTL NORMAL'!$A$2:$B$46,2,0)*(J26+L26)*AZ26)+IF(BA26=1,0,VLOOKUP($BA$1,'TTL NORMAL'!$A$2:$B$46,2,0)*(J26+L26)*BA26)+IF(BB26=1,0,VLOOKUP($BB$1,'TTL NORMAL'!$A$2:$B$46,2,0)*(J26+L26)*BB26)+IF(BC26=1,0,VLOOKUP($BC$1,'TTL NORMAL'!$A$2:$B$46,2,0)*(J26+L26)*BC26)+IF(BD26=1,0,VLOOKUP($BD$1,'TTL NORMAL'!$A$2:$B$46,2,0)*(J26+L26)*BD26)+IF(BE26=1,0,VLOOKUP($BE$1,'TTL NORMAL'!$A$2:$B$46,2,0)*(J26+L26)*BE26)+IF(BF26=1,0,VLOOKUP($BF$1,'TTL NORMAL'!$A$2:$B$46,2,0)*(J26+L26)*BF26)+IF(BG26=1,0,VLOOKUP($BG$1,'TTL NORMAL'!$A$2:$B$46,2,0)*(J26+L26)*BG26)+IF(BH26=1,0,VLOOKUP($BH$1,'TTL NORMAL'!$A$2:$B$46,2,0)*(J26+L26)*BH26)</f>
        <v>2355957.76741231</v>
      </c>
      <c r="O26" s="5" t="n">
        <v>6722000</v>
      </c>
      <c r="P26" s="18" t="n">
        <v>1.31415190780744</v>
      </c>
      <c r="Q26" s="17" t="n">
        <v>1.31415190780744</v>
      </c>
      <c r="R26" s="17" t="n">
        <v>1.31415190780744</v>
      </c>
      <c r="S26" s="17" t="n">
        <v>1</v>
      </c>
      <c r="T26" s="17" t="n">
        <v>1</v>
      </c>
      <c r="U26" s="17" t="n">
        <v>1</v>
      </c>
      <c r="V26" s="17" t="n">
        <v>1</v>
      </c>
      <c r="W26" s="17" t="n">
        <v>1.31415190780744</v>
      </c>
      <c r="X26" s="17" t="n">
        <v>1</v>
      </c>
      <c r="Y26" s="17" t="n">
        <v>1.31415190780744</v>
      </c>
      <c r="Z26" s="17" t="n">
        <v>1</v>
      </c>
      <c r="AA26" s="17" t="n">
        <v>1.31415190780744</v>
      </c>
      <c r="AB26" s="17" t="n">
        <v>1</v>
      </c>
      <c r="AC26" s="17" t="n">
        <v>1</v>
      </c>
      <c r="AD26" s="17" t="n">
        <v>1</v>
      </c>
      <c r="AE26" s="17" t="n">
        <v>1</v>
      </c>
      <c r="AF26" s="17" t="n">
        <v>1.62830381561489</v>
      </c>
      <c r="AG26" s="17" t="n">
        <v>1</v>
      </c>
      <c r="AH26" s="17" t="n">
        <v>1.62830381561489</v>
      </c>
      <c r="AI26" s="17" t="n">
        <v>1.62830381561489</v>
      </c>
      <c r="AJ26" s="17" t="n">
        <v>1.62830381561489</v>
      </c>
      <c r="AK26" s="17" t="n">
        <v>1.31415190780744</v>
      </c>
      <c r="AL26" s="17" t="n">
        <v>1.62830381561489</v>
      </c>
      <c r="AM26" s="17" t="n">
        <v>1.62830381561489</v>
      </c>
      <c r="AN26" s="17" t="n">
        <v>1.31415190780744</v>
      </c>
      <c r="AO26" s="17" t="n">
        <v>1.31415190780744</v>
      </c>
      <c r="AP26" s="17" t="n">
        <v>1.31415190780744</v>
      </c>
      <c r="AQ26" s="17" t="n">
        <v>1</v>
      </c>
      <c r="AR26" s="17" t="n">
        <v>1</v>
      </c>
      <c r="AS26" s="17" t="n">
        <v>1.31415190780744</v>
      </c>
      <c r="AT26" s="17" t="n">
        <v>1.31415190780744</v>
      </c>
      <c r="AU26" s="17" t="n">
        <v>1</v>
      </c>
      <c r="AV26" s="17" t="n">
        <v>1</v>
      </c>
      <c r="AW26" s="17" t="n">
        <v>1</v>
      </c>
      <c r="AX26" s="17" t="n">
        <v>1</v>
      </c>
      <c r="AY26" s="17" t="n">
        <v>1</v>
      </c>
      <c r="AZ26" s="17" t="n">
        <v>1</v>
      </c>
      <c r="BA26" s="17" t="n">
        <v>1</v>
      </c>
      <c r="BB26" s="17" t="n">
        <v>1</v>
      </c>
      <c r="BC26" s="17" t="n">
        <v>1</v>
      </c>
      <c r="BD26" s="17" t="n">
        <v>1</v>
      </c>
      <c r="BE26" s="17" t="n">
        <v>1.31415190780744</v>
      </c>
      <c r="BF26" s="17" t="n">
        <v>1.62830381561489</v>
      </c>
      <c r="BG26" s="17" t="n">
        <v>1.31415190780744</v>
      </c>
      <c r="BH26" s="17" t="n">
        <v>1</v>
      </c>
      <c r="BI26" s="17"/>
      <c r="BJ26" s="18"/>
    </row>
    <row r="27" customFormat="false" ht="15" hidden="false" customHeight="false" outlineLevel="0" collapsed="false">
      <c r="A27" s="2" t="n">
        <v>17</v>
      </c>
      <c r="B27" s="0" t="s">
        <v>68</v>
      </c>
      <c r="C27" s="0" t="n">
        <v>2</v>
      </c>
      <c r="D27" s="0" t="s">
        <v>115</v>
      </c>
      <c r="E27" s="0" t="str">
        <f aca="false">CONCATENATE("Als onderdeel van het programma 'Netwerk op zijn Best' omvat dit groot onderhoudsproject op de ",B27," een rijbaanverbreding van 3 naar 4 rijstroken op het knooppunt tussen de ",B27," en de M2.")</f>
        <v>Als onderdeel van het programma 'Netwerk op zijn Best' omvat dit groot onderhoudsproject op de B11-B een rijbaanverbreding van 3 naar 4 rijstroken op het knooppunt tussen de B11-B en de M2.</v>
      </c>
      <c r="F27" s="13" t="s">
        <v>116</v>
      </c>
      <c r="G27" s="1" t="s">
        <v>122</v>
      </c>
      <c r="H27" s="1" t="n">
        <v>4560</v>
      </c>
      <c r="I27" s="14" t="n">
        <v>2938500</v>
      </c>
      <c r="J27" s="1" t="n">
        <v>13</v>
      </c>
      <c r="K27" s="15" t="n">
        <f aca="false">1/3</f>
        <v>0.333333333333333</v>
      </c>
      <c r="L27" s="1" t="n">
        <v>4</v>
      </c>
      <c r="M27" s="10" t="n">
        <f aca="false">O27-I27</f>
        <v>3783500</v>
      </c>
      <c r="N27" s="10" t="n">
        <f aca="false">IF(P27=1,0,VLOOKUP($P$1,'TTL NORMAL'!$A$2:$B$46,2,0)*(J27+L27)*P27)+IF(Q27=1,0,VLOOKUP($Q$1,'TTL NORMAL'!$A$2:$B$46,2,0)*(J27+L27)*Q27)+IF(R27=1,0,VLOOKUP($R$1,'TTL NORMAL'!$A$2:$B$46,2,0)*(J27+L27)*R27)+IF(S27=1,0,VLOOKUP($S$1,'TTL NORMAL'!$A$2:$B$46,2,0)*(J27+L27)*S27)+IF(T27=1,0,VLOOKUP($T$1,'TTL NORMAL'!$A$2:$B$46,2,0)*(J27+L27)*T27)+IF(U27=1,0,VLOOKUP($U$1,'TTL NORMAL'!$A$2:$B$46,2,0)*(J27+L27)*U27)+IF(V27=1,0,VLOOKUP($V$1,'TTL NORMAL'!$A$2:$B$46,2,0)*(J27+L27)*V27)+IF(W27=1,0,VLOOKUP($W$1,'TTL NORMAL'!$A$2:$B$46,2,0)*(J27+L27)*W27)+IF(X27=1,0,VLOOKUP($X$1,'TTL NORMAL'!$A$2:$B$46,2,0)*(J27+L27)*X27)+IF(Y27=1,0,VLOOKUP($Y$1,'TTL NORMAL'!$A$2:$B$46,2,0)*(J27+L27)*Y27)+IF(Z27=1,0,VLOOKUP($Z$1,'TTL NORMAL'!$A$2:$B$46,2,0)*(J27+L27)*Z27)+IF(AA27=1,0,VLOOKUP($AA$1,'TTL NORMAL'!$A$2:$B$46,2,0)*(J27+L27)*AA27)+IF(AB27=1,0,VLOOKUP($AB$1,'TTL NORMAL'!$A$2:$B$46,2,0)*(J27+L27)*AB27)+IF(AC27=1,0,VLOOKUP($AC$1,'TTL NORMAL'!$A$2:$B$46,2,0)*(J27+L27)*AC27)+IF(AD27=1,0,VLOOKUP($AD$1,'TTL NORMAL'!$A$2:$B$46,2,0)*(J27+L27)*AD27)+IF(AE27=1,0,VLOOKUP($AE$1,'TTL NORMAL'!$A$2:$B$46,2,0)*(J27+L27)*AE27)+IF(AF27=1,0,VLOOKUP($AF$1,'TTL NORMAL'!$A$2:$B$46,2,0)*(J27+L27)*AF27)+IF(AG27=1,0,VLOOKUP($AG$1,'TTL NORMAL'!$A$2:$B$46,2,0)*(J27+L27)*AG27)+IF(AH27=1,0,VLOOKUP($AH$1,'TTL NORMAL'!$A$2:$B$46,2,0)*(J27+L27)*AH27)+IF(AI27=1,0,VLOOKUP($AI$1,'TTL NORMAL'!$A$2:$B$46,2,0)*(J27+L27)*AI27)+IF(AJ27=1,0,VLOOKUP($AJ$1,'TTL NORMAL'!$A$2:$B$46,2,0)*(J27+L27)*AJ27)+IF(AK27=1,0,VLOOKUP($AK$1,'TTL NORMAL'!$A$2:$B$46,2,0)*(J27+L27)*AK27)+IF(AL27=1,0,VLOOKUP($AL$1,'TTL NORMAL'!$A$2:$B$46,2,0)*(J27+L27)*AL27)+IF(AM27=1,0,VLOOKUP($AM$1,'TTL NORMAL'!$A$2:$B$46,2,0)*(J27+L27)*AM27)+IF(AN27=1,0,VLOOKUP($AN$1,'TTL NORMAL'!$A$2:$B$46,2,0)*(J27+L27)*AN27)+IF(AO27=1,0,VLOOKUP($AO$1,'TTL NORMAL'!$A$2:$B$46,2,0)*(J27+L27)*AO27)+IF(AP27=1,0,VLOOKUP($AP$1,'TTL NORMAL'!$A$2:$B$46,2,0)*(J27+L27)*AP27)+IF(AQ27=1,0,VLOOKUP($AQ$1,'TTL NORMAL'!$A$2:$B$46,2,0)*(J27+L27)*AQ27)+IF(AR27=1,0,VLOOKUP($AR$1,'TTL NORMAL'!$A$2:$B$46,2,0)*(J27+L27)*AR27)+IF(AS27=1,0,VLOOKUP($AS$1,'TTL NORMAL'!$A$2:$B$46,2,0)*(J27+L27)*AS27)+IF(AT27=1,0,VLOOKUP($AT$1,'TTL NORMAL'!$A$2:$B$46,2,0)*(J27+L27)*AT27)+IF(AU27=1,0,VLOOKUP($AU$1,'TTL NORMAL'!$A$2:$B$46,2,0)*(J27+L27)*AU27)+IF(AV27=1,0,VLOOKUP($AV$1,'TTL NORMAL'!$A$2:$B$46,2,0)*(J27+L27)*AV27)+IF(AW27=1,0,VLOOKUP($AW$1,'TTL NORMAL'!$A$2:$B$46,2,0)*(J27+L27)*AW27)+IF(AX27=1,0,VLOOKUP($AX$1,'TTL NORMAL'!$A$2:$B$46,2,0)*(J27+L27)*AX27)+IF(AY27=1,0,VLOOKUP($AY$1,'TTL NORMAL'!$A$2:$B$46,2,0)*(J27+L27)*AY27)+IF(AZ27=1,0,VLOOKUP($AZ$1,'TTL NORMAL'!$A$2:$B$46,2,0)*(J27+L27)*AZ27)+IF(BA27=1,0,VLOOKUP($BA$1,'TTL NORMAL'!$A$2:$B$46,2,0)*(J27+L27)*BA27)+IF(BB27=1,0,VLOOKUP($BB$1,'TTL NORMAL'!$A$2:$B$46,2,0)*(J27+L27)*BB27)+IF(BC27=1,0,VLOOKUP($BC$1,'TTL NORMAL'!$A$2:$B$46,2,0)*(J27+L27)*BC27)+IF(BD27=1,0,VLOOKUP($BD$1,'TTL NORMAL'!$A$2:$B$46,2,0)*(J27+L27)*BD27)+IF(BE27=1,0,VLOOKUP($BE$1,'TTL NORMAL'!$A$2:$B$46,2,0)*(J27+L27)*BE27)+IF(BF27=1,0,VLOOKUP($BF$1,'TTL NORMAL'!$A$2:$B$46,2,0)*(J27+L27)*BF27)+IF(BG27=1,0,VLOOKUP($BG$1,'TTL NORMAL'!$A$2:$B$46,2,0)*(J27+L27)*BG27)+IF(BH27=1,0,VLOOKUP($BH$1,'TTL NORMAL'!$A$2:$B$46,2,0)*(J27+L27)*BH27)</f>
        <v>2896506.19889367</v>
      </c>
      <c r="O27" s="5" t="n">
        <v>6722000</v>
      </c>
      <c r="P27" s="18" t="n">
        <v>1.47122786171116</v>
      </c>
      <c r="Q27" s="17" t="n">
        <v>1.47122786171116</v>
      </c>
      <c r="R27" s="17" t="n">
        <v>1.47122786171116</v>
      </c>
      <c r="S27" s="17" t="n">
        <v>1</v>
      </c>
      <c r="T27" s="17" t="n">
        <v>1</v>
      </c>
      <c r="U27" s="17" t="n">
        <v>1</v>
      </c>
      <c r="V27" s="17" t="n">
        <v>1</v>
      </c>
      <c r="W27" s="17" t="n">
        <v>1.47122786171116</v>
      </c>
      <c r="X27" s="17" t="n">
        <v>1</v>
      </c>
      <c r="Y27" s="17" t="n">
        <v>1.47122786171116</v>
      </c>
      <c r="Z27" s="17" t="n">
        <v>1</v>
      </c>
      <c r="AA27" s="17" t="n">
        <v>1.47122786171116</v>
      </c>
      <c r="AB27" s="17" t="n">
        <v>1</v>
      </c>
      <c r="AC27" s="17" t="n">
        <v>1</v>
      </c>
      <c r="AD27" s="17" t="n">
        <v>1</v>
      </c>
      <c r="AE27" s="17" t="n">
        <v>1</v>
      </c>
      <c r="AF27" s="17" t="n">
        <v>1.94245572342233</v>
      </c>
      <c r="AG27" s="17" t="n">
        <v>1.94245572342233</v>
      </c>
      <c r="AH27" s="17" t="n">
        <v>1.94245572342233</v>
      </c>
      <c r="AI27" s="17" t="n">
        <v>1.94245572342233</v>
      </c>
      <c r="AJ27" s="17" t="n">
        <v>1.94245572342233</v>
      </c>
      <c r="AK27" s="17" t="n">
        <v>1.47122786171116</v>
      </c>
      <c r="AL27" s="17" t="n">
        <v>1.94245572342233</v>
      </c>
      <c r="AM27" s="17" t="n">
        <v>1.94245572342233</v>
      </c>
      <c r="AN27" s="17" t="n">
        <v>1.47122786171116</v>
      </c>
      <c r="AO27" s="17" t="n">
        <v>1.47122786171116</v>
      </c>
      <c r="AP27" s="17" t="n">
        <v>1.47122786171116</v>
      </c>
      <c r="AQ27" s="17" t="n">
        <v>1</v>
      </c>
      <c r="AR27" s="17" t="n">
        <v>1</v>
      </c>
      <c r="AS27" s="17" t="n">
        <v>1.47122786171116</v>
      </c>
      <c r="AT27" s="17" t="n">
        <v>1.47122786171116</v>
      </c>
      <c r="AU27" s="17" t="n">
        <v>1</v>
      </c>
      <c r="AV27" s="17" t="n">
        <v>1</v>
      </c>
      <c r="AW27" s="17" t="n">
        <v>1</v>
      </c>
      <c r="AX27" s="17" t="n">
        <v>1</v>
      </c>
      <c r="AY27" s="17" t="n">
        <v>1</v>
      </c>
      <c r="AZ27" s="17" t="n">
        <v>1</v>
      </c>
      <c r="BA27" s="17" t="n">
        <v>1</v>
      </c>
      <c r="BB27" s="17" t="n">
        <v>1</v>
      </c>
      <c r="BC27" s="17" t="n">
        <v>1</v>
      </c>
      <c r="BD27" s="17" t="n">
        <v>1</v>
      </c>
      <c r="BE27" s="17" t="n">
        <v>1.47122786171116</v>
      </c>
      <c r="BF27" s="17" t="n">
        <v>1.94245572342233</v>
      </c>
      <c r="BG27" s="17" t="n">
        <v>1.47122786171116</v>
      </c>
      <c r="BH27" s="17" t="n">
        <v>1</v>
      </c>
      <c r="BI27" s="17"/>
      <c r="BJ27" s="18"/>
    </row>
    <row r="28" customFormat="false" ht="15" hidden="false" customHeight="false" outlineLevel="0" collapsed="false">
      <c r="A28" s="2" t="n">
        <v>17</v>
      </c>
      <c r="B28" s="0" t="s">
        <v>68</v>
      </c>
      <c r="C28" s="0" t="n">
        <v>3</v>
      </c>
      <c r="D28" s="0" t="s">
        <v>117</v>
      </c>
      <c r="E28" s="0" t="str">
        <f aca="false">CONCATENATE("Als onderdeel van het programma 'Netwerk op zijn Best' omvat dit groot onderhoudsproject op de ",B28," een rijbaanverbreding van 3 naar 4 rijstroken op het knooppunt tussen de ",B28," en de M2.")</f>
        <v>Als onderdeel van het programma 'Netwerk op zijn Best' omvat dit groot onderhoudsproject op de B11-B een rijbaanverbreding van 3 naar 4 rijstroken op het knooppunt tussen de B11-B en de M2.</v>
      </c>
      <c r="F28" s="13" t="s">
        <v>118</v>
      </c>
      <c r="G28" s="1" t="s">
        <v>122</v>
      </c>
      <c r="H28" s="1" t="n">
        <v>3800</v>
      </c>
      <c r="I28" s="14" t="n">
        <v>4618350</v>
      </c>
      <c r="J28" s="1" t="n">
        <v>13</v>
      </c>
      <c r="K28" s="15" t="n">
        <f aca="false">1/3</f>
        <v>0.333333333333333</v>
      </c>
      <c r="L28" s="1" t="n">
        <v>0</v>
      </c>
      <c r="M28" s="10" t="n">
        <f aca="false">O28-I28</f>
        <v>2103650</v>
      </c>
      <c r="N28" s="10" t="n">
        <f aca="false">IF(P28=1,0,VLOOKUP($P$1,'TTL NORMAL'!$A$2:$B$46,2,0)*(J28+L28)*P28)+IF(Q28=1,0,VLOOKUP($Q$1,'TTL NORMAL'!$A$2:$B$46,2,0)*(J28+L28)*Q28)+IF(R28=1,0,VLOOKUP($R$1,'TTL NORMAL'!$A$2:$B$46,2,0)*(J28+L28)*R28)+IF(S28=1,0,VLOOKUP($S$1,'TTL NORMAL'!$A$2:$B$46,2,0)*(J28+L28)*S28)+IF(T28=1,0,VLOOKUP($T$1,'TTL NORMAL'!$A$2:$B$46,2,0)*(J28+L28)*T28)+IF(U28=1,0,VLOOKUP($U$1,'TTL NORMAL'!$A$2:$B$46,2,0)*(J28+L28)*U28)+IF(V28=1,0,VLOOKUP($V$1,'TTL NORMAL'!$A$2:$B$46,2,0)*(J28+L28)*V28)+IF(W28=1,0,VLOOKUP($W$1,'TTL NORMAL'!$A$2:$B$46,2,0)*(J28+L28)*W28)+IF(X28=1,0,VLOOKUP($X$1,'TTL NORMAL'!$A$2:$B$46,2,0)*(J28+L28)*X28)+IF(Y28=1,0,VLOOKUP($Y$1,'TTL NORMAL'!$A$2:$B$46,2,0)*(J28+L28)*Y28)+IF(Z28=1,0,VLOOKUP($Z$1,'TTL NORMAL'!$A$2:$B$46,2,0)*(J28+L28)*Z28)+IF(AA28=1,0,VLOOKUP($AA$1,'TTL NORMAL'!$A$2:$B$46,2,0)*(J28+L28)*AA28)+IF(AB28=1,0,VLOOKUP($AB$1,'TTL NORMAL'!$A$2:$B$46,2,0)*(J28+L28)*AB28)+IF(AC28=1,0,VLOOKUP($AC$1,'TTL NORMAL'!$A$2:$B$46,2,0)*(J28+L28)*AC28)+IF(AD28=1,0,VLOOKUP($AD$1,'TTL NORMAL'!$A$2:$B$46,2,0)*(J28+L28)*AD28)+IF(AE28=1,0,VLOOKUP($AE$1,'TTL NORMAL'!$A$2:$B$46,2,0)*(J28+L28)*AE28)+IF(AF28=1,0,VLOOKUP($AF$1,'TTL NORMAL'!$A$2:$B$46,2,0)*(J28+L28)*AF28)+IF(AG28=1,0,VLOOKUP($AG$1,'TTL NORMAL'!$A$2:$B$46,2,0)*(J28+L28)*AG28)+IF(AH28=1,0,VLOOKUP($AH$1,'TTL NORMAL'!$A$2:$B$46,2,0)*(J28+L28)*AH28)+IF(AI28=1,0,VLOOKUP($AI$1,'TTL NORMAL'!$A$2:$B$46,2,0)*(J28+L28)*AI28)+IF(AJ28=1,0,VLOOKUP($AJ$1,'TTL NORMAL'!$A$2:$B$46,2,0)*(J28+L28)*AJ28)+IF(AK28=1,0,VLOOKUP($AK$1,'TTL NORMAL'!$A$2:$B$46,2,0)*(J28+L28)*AK28)+IF(AL28=1,0,VLOOKUP($AL$1,'TTL NORMAL'!$A$2:$B$46,2,0)*(J28+L28)*AL28)+IF(AM28=1,0,VLOOKUP($AM$1,'TTL NORMAL'!$A$2:$B$46,2,0)*(J28+L28)*AM28)+IF(AN28=1,0,VLOOKUP($AN$1,'TTL NORMAL'!$A$2:$B$46,2,0)*(J28+L28)*AN28)+IF(AO28=1,0,VLOOKUP($AO$1,'TTL NORMAL'!$A$2:$B$46,2,0)*(J28+L28)*AO28)+IF(AP28=1,0,VLOOKUP($AP$1,'TTL NORMAL'!$A$2:$B$46,2,0)*(J28+L28)*AP28)+IF(AQ28=1,0,VLOOKUP($AQ$1,'TTL NORMAL'!$A$2:$B$46,2,0)*(J28+L28)*AQ28)+IF(AR28=1,0,VLOOKUP($AR$1,'TTL NORMAL'!$A$2:$B$46,2,0)*(J28+L28)*AR28)+IF(AS28=1,0,VLOOKUP($AS$1,'TTL NORMAL'!$A$2:$B$46,2,0)*(J28+L28)*AS28)+IF(AT28=1,0,VLOOKUP($AT$1,'TTL NORMAL'!$A$2:$B$46,2,0)*(J28+L28)*AT28)+IF(AU28=1,0,VLOOKUP($AU$1,'TTL NORMAL'!$A$2:$B$46,2,0)*(J28+L28)*AU28)+IF(AV28=1,0,VLOOKUP($AV$1,'TTL NORMAL'!$A$2:$B$46,2,0)*(J28+L28)*AV28)+IF(AW28=1,0,VLOOKUP($AW$1,'TTL NORMAL'!$A$2:$B$46,2,0)*(J28+L28)*AW28)+IF(AX28=1,0,VLOOKUP($AX$1,'TTL NORMAL'!$A$2:$B$46,2,0)*(J28+L28)*AX28)+IF(AY28=1,0,VLOOKUP($AY$1,'TTL NORMAL'!$A$2:$B$46,2,0)*(J28+L28)*AY28)+IF(AZ28=1,0,VLOOKUP($AZ$1,'TTL NORMAL'!$A$2:$B$46,2,0)*(J28+L28)*AZ28)+IF(BA28=1,0,VLOOKUP($BA$1,'TTL NORMAL'!$A$2:$B$46,2,0)*(J28+L28)*BA28)+IF(BB28=1,0,VLOOKUP($BB$1,'TTL NORMAL'!$A$2:$B$46,2,0)*(J28+L28)*BB28)+IF(BC28=1,0,VLOOKUP($BC$1,'TTL NORMAL'!$A$2:$B$46,2,0)*(J28+L28)*BC28)+IF(BD28=1,0,VLOOKUP($BD$1,'TTL NORMAL'!$A$2:$B$46,2,0)*(J28+L28)*BD28)+IF(BE28=1,0,VLOOKUP($BE$1,'TTL NORMAL'!$A$2:$B$46,2,0)*(J28+L28)*BE28)+IF(BF28=1,0,VLOOKUP($BF$1,'TTL NORMAL'!$A$2:$B$46,2,0)*(J28+L28)*BF28)+IF(BG28=1,0,VLOOKUP($BG$1,'TTL NORMAL'!$A$2:$B$46,2,0)*(J28+L28)*BG28)+IF(BH28=1,0,VLOOKUP($BH$1,'TTL NORMAL'!$A$2:$B$46,2,0)*(J28+L28)*BH28)</f>
        <v>2061591.8671786</v>
      </c>
      <c r="O28" s="10" t="n">
        <v>6722000</v>
      </c>
      <c r="P28" s="18" t="n">
        <v>1.3926898847593</v>
      </c>
      <c r="Q28" s="17" t="n">
        <v>1.3926898847593</v>
      </c>
      <c r="R28" s="17" t="n">
        <v>1.3926898847593</v>
      </c>
      <c r="S28" s="17" t="n">
        <v>1</v>
      </c>
      <c r="T28" s="17" t="n">
        <v>1</v>
      </c>
      <c r="U28" s="17" t="n">
        <v>1</v>
      </c>
      <c r="V28" s="17" t="n">
        <v>1</v>
      </c>
      <c r="W28" s="17" t="n">
        <v>1.3926898847593</v>
      </c>
      <c r="X28" s="17" t="n">
        <v>1</v>
      </c>
      <c r="Y28" s="17" t="n">
        <v>1.3926898847593</v>
      </c>
      <c r="Z28" s="17" t="n">
        <v>1</v>
      </c>
      <c r="AA28" s="17" t="n">
        <v>1.3926898847593</v>
      </c>
      <c r="AB28" s="17" t="n">
        <v>1</v>
      </c>
      <c r="AC28" s="17" t="n">
        <v>1</v>
      </c>
      <c r="AD28" s="17" t="n">
        <v>1</v>
      </c>
      <c r="AE28" s="17" t="n">
        <v>1</v>
      </c>
      <c r="AF28" s="17" t="n">
        <v>1.78537976951861</v>
      </c>
      <c r="AG28" s="17" t="n">
        <v>1.3926898847593</v>
      </c>
      <c r="AH28" s="17" t="n">
        <v>1.78537976951861</v>
      </c>
      <c r="AI28" s="17" t="n">
        <v>1.78537976951861</v>
      </c>
      <c r="AJ28" s="17" t="n">
        <v>1.78537976951861</v>
      </c>
      <c r="AK28" s="17" t="n">
        <v>1.3926898847593</v>
      </c>
      <c r="AL28" s="17" t="n">
        <v>1.78537976951861</v>
      </c>
      <c r="AM28" s="17" t="n">
        <v>1.78537976951861</v>
      </c>
      <c r="AN28" s="17" t="n">
        <v>1.3926898847593</v>
      </c>
      <c r="AO28" s="17" t="n">
        <v>1.3926898847593</v>
      </c>
      <c r="AP28" s="17" t="n">
        <v>1.3926898847593</v>
      </c>
      <c r="AQ28" s="17" t="n">
        <v>1</v>
      </c>
      <c r="AR28" s="17" t="n">
        <v>1</v>
      </c>
      <c r="AS28" s="17" t="n">
        <v>1.3926898847593</v>
      </c>
      <c r="AT28" s="17" t="n">
        <v>1.3926898847593</v>
      </c>
      <c r="AU28" s="17" t="n">
        <v>1</v>
      </c>
      <c r="AV28" s="17" t="n">
        <v>1</v>
      </c>
      <c r="AW28" s="17" t="n">
        <v>1</v>
      </c>
      <c r="AX28" s="17" t="n">
        <v>1</v>
      </c>
      <c r="AY28" s="17" t="n">
        <v>1</v>
      </c>
      <c r="AZ28" s="17" t="n">
        <v>1</v>
      </c>
      <c r="BA28" s="17" t="n">
        <v>1</v>
      </c>
      <c r="BB28" s="17" t="n">
        <v>1</v>
      </c>
      <c r="BC28" s="17" t="n">
        <v>1</v>
      </c>
      <c r="BD28" s="17" t="n">
        <v>1</v>
      </c>
      <c r="BE28" s="17" t="n">
        <v>1.3926898847593</v>
      </c>
      <c r="BF28" s="17" t="n">
        <v>1.78537976951861</v>
      </c>
      <c r="BG28" s="17" t="n">
        <v>1.3926898847593</v>
      </c>
      <c r="BH28" s="17" t="n">
        <v>1</v>
      </c>
      <c r="BI28" s="17"/>
      <c r="BJ28" s="18"/>
    </row>
    <row r="29" customFormat="false" ht="15" hidden="false" customHeight="false" outlineLevel="0" collapsed="false">
      <c r="A29" s="2" t="n">
        <v>17</v>
      </c>
      <c r="B29" s="0" t="s">
        <v>68</v>
      </c>
      <c r="C29" s="0" t="n">
        <v>4</v>
      </c>
      <c r="D29" s="0" t="s">
        <v>119</v>
      </c>
      <c r="E29" s="0" t="str">
        <f aca="false">CONCATENATE("Als onderdeel van het programma 'Netwerk op zijn Best' omvat dit groot onderhoudsproject op de ",B29," een rijbaanverbreding van 3 naar 4 rijstroken op het knooppunt tussen de ",B29," en de M2.")</f>
        <v>Als onderdeel van het programma 'Netwerk op zijn Best' omvat dit groot onderhoudsproject op de B11-B een rijbaanverbreding van 3 naar 4 rijstroken op het knooppunt tussen de B11-B en de M2.</v>
      </c>
      <c r="F29" s="13" t="s">
        <v>120</v>
      </c>
      <c r="G29" s="1" t="s">
        <v>122</v>
      </c>
      <c r="H29" s="1" t="n">
        <v>4560</v>
      </c>
      <c r="I29" s="14" t="n">
        <v>4198500</v>
      </c>
      <c r="J29" s="1" t="n">
        <v>9.1</v>
      </c>
      <c r="K29" s="15" t="n">
        <f aca="false">1/3</f>
        <v>0.333333333333333</v>
      </c>
      <c r="L29" s="1" t="n">
        <v>2</v>
      </c>
      <c r="M29" s="10" t="n">
        <f aca="false">O29-I29</f>
        <v>2523500</v>
      </c>
      <c r="N29" s="10" t="n">
        <f aca="false">IF(P29=1,0,VLOOKUP($P$1,'TTL NORMAL'!$A$2:$B$46,2,0)*(J29+L29)*P29)+IF(Q29=1,0,VLOOKUP($Q$1,'TTL NORMAL'!$A$2:$B$46,2,0)*(J29+L29)*Q29)+IF(R29=1,0,VLOOKUP($R$1,'TTL NORMAL'!$A$2:$B$46,2,0)*(J29+L29)*R29)+IF(S29=1,0,VLOOKUP($S$1,'TTL NORMAL'!$A$2:$B$46,2,0)*(J29+L29)*S29)+IF(T29=1,0,VLOOKUP($T$1,'TTL NORMAL'!$A$2:$B$46,2,0)*(J29+L29)*T29)+IF(U29=1,0,VLOOKUP($U$1,'TTL NORMAL'!$A$2:$B$46,2,0)*(J29+L29)*U29)+IF(V29=1,0,VLOOKUP($V$1,'TTL NORMAL'!$A$2:$B$46,2,0)*(J29+L29)*V29)+IF(W29=1,0,VLOOKUP($W$1,'TTL NORMAL'!$A$2:$B$46,2,0)*(J29+L29)*W29)+IF(X29=1,0,VLOOKUP($X$1,'TTL NORMAL'!$A$2:$B$46,2,0)*(J29+L29)*X29)+IF(Y29=1,0,VLOOKUP($Y$1,'TTL NORMAL'!$A$2:$B$46,2,0)*(J29+L29)*Y29)+IF(Z29=1,0,VLOOKUP($Z$1,'TTL NORMAL'!$A$2:$B$46,2,0)*(J29+L29)*Z29)+IF(AA29=1,0,VLOOKUP($AA$1,'TTL NORMAL'!$A$2:$B$46,2,0)*(J29+L29)*AA29)+IF(AB29=1,0,VLOOKUP($AB$1,'TTL NORMAL'!$A$2:$B$46,2,0)*(J29+L29)*AB29)+IF(AC29=1,0,VLOOKUP($AC$1,'TTL NORMAL'!$A$2:$B$46,2,0)*(J29+L29)*AC29)+IF(AD29=1,0,VLOOKUP($AD$1,'TTL NORMAL'!$A$2:$B$46,2,0)*(J29+L29)*AD29)+IF(AE29=1,0,VLOOKUP($AE$1,'TTL NORMAL'!$A$2:$B$46,2,0)*(J29+L29)*AE29)+IF(AF29=1,0,VLOOKUP($AF$1,'TTL NORMAL'!$A$2:$B$46,2,0)*(J29+L29)*AF29)+IF(AG29=1,0,VLOOKUP($AG$1,'TTL NORMAL'!$A$2:$B$46,2,0)*(J29+L29)*AG29)+IF(AH29=1,0,VLOOKUP($AH$1,'TTL NORMAL'!$A$2:$B$46,2,0)*(J29+L29)*AH29)+IF(AI29=1,0,VLOOKUP($AI$1,'TTL NORMAL'!$A$2:$B$46,2,0)*(J29+L29)*AI29)+IF(AJ29=1,0,VLOOKUP($AJ$1,'TTL NORMAL'!$A$2:$B$46,2,0)*(J29+L29)*AJ29)+IF(AK29=1,0,VLOOKUP($AK$1,'TTL NORMAL'!$A$2:$B$46,2,0)*(J29+L29)*AK29)+IF(AL29=1,0,VLOOKUP($AL$1,'TTL NORMAL'!$A$2:$B$46,2,0)*(J29+L29)*AL29)+IF(AM29=1,0,VLOOKUP($AM$1,'TTL NORMAL'!$A$2:$B$46,2,0)*(J29+L29)*AM29)+IF(AN29=1,0,VLOOKUP($AN$1,'TTL NORMAL'!$A$2:$B$46,2,0)*(J29+L29)*AN29)+IF(AO29=1,0,VLOOKUP($AO$1,'TTL NORMAL'!$A$2:$B$46,2,0)*(J29+L29)*AO29)+IF(AP29=1,0,VLOOKUP($AP$1,'TTL NORMAL'!$A$2:$B$46,2,0)*(J29+L29)*AP29)+IF(AQ29=1,0,VLOOKUP($AQ$1,'TTL NORMAL'!$A$2:$B$46,2,0)*(J29+L29)*AQ29)+IF(AR29=1,0,VLOOKUP($AR$1,'TTL NORMAL'!$A$2:$B$46,2,0)*(J29+L29)*AR29)+IF(AS29=1,0,VLOOKUP($AS$1,'TTL NORMAL'!$A$2:$B$46,2,0)*(J29+L29)*AS29)+IF(AT29=1,0,VLOOKUP($AT$1,'TTL NORMAL'!$A$2:$B$46,2,0)*(J29+L29)*AT29)+IF(AU29=1,0,VLOOKUP($AU$1,'TTL NORMAL'!$A$2:$B$46,2,0)*(J29+L29)*AU29)+IF(AV29=1,0,VLOOKUP($AV$1,'TTL NORMAL'!$A$2:$B$46,2,0)*(J29+L29)*AV29)+IF(AW29=1,0,VLOOKUP($AW$1,'TTL NORMAL'!$A$2:$B$46,2,0)*(J29+L29)*AW29)+IF(AX29=1,0,VLOOKUP($AX$1,'TTL NORMAL'!$A$2:$B$46,2,0)*(J29+L29)*AX29)+IF(AY29=1,0,VLOOKUP($AY$1,'TTL NORMAL'!$A$2:$B$46,2,0)*(J29+L29)*AY29)+IF(AZ29=1,0,VLOOKUP($AZ$1,'TTL NORMAL'!$A$2:$B$46,2,0)*(J29+L29)*AZ29)+IF(BA29=1,0,VLOOKUP($BA$1,'TTL NORMAL'!$A$2:$B$46,2,0)*(J29+L29)*BA29)+IF(BB29=1,0,VLOOKUP($BB$1,'TTL NORMAL'!$A$2:$B$46,2,0)*(J29+L29)*BB29)+IF(BC29=1,0,VLOOKUP($BC$1,'TTL NORMAL'!$A$2:$B$46,2,0)*(J29+L29)*BC29)+IF(BD29=1,0,VLOOKUP($BD$1,'TTL NORMAL'!$A$2:$B$46,2,0)*(J29+L29)*BD29)+IF(BE29=1,0,VLOOKUP($BE$1,'TTL NORMAL'!$A$2:$B$46,2,0)*(J29+L29)*BE29)+IF(BF29=1,0,VLOOKUP($BF$1,'TTL NORMAL'!$A$2:$B$46,2,0)*(J29+L29)*BF29)+IF(BG29=1,0,VLOOKUP($BG$1,'TTL NORMAL'!$A$2:$B$46,2,0)*(J29+L29)*BG29)+IF(BH29=1,0,VLOOKUP($BH$1,'TTL NORMAL'!$A$2:$B$46,2,0)*(J29+L29)*BH29)</f>
        <v>1891248.16515999</v>
      </c>
      <c r="O29" s="5" t="n">
        <v>6722000</v>
      </c>
      <c r="P29" s="18" t="n">
        <v>1.47122786171116</v>
      </c>
      <c r="Q29" s="17" t="n">
        <v>1.47122786171116</v>
      </c>
      <c r="R29" s="17" t="n">
        <v>1.47122786171116</v>
      </c>
      <c r="S29" s="17" t="n">
        <v>1</v>
      </c>
      <c r="T29" s="17" t="n">
        <v>1</v>
      </c>
      <c r="U29" s="17" t="n">
        <v>1</v>
      </c>
      <c r="V29" s="17" t="n">
        <v>1</v>
      </c>
      <c r="W29" s="17" t="n">
        <v>1.47122786171116</v>
      </c>
      <c r="X29" s="17" t="n">
        <v>1</v>
      </c>
      <c r="Y29" s="17" t="n">
        <v>1.47122786171116</v>
      </c>
      <c r="Z29" s="17" t="n">
        <v>1</v>
      </c>
      <c r="AA29" s="17" t="n">
        <v>1.47122786171116</v>
      </c>
      <c r="AB29" s="17" t="n">
        <v>1</v>
      </c>
      <c r="AC29" s="17" t="n">
        <v>1</v>
      </c>
      <c r="AD29" s="17" t="n">
        <v>1</v>
      </c>
      <c r="AE29" s="17" t="n">
        <v>1</v>
      </c>
      <c r="AF29" s="17" t="n">
        <v>1.94245572342233</v>
      </c>
      <c r="AG29" s="17" t="n">
        <v>1.94245572342233</v>
      </c>
      <c r="AH29" s="17" t="n">
        <v>1.94245572342233</v>
      </c>
      <c r="AI29" s="17" t="n">
        <v>1.94245572342233</v>
      </c>
      <c r="AJ29" s="17" t="n">
        <v>1.94245572342233</v>
      </c>
      <c r="AK29" s="17" t="n">
        <v>1.47122786171116</v>
      </c>
      <c r="AL29" s="17" t="n">
        <v>1.94245572342233</v>
      </c>
      <c r="AM29" s="17" t="n">
        <v>1.94245572342233</v>
      </c>
      <c r="AN29" s="17" t="n">
        <v>1.47122786171116</v>
      </c>
      <c r="AO29" s="17" t="n">
        <v>1.47122786171116</v>
      </c>
      <c r="AP29" s="17" t="n">
        <v>1.47122786171116</v>
      </c>
      <c r="AQ29" s="17" t="n">
        <v>1</v>
      </c>
      <c r="AR29" s="17" t="n">
        <v>1</v>
      </c>
      <c r="AS29" s="17" t="n">
        <v>1.47122786171116</v>
      </c>
      <c r="AT29" s="17" t="n">
        <v>1.47122786171116</v>
      </c>
      <c r="AU29" s="17" t="n">
        <v>1</v>
      </c>
      <c r="AV29" s="17" t="n">
        <v>1</v>
      </c>
      <c r="AW29" s="17" t="n">
        <v>1</v>
      </c>
      <c r="AX29" s="17" t="n">
        <v>1</v>
      </c>
      <c r="AY29" s="17" t="n">
        <v>1</v>
      </c>
      <c r="AZ29" s="17" t="n">
        <v>1</v>
      </c>
      <c r="BA29" s="17" t="n">
        <v>1</v>
      </c>
      <c r="BB29" s="17" t="n">
        <v>1</v>
      </c>
      <c r="BC29" s="17" t="n">
        <v>1</v>
      </c>
      <c r="BD29" s="17" t="n">
        <v>1</v>
      </c>
      <c r="BE29" s="17" t="n">
        <v>1.47122786171116</v>
      </c>
      <c r="BF29" s="17" t="n">
        <v>1.94245572342233</v>
      </c>
      <c r="BG29" s="17" t="n">
        <v>1.47122786171116</v>
      </c>
      <c r="BH29" s="17" t="n">
        <v>1</v>
      </c>
      <c r="BI29" s="17"/>
      <c r="BJ29" s="18"/>
    </row>
    <row r="30" customFormat="false" ht="15" hidden="false" customHeight="false" outlineLevel="0" collapsed="false">
      <c r="A30" s="2" t="n">
        <v>18</v>
      </c>
      <c r="B30" s="9" t="s">
        <v>69</v>
      </c>
      <c r="C30" s="0" t="n">
        <v>1</v>
      </c>
      <c r="D30" s="0" t="s">
        <v>112</v>
      </c>
      <c r="E30" s="0" t="str">
        <f aca="false">CONCATENATE("Als onderdeel van het programma 'Netwerk op zijn Best' omvat dit groot onderhoudsproject op de ",B30," een grootschalige vernieuwing van het asfalt.")</f>
        <v>Als onderdeel van het programma 'Netwerk op zijn Best' omvat dit groot onderhoudsproject op de B11-C een grootschalige vernieuwing van het asfalt.</v>
      </c>
      <c r="F30" s="13" t="s">
        <v>113</v>
      </c>
      <c r="G30" s="1" t="s">
        <v>121</v>
      </c>
      <c r="H30" s="1" t="n">
        <v>1120</v>
      </c>
      <c r="I30" s="14" t="n">
        <v>1848000</v>
      </c>
      <c r="J30" s="1" t="n">
        <v>5.5</v>
      </c>
      <c r="K30" s="15" t="n">
        <f aca="false">1/3</f>
        <v>0.333333333333333</v>
      </c>
      <c r="L30" s="1" t="n">
        <v>1</v>
      </c>
      <c r="M30" s="10" t="n">
        <f aca="false">O30-I30</f>
        <v>840000</v>
      </c>
      <c r="N30" s="10" t="n">
        <f aca="false">IF(P30=1,0,VLOOKUP($P$1,'TTL NORMAL'!$A$2:$B$46,2,0)*(J30+L30)*P30)+IF(Q30=1,0,VLOOKUP($Q$1,'TTL NORMAL'!$A$2:$B$46,2,0)*(J30+L30)*Q30)+IF(R30=1,0,VLOOKUP($R$1,'TTL NORMAL'!$A$2:$B$46,2,0)*(J30+L30)*R30)+IF(S30=1,0,VLOOKUP($S$1,'TTL NORMAL'!$A$2:$B$46,2,0)*(J30+L30)*S30)+IF(T30=1,0,VLOOKUP($T$1,'TTL NORMAL'!$A$2:$B$46,2,0)*(J30+L30)*T30)+IF(U30=1,0,VLOOKUP($U$1,'TTL NORMAL'!$A$2:$B$46,2,0)*(J30+L30)*U30)+IF(V30=1,0,VLOOKUP($V$1,'TTL NORMAL'!$A$2:$B$46,2,0)*(J30+L30)*V30)+IF(W30=1,0,VLOOKUP($W$1,'TTL NORMAL'!$A$2:$B$46,2,0)*(J30+L30)*W30)+IF(X30=1,0,VLOOKUP($X$1,'TTL NORMAL'!$A$2:$B$46,2,0)*(J30+L30)*X30)+IF(Y30=1,0,VLOOKUP($Y$1,'TTL NORMAL'!$A$2:$B$46,2,0)*(J30+L30)*Y30)+IF(Z30=1,0,VLOOKUP($Z$1,'TTL NORMAL'!$A$2:$B$46,2,0)*(J30+L30)*Z30)+IF(AA30=1,0,VLOOKUP($AA$1,'TTL NORMAL'!$A$2:$B$46,2,0)*(J30+L30)*AA30)+IF(AB30=1,0,VLOOKUP($AB$1,'TTL NORMAL'!$A$2:$B$46,2,0)*(J30+L30)*AB30)+IF(AC30=1,0,VLOOKUP($AC$1,'TTL NORMAL'!$A$2:$B$46,2,0)*(J30+L30)*AC30)+IF(AD30=1,0,VLOOKUP($AD$1,'TTL NORMAL'!$A$2:$B$46,2,0)*(J30+L30)*AD30)+IF(AE30=1,0,VLOOKUP($AE$1,'TTL NORMAL'!$A$2:$B$46,2,0)*(J30+L30)*AE30)+IF(AF30=1,0,VLOOKUP($AF$1,'TTL NORMAL'!$A$2:$B$46,2,0)*(J30+L30)*AF30)+IF(AG30=1,0,VLOOKUP($AG$1,'TTL NORMAL'!$A$2:$B$46,2,0)*(J30+L30)*AG30)+IF(AH30=1,0,VLOOKUP($AH$1,'TTL NORMAL'!$A$2:$B$46,2,0)*(J30+L30)*AH30)+IF(AI30=1,0,VLOOKUP($AI$1,'TTL NORMAL'!$A$2:$B$46,2,0)*(J30+L30)*AI30)+IF(AJ30=1,0,VLOOKUP($AJ$1,'TTL NORMAL'!$A$2:$B$46,2,0)*(J30+L30)*AJ30)+IF(AK30=1,0,VLOOKUP($AK$1,'TTL NORMAL'!$A$2:$B$46,2,0)*(J30+L30)*AK30)+IF(AL30=1,0,VLOOKUP($AL$1,'TTL NORMAL'!$A$2:$B$46,2,0)*(J30+L30)*AL30)+IF(AM30=1,0,VLOOKUP($AM$1,'TTL NORMAL'!$A$2:$B$46,2,0)*(J30+L30)*AM30)+IF(AN30=1,0,VLOOKUP($AN$1,'TTL NORMAL'!$A$2:$B$46,2,0)*(J30+L30)*AN30)+IF(AO30=1,0,VLOOKUP($AO$1,'TTL NORMAL'!$A$2:$B$46,2,0)*(J30+L30)*AO30)+IF(AP30=1,0,VLOOKUP($AP$1,'TTL NORMAL'!$A$2:$B$46,2,0)*(J30+L30)*AP30)+IF(AQ30=1,0,VLOOKUP($AQ$1,'TTL NORMAL'!$A$2:$B$46,2,0)*(J30+L30)*AQ30)+IF(AR30=1,0,VLOOKUP($AR$1,'TTL NORMAL'!$A$2:$B$46,2,0)*(J30+L30)*AR30)+IF(AS30=1,0,VLOOKUP($AS$1,'TTL NORMAL'!$A$2:$B$46,2,0)*(J30+L30)*AS30)+IF(AT30=1,0,VLOOKUP($AT$1,'TTL NORMAL'!$A$2:$B$46,2,0)*(J30+L30)*AT30)+IF(AU30=1,0,VLOOKUP($AU$1,'TTL NORMAL'!$A$2:$B$46,2,0)*(J30+L30)*AU30)+IF(AV30=1,0,VLOOKUP($AV$1,'TTL NORMAL'!$A$2:$B$46,2,0)*(J30+L30)*AV30)+IF(AW30=1,0,VLOOKUP($AW$1,'TTL NORMAL'!$A$2:$B$46,2,0)*(J30+L30)*AW30)+IF(AX30=1,0,VLOOKUP($AX$1,'TTL NORMAL'!$A$2:$B$46,2,0)*(J30+L30)*AX30)+IF(AY30=1,0,VLOOKUP($AY$1,'TTL NORMAL'!$A$2:$B$46,2,0)*(J30+L30)*AY30)+IF(AZ30=1,0,VLOOKUP($AZ$1,'TTL NORMAL'!$A$2:$B$46,2,0)*(J30+L30)*AZ30)+IF(BA30=1,0,VLOOKUP($BA$1,'TTL NORMAL'!$A$2:$B$46,2,0)*(J30+L30)*BA30)+IF(BB30=1,0,VLOOKUP($BB$1,'TTL NORMAL'!$A$2:$B$46,2,0)*(J30+L30)*BB30)+IF(BC30=1,0,VLOOKUP($BC$1,'TTL NORMAL'!$A$2:$B$46,2,0)*(J30+L30)*BC30)+IF(BD30=1,0,VLOOKUP($BD$1,'TTL NORMAL'!$A$2:$B$46,2,0)*(J30+L30)*BD30)+IF(BE30=1,0,VLOOKUP($BE$1,'TTL NORMAL'!$A$2:$B$46,2,0)*(J30+L30)*BE30)+IF(BF30=1,0,VLOOKUP($BF$1,'TTL NORMAL'!$A$2:$B$46,2,0)*(J30+L30)*BF30)+IF(BG30=1,0,VLOOKUP($BG$1,'TTL NORMAL'!$A$2:$B$46,2,0)*(J30+L30)*BG30)+IF(BH30=1,0,VLOOKUP($BH$1,'TTL NORMAL'!$A$2:$B$46,2,0)*(J30+L30)*BH30)</f>
        <v>596720.684821317</v>
      </c>
      <c r="O30" s="5" t="n">
        <v>2688000</v>
      </c>
      <c r="P30" s="18" t="n">
        <v>1</v>
      </c>
      <c r="Q30" s="17" t="n">
        <v>1</v>
      </c>
      <c r="R30" s="17" t="n">
        <v>1</v>
      </c>
      <c r="S30" s="17" t="n">
        <v>1</v>
      </c>
      <c r="T30" s="17" t="n">
        <v>1</v>
      </c>
      <c r="U30" s="17" t="n">
        <v>1</v>
      </c>
      <c r="V30" s="17" t="n">
        <v>1</v>
      </c>
      <c r="W30" s="17" t="n">
        <v>1</v>
      </c>
      <c r="X30" s="17" t="n">
        <v>1</v>
      </c>
      <c r="Y30" s="17" t="n">
        <v>1.20998335457443</v>
      </c>
      <c r="Z30" s="17" t="n">
        <v>1.20998335457443</v>
      </c>
      <c r="AA30" s="17" t="n">
        <v>1.41996670914887</v>
      </c>
      <c r="AB30" s="17" t="n">
        <v>1</v>
      </c>
      <c r="AC30" s="17" t="n">
        <v>1</v>
      </c>
      <c r="AD30" s="17" t="n">
        <v>1</v>
      </c>
      <c r="AE30" s="17" t="n">
        <v>1</v>
      </c>
      <c r="AF30" s="17" t="n">
        <v>1.20998335457443</v>
      </c>
      <c r="AG30" s="17" t="n">
        <v>1.41996670914887</v>
      </c>
      <c r="AH30" s="17" t="n">
        <v>1</v>
      </c>
      <c r="AI30" s="17" t="n">
        <v>1.20998335457443</v>
      </c>
      <c r="AJ30" s="17" t="n">
        <v>1.20998335457443</v>
      </c>
      <c r="AK30" s="17" t="n">
        <v>1</v>
      </c>
      <c r="AL30" s="17" t="n">
        <v>1.41996670914887</v>
      </c>
      <c r="AM30" s="17" t="n">
        <v>1.41996670914887</v>
      </c>
      <c r="AN30" s="17" t="n">
        <v>1.20998335457443</v>
      </c>
      <c r="AO30" s="17" t="n">
        <v>1.20998335457443</v>
      </c>
      <c r="AP30" s="17" t="n">
        <v>1.20998335457443</v>
      </c>
      <c r="AQ30" s="17" t="n">
        <v>1</v>
      </c>
      <c r="AR30" s="17" t="n">
        <v>1</v>
      </c>
      <c r="AS30" s="17" t="n">
        <v>1</v>
      </c>
      <c r="AT30" s="17" t="n">
        <v>1</v>
      </c>
      <c r="AU30" s="17" t="n">
        <v>1</v>
      </c>
      <c r="AV30" s="17" t="n">
        <v>1</v>
      </c>
      <c r="AW30" s="17" t="n">
        <v>1</v>
      </c>
      <c r="AX30" s="17" t="n">
        <v>1.20998335457443</v>
      </c>
      <c r="AY30" s="17" t="n">
        <v>1.20998335457443</v>
      </c>
      <c r="AZ30" s="17" t="n">
        <v>1</v>
      </c>
      <c r="BA30" s="17" t="n">
        <v>1</v>
      </c>
      <c r="BB30" s="17" t="n">
        <v>1</v>
      </c>
      <c r="BC30" s="17" t="n">
        <v>1</v>
      </c>
      <c r="BD30" s="17" t="n">
        <v>1</v>
      </c>
      <c r="BE30" s="17" t="n">
        <v>1</v>
      </c>
      <c r="BF30" s="17" t="n">
        <v>1.20998335457443</v>
      </c>
      <c r="BG30" s="17" t="n">
        <v>1.20998335457443</v>
      </c>
      <c r="BH30" s="17" t="n">
        <v>1</v>
      </c>
      <c r="BI30" s="17"/>
      <c r="BJ30" s="18"/>
    </row>
    <row r="31" customFormat="false" ht="15" hidden="false" customHeight="false" outlineLevel="0" collapsed="false">
      <c r="A31" s="2" t="n">
        <v>18</v>
      </c>
      <c r="B31" s="9" t="s">
        <v>69</v>
      </c>
      <c r="C31" s="0" t="n">
        <v>2</v>
      </c>
      <c r="D31" s="0" t="s">
        <v>115</v>
      </c>
      <c r="E31" s="0" t="str">
        <f aca="false">CONCATENATE("Als onderdeel van het programma 'Netwerk op zijn Best' omvat dit groot onderhoudsproject op de ",B31," een grootschalige vernieuwing van het asfalt.")</f>
        <v>Als onderdeel van het programma 'Netwerk op zijn Best' omvat dit groot onderhoudsproject op de B11-C een grootschalige vernieuwing van het asfalt.</v>
      </c>
      <c r="F31" s="13" t="s">
        <v>116</v>
      </c>
      <c r="G31" s="1" t="s">
        <v>121</v>
      </c>
      <c r="H31" s="1" t="n">
        <v>1680</v>
      </c>
      <c r="I31" s="14" t="n">
        <v>1176000</v>
      </c>
      <c r="J31" s="1" t="n">
        <v>5</v>
      </c>
      <c r="K31" s="15" t="n">
        <f aca="false">1/3</f>
        <v>0.333333333333333</v>
      </c>
      <c r="L31" s="1" t="n">
        <v>2</v>
      </c>
      <c r="M31" s="10" t="n">
        <f aca="false">O31-I31</f>
        <v>1512000</v>
      </c>
      <c r="N31" s="10" t="n">
        <f aca="false">IF(P31=1,0,VLOOKUP($P$1,'TTL NORMAL'!$A$2:$B$46,2,0)*(J31+L31)*P31)+IF(Q31=1,0,VLOOKUP($Q$1,'TTL NORMAL'!$A$2:$B$46,2,0)*(J31+L31)*Q31)+IF(R31=1,0,VLOOKUP($R$1,'TTL NORMAL'!$A$2:$B$46,2,0)*(J31+L31)*R31)+IF(S31=1,0,VLOOKUP($S$1,'TTL NORMAL'!$A$2:$B$46,2,0)*(J31+L31)*S31)+IF(T31=1,0,VLOOKUP($T$1,'TTL NORMAL'!$A$2:$B$46,2,0)*(J31+L31)*T31)+IF(U31=1,0,VLOOKUP($U$1,'TTL NORMAL'!$A$2:$B$46,2,0)*(J31+L31)*U31)+IF(V31=1,0,VLOOKUP($V$1,'TTL NORMAL'!$A$2:$B$46,2,0)*(J31+L31)*V31)+IF(W31=1,0,VLOOKUP($W$1,'TTL NORMAL'!$A$2:$B$46,2,0)*(J31+L31)*W31)+IF(X31=1,0,VLOOKUP($X$1,'TTL NORMAL'!$A$2:$B$46,2,0)*(J31+L31)*X31)+IF(Y31=1,0,VLOOKUP($Y$1,'TTL NORMAL'!$A$2:$B$46,2,0)*(J31+L31)*Y31)+IF(Z31=1,0,VLOOKUP($Z$1,'TTL NORMAL'!$A$2:$B$46,2,0)*(J31+L31)*Z31)+IF(AA31=1,0,VLOOKUP($AA$1,'TTL NORMAL'!$A$2:$B$46,2,0)*(J31+L31)*AA31)+IF(AB31=1,0,VLOOKUP($AB$1,'TTL NORMAL'!$A$2:$B$46,2,0)*(J31+L31)*AB31)+IF(AC31=1,0,VLOOKUP($AC$1,'TTL NORMAL'!$A$2:$B$46,2,0)*(J31+L31)*AC31)+IF(AD31=1,0,VLOOKUP($AD$1,'TTL NORMAL'!$A$2:$B$46,2,0)*(J31+L31)*AD31)+IF(AE31=1,0,VLOOKUP($AE$1,'TTL NORMAL'!$A$2:$B$46,2,0)*(J31+L31)*AE31)+IF(AF31=1,0,VLOOKUP($AF$1,'TTL NORMAL'!$A$2:$B$46,2,0)*(J31+L31)*AF31)+IF(AG31=1,0,VLOOKUP($AG$1,'TTL NORMAL'!$A$2:$B$46,2,0)*(J31+L31)*AG31)+IF(AH31=1,0,VLOOKUP($AH$1,'TTL NORMAL'!$A$2:$B$46,2,0)*(J31+L31)*AH31)+IF(AI31=1,0,VLOOKUP($AI$1,'TTL NORMAL'!$A$2:$B$46,2,0)*(J31+L31)*AI31)+IF(AJ31=1,0,VLOOKUP($AJ$1,'TTL NORMAL'!$A$2:$B$46,2,0)*(J31+L31)*AJ31)+IF(AK31=1,0,VLOOKUP($AK$1,'TTL NORMAL'!$A$2:$B$46,2,0)*(J31+L31)*AK31)+IF(AL31=1,0,VLOOKUP($AL$1,'TTL NORMAL'!$A$2:$B$46,2,0)*(J31+L31)*AL31)+IF(AM31=1,0,VLOOKUP($AM$1,'TTL NORMAL'!$A$2:$B$46,2,0)*(J31+L31)*AM31)+IF(AN31=1,0,VLOOKUP($AN$1,'TTL NORMAL'!$A$2:$B$46,2,0)*(J31+L31)*AN31)+IF(AO31=1,0,VLOOKUP($AO$1,'TTL NORMAL'!$A$2:$B$46,2,0)*(J31+L31)*AO31)+IF(AP31=1,0,VLOOKUP($AP$1,'TTL NORMAL'!$A$2:$B$46,2,0)*(J31+L31)*AP31)+IF(AQ31=1,0,VLOOKUP($AQ$1,'TTL NORMAL'!$A$2:$B$46,2,0)*(J31+L31)*AQ31)+IF(AR31=1,0,VLOOKUP($AR$1,'TTL NORMAL'!$A$2:$B$46,2,0)*(J31+L31)*AR31)+IF(AS31=1,0,VLOOKUP($AS$1,'TTL NORMAL'!$A$2:$B$46,2,0)*(J31+L31)*AS31)+IF(AT31=1,0,VLOOKUP($AT$1,'TTL NORMAL'!$A$2:$B$46,2,0)*(J31+L31)*AT31)+IF(AU31=1,0,VLOOKUP($AU$1,'TTL NORMAL'!$A$2:$B$46,2,0)*(J31+L31)*AU31)+IF(AV31=1,0,VLOOKUP($AV$1,'TTL NORMAL'!$A$2:$B$46,2,0)*(J31+L31)*AV31)+IF(AW31=1,0,VLOOKUP($AW$1,'TTL NORMAL'!$A$2:$B$46,2,0)*(J31+L31)*AW31)+IF(AX31=1,0,VLOOKUP($AX$1,'TTL NORMAL'!$A$2:$B$46,2,0)*(J31+L31)*AX31)+IF(AY31=1,0,VLOOKUP($AY$1,'TTL NORMAL'!$A$2:$B$46,2,0)*(J31+L31)*AY31)+IF(AZ31=1,0,VLOOKUP($AZ$1,'TTL NORMAL'!$A$2:$B$46,2,0)*(J31+L31)*AZ31)+IF(BA31=1,0,VLOOKUP($BA$1,'TTL NORMAL'!$A$2:$B$46,2,0)*(J31+L31)*BA31)+IF(BB31=1,0,VLOOKUP($BB$1,'TTL NORMAL'!$A$2:$B$46,2,0)*(J31+L31)*BB31)+IF(BC31=1,0,VLOOKUP($BC$1,'TTL NORMAL'!$A$2:$B$46,2,0)*(J31+L31)*BC31)+IF(BD31=1,0,VLOOKUP($BD$1,'TTL NORMAL'!$A$2:$B$46,2,0)*(J31+L31)*BD31)+IF(BE31=1,0,VLOOKUP($BE$1,'TTL NORMAL'!$A$2:$B$46,2,0)*(J31+L31)*BE31)+IF(BF31=1,0,VLOOKUP($BF$1,'TTL NORMAL'!$A$2:$B$46,2,0)*(J31+L31)*BF31)+IF(BG31=1,0,VLOOKUP($BG$1,'TTL NORMAL'!$A$2:$B$46,2,0)*(J31+L31)*BG31)+IF(BH31=1,0,VLOOKUP($BH$1,'TTL NORMAL'!$A$2:$B$46,2,0)*(J31+L31)*BH31)</f>
        <v>736400.239838269</v>
      </c>
      <c r="O31" s="5" t="n">
        <v>2688000</v>
      </c>
      <c r="P31" s="18" t="n">
        <v>1</v>
      </c>
      <c r="Q31" s="17" t="n">
        <v>1</v>
      </c>
      <c r="R31" s="17" t="n">
        <v>1</v>
      </c>
      <c r="S31" s="17" t="n">
        <v>1</v>
      </c>
      <c r="T31" s="17" t="n">
        <v>1</v>
      </c>
      <c r="U31" s="17" t="n">
        <v>1</v>
      </c>
      <c r="V31" s="17" t="n">
        <v>1</v>
      </c>
      <c r="W31" s="17" t="n">
        <v>1</v>
      </c>
      <c r="X31" s="17" t="n">
        <v>1</v>
      </c>
      <c r="Y31" s="17" t="n">
        <v>1.31497503186165</v>
      </c>
      <c r="Z31" s="17" t="n">
        <v>1.31497503186165</v>
      </c>
      <c r="AA31" s="17" t="n">
        <v>1.6299500637233</v>
      </c>
      <c r="AB31" s="17" t="n">
        <v>1</v>
      </c>
      <c r="AC31" s="17" t="n">
        <v>1</v>
      </c>
      <c r="AD31" s="17" t="n">
        <v>1</v>
      </c>
      <c r="AE31" s="17" t="n">
        <v>1</v>
      </c>
      <c r="AF31" s="17" t="n">
        <v>1.31497503186165</v>
      </c>
      <c r="AG31" s="17" t="n">
        <v>1.6299500637233</v>
      </c>
      <c r="AH31" s="17" t="n">
        <v>1.6299500637233</v>
      </c>
      <c r="AI31" s="17" t="n">
        <v>1.31497503186165</v>
      </c>
      <c r="AJ31" s="17" t="n">
        <v>1.31497503186165</v>
      </c>
      <c r="AK31" s="17" t="n">
        <v>1</v>
      </c>
      <c r="AL31" s="17" t="n">
        <v>1.6299500637233</v>
      </c>
      <c r="AM31" s="17" t="n">
        <v>1.6299500637233</v>
      </c>
      <c r="AN31" s="17" t="n">
        <v>1.31497503186165</v>
      </c>
      <c r="AO31" s="17" t="n">
        <v>1.31497503186165</v>
      </c>
      <c r="AP31" s="17" t="n">
        <v>1.31497503186165</v>
      </c>
      <c r="AQ31" s="17" t="n">
        <v>1</v>
      </c>
      <c r="AR31" s="17" t="n">
        <v>1</v>
      </c>
      <c r="AS31" s="17" t="n">
        <v>1</v>
      </c>
      <c r="AT31" s="17" t="n">
        <v>1</v>
      </c>
      <c r="AU31" s="17" t="n">
        <v>1</v>
      </c>
      <c r="AV31" s="17" t="n">
        <v>1</v>
      </c>
      <c r="AW31" s="17" t="n">
        <v>1</v>
      </c>
      <c r="AX31" s="17" t="n">
        <v>1.31497503186165</v>
      </c>
      <c r="AY31" s="17" t="n">
        <v>1.31497503186165</v>
      </c>
      <c r="AZ31" s="17" t="n">
        <v>1</v>
      </c>
      <c r="BA31" s="17" t="n">
        <v>1</v>
      </c>
      <c r="BB31" s="17" t="n">
        <v>1</v>
      </c>
      <c r="BC31" s="17" t="n">
        <v>1</v>
      </c>
      <c r="BD31" s="17" t="n">
        <v>1</v>
      </c>
      <c r="BE31" s="17" t="n">
        <v>1</v>
      </c>
      <c r="BF31" s="17" t="n">
        <v>1.31497503186165</v>
      </c>
      <c r="BG31" s="17" t="n">
        <v>1.31497503186165</v>
      </c>
      <c r="BH31" s="17" t="n">
        <v>1</v>
      </c>
      <c r="BI31" s="17"/>
      <c r="BJ31" s="18"/>
    </row>
    <row r="32" customFormat="false" ht="15" hidden="false" customHeight="false" outlineLevel="0" collapsed="false">
      <c r="A32" s="2" t="n">
        <v>18</v>
      </c>
      <c r="B32" s="9" t="s">
        <v>69</v>
      </c>
      <c r="C32" s="0" t="n">
        <v>3</v>
      </c>
      <c r="D32" s="0" t="s">
        <v>117</v>
      </c>
      <c r="E32" s="0" t="str">
        <f aca="false">CONCATENATE("Als onderdeel van het programma 'Netwerk op zijn Best' omvat dit groot onderhoudsproject op de ",B32," een grootschalige vernieuwing van het asfalt.")</f>
        <v>Als onderdeel van het programma 'Netwerk op zijn Best' omvat dit groot onderhoudsproject op de B11-C een grootschalige vernieuwing van het asfalt.</v>
      </c>
      <c r="F32" s="13" t="s">
        <v>118</v>
      </c>
      <c r="G32" s="1" t="s">
        <v>121</v>
      </c>
      <c r="H32" s="1" t="n">
        <v>1400</v>
      </c>
      <c r="I32" s="14" t="n">
        <v>1848000</v>
      </c>
      <c r="J32" s="1" t="n">
        <v>5</v>
      </c>
      <c r="K32" s="15" t="n">
        <f aca="false">1/3</f>
        <v>0.333333333333333</v>
      </c>
      <c r="L32" s="1" t="n">
        <v>0</v>
      </c>
      <c r="M32" s="10" t="n">
        <f aca="false">O32-I32</f>
        <v>840000</v>
      </c>
      <c r="N32" s="10" t="n">
        <f aca="false">IF(P32=1,0,VLOOKUP($P$1,'TTL NORMAL'!$A$2:$B$46,2,0)*(J32+L32)*P32)+IF(Q32=1,0,VLOOKUP($Q$1,'TTL NORMAL'!$A$2:$B$46,2,0)*(J32+L32)*Q32)+IF(R32=1,0,VLOOKUP($R$1,'TTL NORMAL'!$A$2:$B$46,2,0)*(J32+L32)*R32)+IF(S32=1,0,VLOOKUP($S$1,'TTL NORMAL'!$A$2:$B$46,2,0)*(J32+L32)*S32)+IF(T32=1,0,VLOOKUP($T$1,'TTL NORMAL'!$A$2:$B$46,2,0)*(J32+L32)*T32)+IF(U32=1,0,VLOOKUP($U$1,'TTL NORMAL'!$A$2:$B$46,2,0)*(J32+L32)*U32)+IF(V32=1,0,VLOOKUP($V$1,'TTL NORMAL'!$A$2:$B$46,2,0)*(J32+L32)*V32)+IF(W32=1,0,VLOOKUP($W$1,'TTL NORMAL'!$A$2:$B$46,2,0)*(J32+L32)*W32)+IF(X32=1,0,VLOOKUP($X$1,'TTL NORMAL'!$A$2:$B$46,2,0)*(J32+L32)*X32)+IF(Y32=1,0,VLOOKUP($Y$1,'TTL NORMAL'!$A$2:$B$46,2,0)*(J32+L32)*Y32)+IF(Z32=1,0,VLOOKUP($Z$1,'TTL NORMAL'!$A$2:$B$46,2,0)*(J32+L32)*Z32)+IF(AA32=1,0,VLOOKUP($AA$1,'TTL NORMAL'!$A$2:$B$46,2,0)*(J32+L32)*AA32)+IF(AB32=1,0,VLOOKUP($AB$1,'TTL NORMAL'!$A$2:$B$46,2,0)*(J32+L32)*AB32)+IF(AC32=1,0,VLOOKUP($AC$1,'TTL NORMAL'!$A$2:$B$46,2,0)*(J32+L32)*AC32)+IF(AD32=1,0,VLOOKUP($AD$1,'TTL NORMAL'!$A$2:$B$46,2,0)*(J32+L32)*AD32)+IF(AE32=1,0,VLOOKUP($AE$1,'TTL NORMAL'!$A$2:$B$46,2,0)*(J32+L32)*AE32)+IF(AF32=1,0,VLOOKUP($AF$1,'TTL NORMAL'!$A$2:$B$46,2,0)*(J32+L32)*AF32)+IF(AG32=1,0,VLOOKUP($AG$1,'TTL NORMAL'!$A$2:$B$46,2,0)*(J32+L32)*AG32)+IF(AH32=1,0,VLOOKUP($AH$1,'TTL NORMAL'!$A$2:$B$46,2,0)*(J32+L32)*AH32)+IF(AI32=1,0,VLOOKUP($AI$1,'TTL NORMAL'!$A$2:$B$46,2,0)*(J32+L32)*AI32)+IF(AJ32=1,0,VLOOKUP($AJ$1,'TTL NORMAL'!$A$2:$B$46,2,0)*(J32+L32)*AJ32)+IF(AK32=1,0,VLOOKUP($AK$1,'TTL NORMAL'!$A$2:$B$46,2,0)*(J32+L32)*AK32)+IF(AL32=1,0,VLOOKUP($AL$1,'TTL NORMAL'!$A$2:$B$46,2,0)*(J32+L32)*AL32)+IF(AM32=1,0,VLOOKUP($AM$1,'TTL NORMAL'!$A$2:$B$46,2,0)*(J32+L32)*AM32)+IF(AN32=1,0,VLOOKUP($AN$1,'TTL NORMAL'!$A$2:$B$46,2,0)*(J32+L32)*AN32)+IF(AO32=1,0,VLOOKUP($AO$1,'TTL NORMAL'!$A$2:$B$46,2,0)*(J32+L32)*AO32)+IF(AP32=1,0,VLOOKUP($AP$1,'TTL NORMAL'!$A$2:$B$46,2,0)*(J32+L32)*AP32)+IF(AQ32=1,0,VLOOKUP($AQ$1,'TTL NORMAL'!$A$2:$B$46,2,0)*(J32+L32)*AQ32)+IF(AR32=1,0,VLOOKUP($AR$1,'TTL NORMAL'!$A$2:$B$46,2,0)*(J32+L32)*AR32)+IF(AS32=1,0,VLOOKUP($AS$1,'TTL NORMAL'!$A$2:$B$46,2,0)*(J32+L32)*AS32)+IF(AT32=1,0,VLOOKUP($AT$1,'TTL NORMAL'!$A$2:$B$46,2,0)*(J32+L32)*AT32)+IF(AU32=1,0,VLOOKUP($AU$1,'TTL NORMAL'!$A$2:$B$46,2,0)*(J32+L32)*AU32)+IF(AV32=1,0,VLOOKUP($AV$1,'TTL NORMAL'!$A$2:$B$46,2,0)*(J32+L32)*AV32)+IF(AW32=1,0,VLOOKUP($AW$1,'TTL NORMAL'!$A$2:$B$46,2,0)*(J32+L32)*AW32)+IF(AX32=1,0,VLOOKUP($AX$1,'TTL NORMAL'!$A$2:$B$46,2,0)*(J32+L32)*AX32)+IF(AY32=1,0,VLOOKUP($AY$1,'TTL NORMAL'!$A$2:$B$46,2,0)*(J32+L32)*AY32)+IF(AZ32=1,0,VLOOKUP($AZ$1,'TTL NORMAL'!$A$2:$B$46,2,0)*(J32+L32)*AZ32)+IF(BA32=1,0,VLOOKUP($BA$1,'TTL NORMAL'!$A$2:$B$46,2,0)*(J32+L32)*BA32)+IF(BB32=1,0,VLOOKUP($BB$1,'TTL NORMAL'!$A$2:$B$46,2,0)*(J32+L32)*BB32)+IF(BC32=1,0,VLOOKUP($BC$1,'TTL NORMAL'!$A$2:$B$46,2,0)*(J32+L32)*BC32)+IF(BD32=1,0,VLOOKUP($BD$1,'TTL NORMAL'!$A$2:$B$46,2,0)*(J32+L32)*BD32)+IF(BE32=1,0,VLOOKUP($BE$1,'TTL NORMAL'!$A$2:$B$46,2,0)*(J32+L32)*BE32)+IF(BF32=1,0,VLOOKUP($BF$1,'TTL NORMAL'!$A$2:$B$46,2,0)*(J32+L32)*BF32)+IF(BG32=1,0,VLOOKUP($BG$1,'TTL NORMAL'!$A$2:$B$46,2,0)*(J32+L32)*BG32)+IF(BH32=1,0,VLOOKUP($BH$1,'TTL NORMAL'!$A$2:$B$46,2,0)*(J32+L32)*BH32)</f>
        <v>498475.236491795</v>
      </c>
      <c r="O32" s="5" t="n">
        <v>2688000</v>
      </c>
      <c r="P32" s="18" t="n">
        <v>1</v>
      </c>
      <c r="Q32" s="17" t="n">
        <v>1</v>
      </c>
      <c r="R32" s="17" t="n">
        <v>1</v>
      </c>
      <c r="S32" s="17" t="n">
        <v>1</v>
      </c>
      <c r="T32" s="17" t="n">
        <v>1</v>
      </c>
      <c r="U32" s="17" t="n">
        <v>1</v>
      </c>
      <c r="V32" s="17" t="n">
        <v>1</v>
      </c>
      <c r="W32" s="17" t="n">
        <v>1</v>
      </c>
      <c r="X32" s="17" t="n">
        <v>1</v>
      </c>
      <c r="Y32" s="17" t="n">
        <v>1.26247919321804</v>
      </c>
      <c r="Z32" s="17" t="n">
        <v>1.26247919321804</v>
      </c>
      <c r="AA32" s="17" t="n">
        <v>1.52495838643608</v>
      </c>
      <c r="AB32" s="17" t="n">
        <v>1</v>
      </c>
      <c r="AC32" s="17" t="n">
        <v>1</v>
      </c>
      <c r="AD32" s="17" t="n">
        <v>1</v>
      </c>
      <c r="AE32" s="17" t="n">
        <v>1</v>
      </c>
      <c r="AF32" s="17" t="n">
        <v>1.26247919321804</v>
      </c>
      <c r="AG32" s="17" t="n">
        <v>1.52495838643608</v>
      </c>
      <c r="AH32" s="17" t="n">
        <v>1.26247919321804</v>
      </c>
      <c r="AI32" s="17" t="n">
        <v>1.26247919321804</v>
      </c>
      <c r="AJ32" s="17" t="n">
        <v>1.26247919321804</v>
      </c>
      <c r="AK32" s="17" t="n">
        <v>1</v>
      </c>
      <c r="AL32" s="17" t="n">
        <v>1.52495838643608</v>
      </c>
      <c r="AM32" s="17" t="n">
        <v>1.52495838643608</v>
      </c>
      <c r="AN32" s="17" t="n">
        <v>1.26247919321804</v>
      </c>
      <c r="AO32" s="17" t="n">
        <v>1.26247919321804</v>
      </c>
      <c r="AP32" s="17" t="n">
        <v>1.26247919321804</v>
      </c>
      <c r="AQ32" s="17" t="n">
        <v>1</v>
      </c>
      <c r="AR32" s="17" t="n">
        <v>1</v>
      </c>
      <c r="AS32" s="17" t="n">
        <v>1</v>
      </c>
      <c r="AT32" s="17" t="n">
        <v>1</v>
      </c>
      <c r="AU32" s="17" t="n">
        <v>1</v>
      </c>
      <c r="AV32" s="17" t="n">
        <v>1</v>
      </c>
      <c r="AW32" s="17" t="n">
        <v>1</v>
      </c>
      <c r="AX32" s="17" t="n">
        <v>1.26247919321804</v>
      </c>
      <c r="AY32" s="17" t="n">
        <v>1.26247919321804</v>
      </c>
      <c r="AZ32" s="17" t="n">
        <v>1</v>
      </c>
      <c r="BA32" s="17" t="n">
        <v>1</v>
      </c>
      <c r="BB32" s="17" t="n">
        <v>1</v>
      </c>
      <c r="BC32" s="17" t="n">
        <v>1</v>
      </c>
      <c r="BD32" s="17" t="n">
        <v>1</v>
      </c>
      <c r="BE32" s="17" t="n">
        <v>1</v>
      </c>
      <c r="BF32" s="17" t="n">
        <v>1.26247919321804</v>
      </c>
      <c r="BG32" s="17" t="n">
        <v>1.26247919321804</v>
      </c>
      <c r="BH32" s="17" t="n">
        <v>1</v>
      </c>
      <c r="BI32" s="17"/>
      <c r="BJ32" s="18"/>
    </row>
    <row r="33" customFormat="false" ht="15" hidden="false" customHeight="false" outlineLevel="0" collapsed="false">
      <c r="A33" s="2" t="n">
        <v>18</v>
      </c>
      <c r="B33" s="9" t="s">
        <v>69</v>
      </c>
      <c r="C33" s="0" t="n">
        <v>4</v>
      </c>
      <c r="D33" s="0" t="s">
        <v>119</v>
      </c>
      <c r="E33" s="0" t="str">
        <f aca="false">CONCATENATE("Als onderdeel van het programma 'Netwerk op zijn Best' omvat dit groot onderhoudsproject op de ",B33," een grootschalige vernieuwing van het asfalt.")</f>
        <v>Als onderdeel van het programma 'Netwerk op zijn Best' omvat dit groot onderhoudsproject op de B11-C een grootschalige vernieuwing van het asfalt.</v>
      </c>
      <c r="F33" s="13" t="s">
        <v>120</v>
      </c>
      <c r="G33" s="1" t="s">
        <v>121</v>
      </c>
      <c r="H33" s="1" t="n">
        <v>1680</v>
      </c>
      <c r="I33" s="14" t="n">
        <v>1680000</v>
      </c>
      <c r="J33" s="1" t="n">
        <v>3.5</v>
      </c>
      <c r="K33" s="15" t="n">
        <f aca="false">1/3</f>
        <v>0.333333333333333</v>
      </c>
      <c r="L33" s="1" t="n">
        <v>1</v>
      </c>
      <c r="M33" s="10" t="n">
        <f aca="false">O33-I33</f>
        <v>1008000</v>
      </c>
      <c r="N33" s="10" t="n">
        <f aca="false">IF(P33=1,0,VLOOKUP($P$1,'TTL NORMAL'!$A$2:$B$46,2,0)*(J33+L33)*P33)+IF(Q33=1,0,VLOOKUP($Q$1,'TTL NORMAL'!$A$2:$B$46,2,0)*(J33+L33)*Q33)+IF(R33=1,0,VLOOKUP($R$1,'TTL NORMAL'!$A$2:$B$46,2,0)*(J33+L33)*R33)+IF(S33=1,0,VLOOKUP($S$1,'TTL NORMAL'!$A$2:$B$46,2,0)*(J33+L33)*S33)+IF(T33=1,0,VLOOKUP($T$1,'TTL NORMAL'!$A$2:$B$46,2,0)*(J33+L33)*T33)+IF(U33=1,0,VLOOKUP($U$1,'TTL NORMAL'!$A$2:$B$46,2,0)*(J33+L33)*U33)+IF(V33=1,0,VLOOKUP($V$1,'TTL NORMAL'!$A$2:$B$46,2,0)*(J33+L33)*V33)+IF(W33=1,0,VLOOKUP($W$1,'TTL NORMAL'!$A$2:$B$46,2,0)*(J33+L33)*W33)+IF(X33=1,0,VLOOKUP($X$1,'TTL NORMAL'!$A$2:$B$46,2,0)*(J33+L33)*X33)+IF(Y33=1,0,VLOOKUP($Y$1,'TTL NORMAL'!$A$2:$B$46,2,0)*(J33+L33)*Y33)+IF(Z33=1,0,VLOOKUP($Z$1,'TTL NORMAL'!$A$2:$B$46,2,0)*(J33+L33)*Z33)+IF(AA33=1,0,VLOOKUP($AA$1,'TTL NORMAL'!$A$2:$B$46,2,0)*(J33+L33)*AA33)+IF(AB33=1,0,VLOOKUP($AB$1,'TTL NORMAL'!$A$2:$B$46,2,0)*(J33+L33)*AB33)+IF(AC33=1,0,VLOOKUP($AC$1,'TTL NORMAL'!$A$2:$B$46,2,0)*(J33+L33)*AC33)+IF(AD33=1,0,VLOOKUP($AD$1,'TTL NORMAL'!$A$2:$B$46,2,0)*(J33+L33)*AD33)+IF(AE33=1,0,VLOOKUP($AE$1,'TTL NORMAL'!$A$2:$B$46,2,0)*(J33+L33)*AE33)+IF(AF33=1,0,VLOOKUP($AF$1,'TTL NORMAL'!$A$2:$B$46,2,0)*(J33+L33)*AF33)+IF(AG33=1,0,VLOOKUP($AG$1,'TTL NORMAL'!$A$2:$B$46,2,0)*(J33+L33)*AG33)+IF(AH33=1,0,VLOOKUP($AH$1,'TTL NORMAL'!$A$2:$B$46,2,0)*(J33+L33)*AH33)+IF(AI33=1,0,VLOOKUP($AI$1,'TTL NORMAL'!$A$2:$B$46,2,0)*(J33+L33)*AI33)+IF(AJ33=1,0,VLOOKUP($AJ$1,'TTL NORMAL'!$A$2:$B$46,2,0)*(J33+L33)*AJ33)+IF(AK33=1,0,VLOOKUP($AK$1,'TTL NORMAL'!$A$2:$B$46,2,0)*(J33+L33)*AK33)+IF(AL33=1,0,VLOOKUP($AL$1,'TTL NORMAL'!$A$2:$B$46,2,0)*(J33+L33)*AL33)+IF(AM33=1,0,VLOOKUP($AM$1,'TTL NORMAL'!$A$2:$B$46,2,0)*(J33+L33)*AM33)+IF(AN33=1,0,VLOOKUP($AN$1,'TTL NORMAL'!$A$2:$B$46,2,0)*(J33+L33)*AN33)+IF(AO33=1,0,VLOOKUP($AO$1,'TTL NORMAL'!$A$2:$B$46,2,0)*(J33+L33)*AO33)+IF(AP33=1,0,VLOOKUP($AP$1,'TTL NORMAL'!$A$2:$B$46,2,0)*(J33+L33)*AP33)+IF(AQ33=1,0,VLOOKUP($AQ$1,'TTL NORMAL'!$A$2:$B$46,2,0)*(J33+L33)*AQ33)+IF(AR33=1,0,VLOOKUP($AR$1,'TTL NORMAL'!$A$2:$B$46,2,0)*(J33+L33)*AR33)+IF(AS33=1,0,VLOOKUP($AS$1,'TTL NORMAL'!$A$2:$B$46,2,0)*(J33+L33)*AS33)+IF(AT33=1,0,VLOOKUP($AT$1,'TTL NORMAL'!$A$2:$B$46,2,0)*(J33+L33)*AT33)+IF(AU33=1,0,VLOOKUP($AU$1,'TTL NORMAL'!$A$2:$B$46,2,0)*(J33+L33)*AU33)+IF(AV33=1,0,VLOOKUP($AV$1,'TTL NORMAL'!$A$2:$B$46,2,0)*(J33+L33)*AV33)+IF(AW33=1,0,VLOOKUP($AW$1,'TTL NORMAL'!$A$2:$B$46,2,0)*(J33+L33)*AW33)+IF(AX33=1,0,VLOOKUP($AX$1,'TTL NORMAL'!$A$2:$B$46,2,0)*(J33+L33)*AX33)+IF(AY33=1,0,VLOOKUP($AY$1,'TTL NORMAL'!$A$2:$B$46,2,0)*(J33+L33)*AY33)+IF(AZ33=1,0,VLOOKUP($AZ$1,'TTL NORMAL'!$A$2:$B$46,2,0)*(J33+L33)*AZ33)+IF(BA33=1,0,VLOOKUP($BA$1,'TTL NORMAL'!$A$2:$B$46,2,0)*(J33+L33)*BA33)+IF(BB33=1,0,VLOOKUP($BB$1,'TTL NORMAL'!$A$2:$B$46,2,0)*(J33+L33)*BB33)+IF(BC33=1,0,VLOOKUP($BC$1,'TTL NORMAL'!$A$2:$B$46,2,0)*(J33+L33)*BC33)+IF(BD33=1,0,VLOOKUP($BD$1,'TTL NORMAL'!$A$2:$B$46,2,0)*(J33+L33)*BD33)+IF(BE33=1,0,VLOOKUP($BE$1,'TTL NORMAL'!$A$2:$B$46,2,0)*(J33+L33)*BE33)+IF(BF33=1,0,VLOOKUP($BF$1,'TTL NORMAL'!$A$2:$B$46,2,0)*(J33+L33)*BF33)+IF(BG33=1,0,VLOOKUP($BG$1,'TTL NORMAL'!$A$2:$B$46,2,0)*(J33+L33)*BG33)+IF(BH33=1,0,VLOOKUP($BH$1,'TTL NORMAL'!$A$2:$B$46,2,0)*(J33+L33)*BH33)</f>
        <v>473400.154181744</v>
      </c>
      <c r="O33" s="5" t="n">
        <v>2688000</v>
      </c>
      <c r="P33" s="18" t="n">
        <v>1</v>
      </c>
      <c r="Q33" s="17" t="n">
        <v>1</v>
      </c>
      <c r="R33" s="17" t="n">
        <v>1</v>
      </c>
      <c r="S33" s="17" t="n">
        <v>1</v>
      </c>
      <c r="T33" s="17" t="n">
        <v>1</v>
      </c>
      <c r="U33" s="17" t="n">
        <v>1</v>
      </c>
      <c r="V33" s="17" t="n">
        <v>1</v>
      </c>
      <c r="W33" s="17" t="n">
        <v>1</v>
      </c>
      <c r="X33" s="17" t="n">
        <v>1</v>
      </c>
      <c r="Y33" s="17" t="n">
        <v>1.31497503186165</v>
      </c>
      <c r="Z33" s="17" t="n">
        <v>1.31497503186165</v>
      </c>
      <c r="AA33" s="17" t="n">
        <v>1.6299500637233</v>
      </c>
      <c r="AB33" s="17" t="n">
        <v>1</v>
      </c>
      <c r="AC33" s="17" t="n">
        <v>1</v>
      </c>
      <c r="AD33" s="17" t="n">
        <v>1</v>
      </c>
      <c r="AE33" s="17" t="n">
        <v>1</v>
      </c>
      <c r="AF33" s="17" t="n">
        <v>1.31497503186165</v>
      </c>
      <c r="AG33" s="17" t="n">
        <v>1.6299500637233</v>
      </c>
      <c r="AH33" s="17" t="n">
        <v>1.6299500637233</v>
      </c>
      <c r="AI33" s="17" t="n">
        <v>1.31497503186165</v>
      </c>
      <c r="AJ33" s="17" t="n">
        <v>1.31497503186165</v>
      </c>
      <c r="AK33" s="17" t="n">
        <v>1</v>
      </c>
      <c r="AL33" s="17" t="n">
        <v>1.6299500637233</v>
      </c>
      <c r="AM33" s="17" t="n">
        <v>1.6299500637233</v>
      </c>
      <c r="AN33" s="17" t="n">
        <v>1.31497503186165</v>
      </c>
      <c r="AO33" s="17" t="n">
        <v>1.31497503186165</v>
      </c>
      <c r="AP33" s="17" t="n">
        <v>1.31497503186165</v>
      </c>
      <c r="AQ33" s="17" t="n">
        <v>1</v>
      </c>
      <c r="AR33" s="17" t="n">
        <v>1</v>
      </c>
      <c r="AS33" s="17" t="n">
        <v>1</v>
      </c>
      <c r="AT33" s="17" t="n">
        <v>1</v>
      </c>
      <c r="AU33" s="17" t="n">
        <v>1</v>
      </c>
      <c r="AV33" s="17" t="n">
        <v>1</v>
      </c>
      <c r="AW33" s="17" t="n">
        <v>1</v>
      </c>
      <c r="AX33" s="17" t="n">
        <v>1.31497503186165</v>
      </c>
      <c r="AY33" s="17" t="n">
        <v>1.31497503186165</v>
      </c>
      <c r="AZ33" s="17" t="n">
        <v>1</v>
      </c>
      <c r="BA33" s="17" t="n">
        <v>1</v>
      </c>
      <c r="BB33" s="17" t="n">
        <v>1</v>
      </c>
      <c r="BC33" s="17" t="n">
        <v>1</v>
      </c>
      <c r="BD33" s="17" t="n">
        <v>1</v>
      </c>
      <c r="BE33" s="17" t="n">
        <v>1</v>
      </c>
      <c r="BF33" s="17" t="n">
        <v>1.31497503186165</v>
      </c>
      <c r="BG33" s="17" t="n">
        <v>1.31497503186165</v>
      </c>
      <c r="BH33" s="17" t="n">
        <v>1</v>
      </c>
      <c r="BI33" s="17"/>
      <c r="BJ33" s="18"/>
    </row>
    <row r="34" customFormat="false" ht="15" hidden="false" customHeight="false" outlineLevel="0" collapsed="false">
      <c r="A34" s="2" t="n">
        <v>19</v>
      </c>
      <c r="B34" s="19" t="s">
        <v>70</v>
      </c>
      <c r="C34" s="0" t="n">
        <v>1</v>
      </c>
      <c r="D34" s="0" t="s">
        <v>112</v>
      </c>
      <c r="E34" s="0" t="str">
        <f aca="false">CONCATENATE("Als onderdeel van het programma 'Netwerk op zijn Best' omvat dit groot onderhoudsproject op de ",B34," een grootschalige vernieuwing van het asfalt.")</f>
        <v>Als onderdeel van het programma 'Netwerk op zijn Best' omvat dit groot onderhoudsproject op de B12-A een grootschalige vernieuwing van het asfalt.</v>
      </c>
      <c r="F34" s="13" t="s">
        <v>113</v>
      </c>
      <c r="G34" s="1" t="s">
        <v>121</v>
      </c>
      <c r="H34" s="1" t="n">
        <v>1760</v>
      </c>
      <c r="I34" s="14" t="n">
        <v>5778000</v>
      </c>
      <c r="J34" s="1" t="n">
        <v>8.8</v>
      </c>
      <c r="K34" s="15" t="n">
        <f aca="false">1/3</f>
        <v>0.333333333333333</v>
      </c>
      <c r="L34" s="1" t="n">
        <v>2</v>
      </c>
      <c r="M34" s="10" t="n">
        <f aca="false">O34-I34</f>
        <v>2630000</v>
      </c>
      <c r="N34" s="10" t="n">
        <f aca="false">IF(P34=1,0,VLOOKUP($P$1,'TTL NORMAL'!$A$2:$B$46,2,0)*(J34+L34)*P34)+IF(Q34=1,0,VLOOKUP($Q$1,'TTL NORMAL'!$A$2:$B$46,2,0)*(J34+L34)*Q34)+IF(R34=1,0,VLOOKUP($R$1,'TTL NORMAL'!$A$2:$B$46,2,0)*(J34+L34)*R34)+IF(S34=1,0,VLOOKUP($S$1,'TTL NORMAL'!$A$2:$B$46,2,0)*(J34+L34)*S34)+IF(T34=1,0,VLOOKUP($T$1,'TTL NORMAL'!$A$2:$B$46,2,0)*(J34+L34)*T34)+IF(U34=1,0,VLOOKUP($U$1,'TTL NORMAL'!$A$2:$B$46,2,0)*(J34+L34)*U34)+IF(V34=1,0,VLOOKUP($V$1,'TTL NORMAL'!$A$2:$B$46,2,0)*(J34+L34)*V34)+IF(W34=1,0,VLOOKUP($W$1,'TTL NORMAL'!$A$2:$B$46,2,0)*(J34+L34)*W34)+IF(X34=1,0,VLOOKUP($X$1,'TTL NORMAL'!$A$2:$B$46,2,0)*(J34+L34)*X34)+IF(Y34=1,0,VLOOKUP($Y$1,'TTL NORMAL'!$A$2:$B$46,2,0)*(J34+L34)*Y34)+IF(Z34=1,0,VLOOKUP($Z$1,'TTL NORMAL'!$A$2:$B$46,2,0)*(J34+L34)*Z34)+IF(AA34=1,0,VLOOKUP($AA$1,'TTL NORMAL'!$A$2:$B$46,2,0)*(J34+L34)*AA34)+IF(AB34=1,0,VLOOKUP($AB$1,'TTL NORMAL'!$A$2:$B$46,2,0)*(J34+L34)*AB34)+IF(AC34=1,0,VLOOKUP($AC$1,'TTL NORMAL'!$A$2:$B$46,2,0)*(J34+L34)*AC34)+IF(AD34=1,0,VLOOKUP($AD$1,'TTL NORMAL'!$A$2:$B$46,2,0)*(J34+L34)*AD34)+IF(AE34=1,0,VLOOKUP($AE$1,'TTL NORMAL'!$A$2:$B$46,2,0)*(J34+L34)*AE34)+IF(AF34=1,0,VLOOKUP($AF$1,'TTL NORMAL'!$A$2:$B$46,2,0)*(J34+L34)*AF34)+IF(AG34=1,0,VLOOKUP($AG$1,'TTL NORMAL'!$A$2:$B$46,2,0)*(J34+L34)*AG34)+IF(AH34=1,0,VLOOKUP($AH$1,'TTL NORMAL'!$A$2:$B$46,2,0)*(J34+L34)*AH34)+IF(AI34=1,0,VLOOKUP($AI$1,'TTL NORMAL'!$A$2:$B$46,2,0)*(J34+L34)*AI34)+IF(AJ34=1,0,VLOOKUP($AJ$1,'TTL NORMAL'!$A$2:$B$46,2,0)*(J34+L34)*AJ34)+IF(AK34=1,0,VLOOKUP($AK$1,'TTL NORMAL'!$A$2:$B$46,2,0)*(J34+L34)*AK34)+IF(AL34=1,0,VLOOKUP($AL$1,'TTL NORMAL'!$A$2:$B$46,2,0)*(J34+L34)*AL34)+IF(AM34=1,0,VLOOKUP($AM$1,'TTL NORMAL'!$A$2:$B$46,2,0)*(J34+L34)*AM34)+IF(AN34=1,0,VLOOKUP($AN$1,'TTL NORMAL'!$A$2:$B$46,2,0)*(J34+L34)*AN34)+IF(AO34=1,0,VLOOKUP($AO$1,'TTL NORMAL'!$A$2:$B$46,2,0)*(J34+L34)*AO34)+IF(AP34=1,0,VLOOKUP($AP$1,'TTL NORMAL'!$A$2:$B$46,2,0)*(J34+L34)*AP34)+IF(AQ34=1,0,VLOOKUP($AQ$1,'TTL NORMAL'!$A$2:$B$46,2,0)*(J34+L34)*AQ34)+IF(AR34=1,0,VLOOKUP($AR$1,'TTL NORMAL'!$A$2:$B$46,2,0)*(J34+L34)*AR34)+IF(AS34=1,0,VLOOKUP($AS$1,'TTL NORMAL'!$A$2:$B$46,2,0)*(J34+L34)*AS34)+IF(AT34=1,0,VLOOKUP($AT$1,'TTL NORMAL'!$A$2:$B$46,2,0)*(J34+L34)*AT34)+IF(AU34=1,0,VLOOKUP($AU$1,'TTL NORMAL'!$A$2:$B$46,2,0)*(J34+L34)*AU34)+IF(AV34=1,0,VLOOKUP($AV$1,'TTL NORMAL'!$A$2:$B$46,2,0)*(J34+L34)*AV34)+IF(AW34=1,0,VLOOKUP($AW$1,'TTL NORMAL'!$A$2:$B$46,2,0)*(J34+L34)*AW34)+IF(AX34=1,0,VLOOKUP($AX$1,'TTL NORMAL'!$A$2:$B$46,2,0)*(J34+L34)*AX34)+IF(AY34=1,0,VLOOKUP($AY$1,'TTL NORMAL'!$A$2:$B$46,2,0)*(J34+L34)*AY34)+IF(AZ34=1,0,VLOOKUP($AZ$1,'TTL NORMAL'!$A$2:$B$46,2,0)*(J34+L34)*AZ34)+IF(BA34=1,0,VLOOKUP($BA$1,'TTL NORMAL'!$A$2:$B$46,2,0)*(J34+L34)*BA34)+IF(BB34=1,0,VLOOKUP($BB$1,'TTL NORMAL'!$A$2:$B$46,2,0)*(J34+L34)*BB34)+IF(BC34=1,0,VLOOKUP($BC$1,'TTL NORMAL'!$A$2:$B$46,2,0)*(J34+L34)*BC34)+IF(BD34=1,0,VLOOKUP($BD$1,'TTL NORMAL'!$A$2:$B$46,2,0)*(J34+L34)*BD34)+IF(BE34=1,0,VLOOKUP($BE$1,'TTL NORMAL'!$A$2:$B$46,2,0)*(J34+L34)*BE34)+IF(BF34=1,0,VLOOKUP($BF$1,'TTL NORMAL'!$A$2:$B$46,2,0)*(J34+L34)*BF34)+IF(BG34=1,0,VLOOKUP($BG$1,'TTL NORMAL'!$A$2:$B$46,2,0)*(J34+L34)*BG34)+IF(BH34=1,0,VLOOKUP($BH$1,'TTL NORMAL'!$A$2:$B$46,2,0)*(J34+L34)*BH34)</f>
        <v>1015486.90963023</v>
      </c>
      <c r="O34" s="5" t="n">
        <v>8408000</v>
      </c>
      <c r="P34" s="18" t="n">
        <v>1</v>
      </c>
      <c r="Q34" s="17" t="n">
        <v>1</v>
      </c>
      <c r="R34" s="17" t="n">
        <v>1</v>
      </c>
      <c r="S34" s="17" t="n">
        <v>1</v>
      </c>
      <c r="T34" s="17" t="n">
        <v>1</v>
      </c>
      <c r="U34" s="17" t="n">
        <v>1</v>
      </c>
      <c r="V34" s="17" t="n">
        <v>1</v>
      </c>
      <c r="W34" s="17" t="n">
        <v>1.32997384290268</v>
      </c>
      <c r="X34" s="17" t="n">
        <v>1.32997384290268</v>
      </c>
      <c r="Y34" s="17" t="n">
        <v>1.65994768580536</v>
      </c>
      <c r="Z34" s="17" t="n">
        <v>1</v>
      </c>
      <c r="AA34" s="17" t="n">
        <v>1</v>
      </c>
      <c r="AB34" s="17" t="n">
        <v>1</v>
      </c>
      <c r="AC34" s="17" t="n">
        <v>1</v>
      </c>
      <c r="AD34" s="17" t="n">
        <v>1</v>
      </c>
      <c r="AE34" s="17" t="n">
        <v>1</v>
      </c>
      <c r="AF34" s="17" t="n">
        <v>1.65994768580536</v>
      </c>
      <c r="AG34" s="17" t="n">
        <v>1.65994768580536</v>
      </c>
      <c r="AH34" s="17" t="n">
        <v>1.32997384290268</v>
      </c>
      <c r="AI34" s="17" t="n">
        <v>1</v>
      </c>
      <c r="AJ34" s="17" t="n">
        <v>1.65994768580536</v>
      </c>
      <c r="AK34" s="17" t="n">
        <v>1.32997384290268</v>
      </c>
      <c r="AL34" s="17" t="n">
        <v>1.32997384290268</v>
      </c>
      <c r="AM34" s="17" t="n">
        <v>1.32997384290268</v>
      </c>
      <c r="AN34" s="17" t="n">
        <v>1</v>
      </c>
      <c r="AO34" s="17" t="n">
        <v>1</v>
      </c>
      <c r="AP34" s="17" t="n">
        <v>1</v>
      </c>
      <c r="AQ34" s="17" t="n">
        <v>1</v>
      </c>
      <c r="AR34" s="17" t="n">
        <v>1</v>
      </c>
      <c r="AS34" s="17" t="n">
        <v>1.32997384290268</v>
      </c>
      <c r="AT34" s="17" t="n">
        <v>1.32997384290268</v>
      </c>
      <c r="AU34" s="17" t="n">
        <v>1</v>
      </c>
      <c r="AV34" s="17" t="n">
        <v>1.32997384290268</v>
      </c>
      <c r="AW34" s="17" t="n">
        <v>1.32997384290268</v>
      </c>
      <c r="AX34" s="17" t="n">
        <v>1</v>
      </c>
      <c r="AY34" s="17" t="n">
        <v>1</v>
      </c>
      <c r="AZ34" s="17" t="n">
        <v>1</v>
      </c>
      <c r="BA34" s="17" t="n">
        <v>1</v>
      </c>
      <c r="BB34" s="17" t="n">
        <v>1</v>
      </c>
      <c r="BC34" s="17" t="n">
        <v>1</v>
      </c>
      <c r="BD34" s="17" t="n">
        <v>1</v>
      </c>
      <c r="BE34" s="17" t="n">
        <v>1.32997384290268</v>
      </c>
      <c r="BF34" s="17" t="n">
        <v>1.32997384290268</v>
      </c>
      <c r="BG34" s="17" t="n">
        <v>1</v>
      </c>
      <c r="BH34" s="17" t="n">
        <v>1</v>
      </c>
      <c r="BI34" s="17"/>
      <c r="BJ34" s="17"/>
    </row>
    <row r="35" customFormat="false" ht="15" hidden="false" customHeight="false" outlineLevel="0" collapsed="false">
      <c r="A35" s="2" t="n">
        <v>19</v>
      </c>
      <c r="B35" s="19" t="s">
        <v>70</v>
      </c>
      <c r="C35" s="0" t="n">
        <v>2</v>
      </c>
      <c r="D35" s="0" t="s">
        <v>115</v>
      </c>
      <c r="E35" s="0" t="str">
        <f aca="false">CONCATENATE("Als onderdeel van het programma 'Netwerk op zijn Best' omvat dit groot onderhoudsproject op de ",B35," een grootschalige vernieuwing van het asfalt.")</f>
        <v>Als onderdeel van het programma 'Netwerk op zijn Best' omvat dit groot onderhoudsproject op de B12-A een grootschalige vernieuwing van het asfalt.</v>
      </c>
      <c r="F35" s="13" t="s">
        <v>116</v>
      </c>
      <c r="G35" s="1" t="s">
        <v>121</v>
      </c>
      <c r="H35" s="1" t="n">
        <v>2640</v>
      </c>
      <c r="I35" s="14" t="n">
        <v>3676500</v>
      </c>
      <c r="J35" s="1" t="n">
        <v>8</v>
      </c>
      <c r="K35" s="15" t="n">
        <f aca="false">1/3</f>
        <v>0.333333333333333</v>
      </c>
      <c r="L35" s="1" t="n">
        <v>4</v>
      </c>
      <c r="M35" s="10" t="n">
        <f aca="false">O35-I35</f>
        <v>4731500</v>
      </c>
      <c r="N35" s="10" t="n">
        <f aca="false">IF(P35=1,0,VLOOKUP($P$1,'TTL NORMAL'!$A$2:$B$46,2,0)*(J35+L35)*P35)+IF(Q35=1,0,VLOOKUP($Q$1,'TTL NORMAL'!$A$2:$B$46,2,0)*(J35+L35)*Q35)+IF(R35=1,0,VLOOKUP($R$1,'TTL NORMAL'!$A$2:$B$46,2,0)*(J35+L35)*R35)+IF(S35=1,0,VLOOKUP($S$1,'TTL NORMAL'!$A$2:$B$46,2,0)*(J35+L35)*S35)+IF(T35=1,0,VLOOKUP($T$1,'TTL NORMAL'!$A$2:$B$46,2,0)*(J35+L35)*T35)+IF(U35=1,0,VLOOKUP($U$1,'TTL NORMAL'!$A$2:$B$46,2,0)*(J35+L35)*U35)+IF(V35=1,0,VLOOKUP($V$1,'TTL NORMAL'!$A$2:$B$46,2,0)*(J35+L35)*V35)+IF(W35=1,0,VLOOKUP($W$1,'TTL NORMAL'!$A$2:$B$46,2,0)*(J35+L35)*W35)+IF(X35=1,0,VLOOKUP($X$1,'TTL NORMAL'!$A$2:$B$46,2,0)*(J35+L35)*X35)+IF(Y35=1,0,VLOOKUP($Y$1,'TTL NORMAL'!$A$2:$B$46,2,0)*(J35+L35)*Y35)+IF(Z35=1,0,VLOOKUP($Z$1,'TTL NORMAL'!$A$2:$B$46,2,0)*(J35+L35)*Z35)+IF(AA35=1,0,VLOOKUP($AA$1,'TTL NORMAL'!$A$2:$B$46,2,0)*(J35+L35)*AA35)+IF(AB35=1,0,VLOOKUP($AB$1,'TTL NORMAL'!$A$2:$B$46,2,0)*(J35+L35)*AB35)+IF(AC35=1,0,VLOOKUP($AC$1,'TTL NORMAL'!$A$2:$B$46,2,0)*(J35+L35)*AC35)+IF(AD35=1,0,VLOOKUP($AD$1,'TTL NORMAL'!$A$2:$B$46,2,0)*(J35+L35)*AD35)+IF(AE35=1,0,VLOOKUP($AE$1,'TTL NORMAL'!$A$2:$B$46,2,0)*(J35+L35)*AE35)+IF(AF35=1,0,VLOOKUP($AF$1,'TTL NORMAL'!$A$2:$B$46,2,0)*(J35+L35)*AF35)+IF(AG35=1,0,VLOOKUP($AG$1,'TTL NORMAL'!$A$2:$B$46,2,0)*(J35+L35)*AG35)+IF(AH35=1,0,VLOOKUP($AH$1,'TTL NORMAL'!$A$2:$B$46,2,0)*(J35+L35)*AH35)+IF(AI35=1,0,VLOOKUP($AI$1,'TTL NORMAL'!$A$2:$B$46,2,0)*(J35+L35)*AI35)+IF(AJ35=1,0,VLOOKUP($AJ$1,'TTL NORMAL'!$A$2:$B$46,2,0)*(J35+L35)*AJ35)+IF(AK35=1,0,VLOOKUP($AK$1,'TTL NORMAL'!$A$2:$B$46,2,0)*(J35+L35)*AK35)+IF(AL35=1,0,VLOOKUP($AL$1,'TTL NORMAL'!$A$2:$B$46,2,0)*(J35+L35)*AL35)+IF(AM35=1,0,VLOOKUP($AM$1,'TTL NORMAL'!$A$2:$B$46,2,0)*(J35+L35)*AM35)+IF(AN35=1,0,VLOOKUP($AN$1,'TTL NORMAL'!$A$2:$B$46,2,0)*(J35+L35)*AN35)+IF(AO35=1,0,VLOOKUP($AO$1,'TTL NORMAL'!$A$2:$B$46,2,0)*(J35+L35)*AO35)+IF(AP35=1,0,VLOOKUP($AP$1,'TTL NORMAL'!$A$2:$B$46,2,0)*(J35+L35)*AP35)+IF(AQ35=1,0,VLOOKUP($AQ$1,'TTL NORMAL'!$A$2:$B$46,2,0)*(J35+L35)*AQ35)+IF(AR35=1,0,VLOOKUP($AR$1,'TTL NORMAL'!$A$2:$B$46,2,0)*(J35+L35)*AR35)+IF(AS35=1,0,VLOOKUP($AS$1,'TTL NORMAL'!$A$2:$B$46,2,0)*(J35+L35)*AS35)+IF(AT35=1,0,VLOOKUP($AT$1,'TTL NORMAL'!$A$2:$B$46,2,0)*(J35+L35)*AT35)+IF(AU35=1,0,VLOOKUP($AU$1,'TTL NORMAL'!$A$2:$B$46,2,0)*(J35+L35)*AU35)+IF(AV35=1,0,VLOOKUP($AV$1,'TTL NORMAL'!$A$2:$B$46,2,0)*(J35+L35)*AV35)+IF(AW35=1,0,VLOOKUP($AW$1,'TTL NORMAL'!$A$2:$B$46,2,0)*(J35+L35)*AW35)+IF(AX35=1,0,VLOOKUP($AX$1,'TTL NORMAL'!$A$2:$B$46,2,0)*(J35+L35)*AX35)+IF(AY35=1,0,VLOOKUP($AY$1,'TTL NORMAL'!$A$2:$B$46,2,0)*(J35+L35)*AY35)+IF(AZ35=1,0,VLOOKUP($AZ$1,'TTL NORMAL'!$A$2:$B$46,2,0)*(J35+L35)*AZ35)+IF(BA35=1,0,VLOOKUP($BA$1,'TTL NORMAL'!$A$2:$B$46,2,0)*(J35+L35)*BA35)+IF(BB35=1,0,VLOOKUP($BB$1,'TTL NORMAL'!$A$2:$B$46,2,0)*(J35+L35)*BB35)+IF(BC35=1,0,VLOOKUP($BC$1,'TTL NORMAL'!$A$2:$B$46,2,0)*(J35+L35)*BC35)+IF(BD35=1,0,VLOOKUP($BD$1,'TTL NORMAL'!$A$2:$B$46,2,0)*(J35+L35)*BD35)+IF(BE35=1,0,VLOOKUP($BE$1,'TTL NORMAL'!$A$2:$B$46,2,0)*(J35+L35)*BE35)+IF(BF35=1,0,VLOOKUP($BF$1,'TTL NORMAL'!$A$2:$B$46,2,0)*(J35+L35)*BF35)+IF(BG35=1,0,VLOOKUP($BG$1,'TTL NORMAL'!$A$2:$B$46,2,0)*(J35+L35)*BG35)+IF(BH35=1,0,VLOOKUP($BH$1,'TTL NORMAL'!$A$2:$B$46,2,0)*(J35+L35)*BH35)</f>
        <v>1402425.56597489</v>
      </c>
      <c r="O35" s="5" t="n">
        <v>8408000</v>
      </c>
      <c r="P35" s="18" t="n">
        <v>1</v>
      </c>
      <c r="Q35" s="17" t="n">
        <v>1</v>
      </c>
      <c r="R35" s="17" t="n">
        <v>1</v>
      </c>
      <c r="S35" s="17" t="n">
        <v>1</v>
      </c>
      <c r="T35" s="17" t="n">
        <v>1</v>
      </c>
      <c r="U35" s="17" t="n">
        <v>1</v>
      </c>
      <c r="V35" s="17" t="n">
        <v>1</v>
      </c>
      <c r="W35" s="17" t="n">
        <v>1.49496076435402</v>
      </c>
      <c r="X35" s="17" t="n">
        <v>1.49496076435402</v>
      </c>
      <c r="Y35" s="17" t="n">
        <v>1.98992152870804</v>
      </c>
      <c r="Z35" s="17" t="n">
        <v>1</v>
      </c>
      <c r="AA35" s="17" t="n">
        <v>1</v>
      </c>
      <c r="AB35" s="17" t="n">
        <v>1</v>
      </c>
      <c r="AC35" s="17" t="n">
        <v>1</v>
      </c>
      <c r="AD35" s="17" t="n">
        <v>1</v>
      </c>
      <c r="AE35" s="17" t="n">
        <v>1</v>
      </c>
      <c r="AF35" s="17" t="n">
        <v>1.98992152870804</v>
      </c>
      <c r="AG35" s="17" t="n">
        <v>1.98992152870804</v>
      </c>
      <c r="AH35" s="17" t="n">
        <v>1.49496076435402</v>
      </c>
      <c r="AI35" s="17" t="n">
        <v>1.98992152870804</v>
      </c>
      <c r="AJ35" s="17" t="n">
        <v>1.98992152870804</v>
      </c>
      <c r="AK35" s="17" t="n">
        <v>1.49496076435402</v>
      </c>
      <c r="AL35" s="17" t="n">
        <v>1.49496076435402</v>
      </c>
      <c r="AM35" s="17" t="n">
        <v>1.49496076435402</v>
      </c>
      <c r="AN35" s="17" t="n">
        <v>1</v>
      </c>
      <c r="AO35" s="17" t="n">
        <v>1</v>
      </c>
      <c r="AP35" s="17" t="n">
        <v>1</v>
      </c>
      <c r="AQ35" s="17" t="n">
        <v>1</v>
      </c>
      <c r="AR35" s="17" t="n">
        <v>1</v>
      </c>
      <c r="AS35" s="17" t="n">
        <v>1.49496076435402</v>
      </c>
      <c r="AT35" s="17" t="n">
        <v>1.49496076435402</v>
      </c>
      <c r="AU35" s="17" t="n">
        <v>1</v>
      </c>
      <c r="AV35" s="17" t="n">
        <v>1.49496076435402</v>
      </c>
      <c r="AW35" s="17" t="n">
        <v>1.49496076435402</v>
      </c>
      <c r="AX35" s="17" t="n">
        <v>1</v>
      </c>
      <c r="AY35" s="17" t="n">
        <v>1</v>
      </c>
      <c r="AZ35" s="17" t="n">
        <v>1</v>
      </c>
      <c r="BA35" s="17" t="n">
        <v>1</v>
      </c>
      <c r="BB35" s="17" t="n">
        <v>1</v>
      </c>
      <c r="BC35" s="17" t="n">
        <v>1</v>
      </c>
      <c r="BD35" s="17" t="n">
        <v>1</v>
      </c>
      <c r="BE35" s="17" t="n">
        <v>1.49496076435402</v>
      </c>
      <c r="BF35" s="17" t="n">
        <v>1.49496076435402</v>
      </c>
      <c r="BG35" s="17" t="n">
        <v>1</v>
      </c>
      <c r="BH35" s="17" t="n">
        <v>1</v>
      </c>
      <c r="BI35" s="17"/>
      <c r="BJ35" s="17"/>
    </row>
    <row r="36" customFormat="false" ht="15" hidden="false" customHeight="false" outlineLevel="0" collapsed="false">
      <c r="A36" s="2" t="n">
        <v>19</v>
      </c>
      <c r="B36" s="19" t="s">
        <v>70</v>
      </c>
      <c r="C36" s="0" t="n">
        <v>3</v>
      </c>
      <c r="D36" s="0" t="s">
        <v>117</v>
      </c>
      <c r="E36" s="0" t="str">
        <f aca="false">CONCATENATE("Als onderdeel van het programma 'Netwerk op zijn Best' omvat dit groot onderhoudsproject op de ",B36," een grootschalige vernieuwing van het asfalt.")</f>
        <v>Als onderdeel van het programma 'Netwerk op zijn Best' omvat dit groot onderhoudsproject op de B12-A een grootschalige vernieuwing van het asfalt.</v>
      </c>
      <c r="F36" s="13" t="s">
        <v>118</v>
      </c>
      <c r="G36" s="1" t="s">
        <v>121</v>
      </c>
      <c r="H36" s="1" t="n">
        <v>2200</v>
      </c>
      <c r="I36" s="14" t="n">
        <v>5778300</v>
      </c>
      <c r="J36" s="1" t="n">
        <v>8</v>
      </c>
      <c r="K36" s="15" t="n">
        <f aca="false">1/3</f>
        <v>0.333333333333333</v>
      </c>
      <c r="L36" s="1" t="n">
        <v>0</v>
      </c>
      <c r="M36" s="10" t="n">
        <f aca="false">O36-I36</f>
        <v>2629700</v>
      </c>
      <c r="N36" s="10" t="n">
        <f aca="false">IF(P36=1,0,VLOOKUP($P$1,'TTL NORMAL'!$A$2:$B$46,2,0)*(J36+L36)*P36)+IF(Q36=1,0,VLOOKUP($Q$1,'TTL NORMAL'!$A$2:$B$46,2,0)*(J36+L36)*Q36)+IF(R36=1,0,VLOOKUP($R$1,'TTL NORMAL'!$A$2:$B$46,2,0)*(J36+L36)*R36)+IF(S36=1,0,VLOOKUP($S$1,'TTL NORMAL'!$A$2:$B$46,2,0)*(J36+L36)*S36)+IF(T36=1,0,VLOOKUP($T$1,'TTL NORMAL'!$A$2:$B$46,2,0)*(J36+L36)*T36)+IF(U36=1,0,VLOOKUP($U$1,'TTL NORMAL'!$A$2:$B$46,2,0)*(J36+L36)*U36)+IF(V36=1,0,VLOOKUP($V$1,'TTL NORMAL'!$A$2:$B$46,2,0)*(J36+L36)*V36)+IF(W36=1,0,VLOOKUP($W$1,'TTL NORMAL'!$A$2:$B$46,2,0)*(J36+L36)*W36)+IF(X36=1,0,VLOOKUP($X$1,'TTL NORMAL'!$A$2:$B$46,2,0)*(J36+L36)*X36)+IF(Y36=1,0,VLOOKUP($Y$1,'TTL NORMAL'!$A$2:$B$46,2,0)*(J36+L36)*Y36)+IF(Z36=1,0,VLOOKUP($Z$1,'TTL NORMAL'!$A$2:$B$46,2,0)*(J36+L36)*Z36)+IF(AA36=1,0,VLOOKUP($AA$1,'TTL NORMAL'!$A$2:$B$46,2,0)*(J36+L36)*AA36)+IF(AB36=1,0,VLOOKUP($AB$1,'TTL NORMAL'!$A$2:$B$46,2,0)*(J36+L36)*AB36)+IF(AC36=1,0,VLOOKUP($AC$1,'TTL NORMAL'!$A$2:$B$46,2,0)*(J36+L36)*AC36)+IF(AD36=1,0,VLOOKUP($AD$1,'TTL NORMAL'!$A$2:$B$46,2,0)*(J36+L36)*AD36)+IF(AE36=1,0,VLOOKUP($AE$1,'TTL NORMAL'!$A$2:$B$46,2,0)*(J36+L36)*AE36)+IF(AF36=1,0,VLOOKUP($AF$1,'TTL NORMAL'!$A$2:$B$46,2,0)*(J36+L36)*AF36)+IF(AG36=1,0,VLOOKUP($AG$1,'TTL NORMAL'!$A$2:$B$46,2,0)*(J36+L36)*AG36)+IF(AH36=1,0,VLOOKUP($AH$1,'TTL NORMAL'!$A$2:$B$46,2,0)*(J36+L36)*AH36)+IF(AI36=1,0,VLOOKUP($AI$1,'TTL NORMAL'!$A$2:$B$46,2,0)*(J36+L36)*AI36)+IF(AJ36=1,0,VLOOKUP($AJ$1,'TTL NORMAL'!$A$2:$B$46,2,0)*(J36+L36)*AJ36)+IF(AK36=1,0,VLOOKUP($AK$1,'TTL NORMAL'!$A$2:$B$46,2,0)*(J36+L36)*AK36)+IF(AL36=1,0,VLOOKUP($AL$1,'TTL NORMAL'!$A$2:$B$46,2,0)*(J36+L36)*AL36)+IF(AM36=1,0,VLOOKUP($AM$1,'TTL NORMAL'!$A$2:$B$46,2,0)*(J36+L36)*AM36)+IF(AN36=1,0,VLOOKUP($AN$1,'TTL NORMAL'!$A$2:$B$46,2,0)*(J36+L36)*AN36)+IF(AO36=1,0,VLOOKUP($AO$1,'TTL NORMAL'!$A$2:$B$46,2,0)*(J36+L36)*AO36)+IF(AP36=1,0,VLOOKUP($AP$1,'TTL NORMAL'!$A$2:$B$46,2,0)*(J36+L36)*AP36)+IF(AQ36=1,0,VLOOKUP($AQ$1,'TTL NORMAL'!$A$2:$B$46,2,0)*(J36+L36)*AQ36)+IF(AR36=1,0,VLOOKUP($AR$1,'TTL NORMAL'!$A$2:$B$46,2,0)*(J36+L36)*AR36)+IF(AS36=1,0,VLOOKUP($AS$1,'TTL NORMAL'!$A$2:$B$46,2,0)*(J36+L36)*AS36)+IF(AT36=1,0,VLOOKUP($AT$1,'TTL NORMAL'!$A$2:$B$46,2,0)*(J36+L36)*AT36)+IF(AU36=1,0,VLOOKUP($AU$1,'TTL NORMAL'!$A$2:$B$46,2,0)*(J36+L36)*AU36)+IF(AV36=1,0,VLOOKUP($AV$1,'TTL NORMAL'!$A$2:$B$46,2,0)*(J36+L36)*AV36)+IF(AW36=1,0,VLOOKUP($AW$1,'TTL NORMAL'!$A$2:$B$46,2,0)*(J36+L36)*AW36)+IF(AX36=1,0,VLOOKUP($AX$1,'TTL NORMAL'!$A$2:$B$46,2,0)*(J36+L36)*AX36)+IF(AY36=1,0,VLOOKUP($AY$1,'TTL NORMAL'!$A$2:$B$46,2,0)*(J36+L36)*AY36)+IF(AZ36=1,0,VLOOKUP($AZ$1,'TTL NORMAL'!$A$2:$B$46,2,0)*(J36+L36)*AZ36)+IF(BA36=1,0,VLOOKUP($BA$1,'TTL NORMAL'!$A$2:$B$46,2,0)*(J36+L36)*BA36)+IF(BB36=1,0,VLOOKUP($BB$1,'TTL NORMAL'!$A$2:$B$46,2,0)*(J36+L36)*BB36)+IF(BC36=1,0,VLOOKUP($BC$1,'TTL NORMAL'!$A$2:$B$46,2,0)*(J36+L36)*BC36)+IF(BD36=1,0,VLOOKUP($BD$1,'TTL NORMAL'!$A$2:$B$46,2,0)*(J36+L36)*BD36)+IF(BE36=1,0,VLOOKUP($BE$1,'TTL NORMAL'!$A$2:$B$46,2,0)*(J36+L36)*BE36)+IF(BF36=1,0,VLOOKUP($BF$1,'TTL NORMAL'!$A$2:$B$46,2,0)*(J36+L36)*BF36)+IF(BG36=1,0,VLOOKUP($BG$1,'TTL NORMAL'!$A$2:$B$46,2,0)*(J36+L36)*BG36)+IF(BH36=1,0,VLOOKUP($BH$1,'TTL NORMAL'!$A$2:$B$46,2,0)*(J36+L36)*BH36)</f>
        <v>859742.039376354</v>
      </c>
      <c r="O36" s="10" t="n">
        <v>8408000</v>
      </c>
      <c r="P36" s="18" t="n">
        <v>1</v>
      </c>
      <c r="Q36" s="17" t="n">
        <v>1</v>
      </c>
      <c r="R36" s="17" t="n">
        <v>1</v>
      </c>
      <c r="S36" s="17" t="n">
        <v>1</v>
      </c>
      <c r="T36" s="17" t="n">
        <v>1</v>
      </c>
      <c r="U36" s="17" t="n">
        <v>1</v>
      </c>
      <c r="V36" s="17" t="n">
        <v>1</v>
      </c>
      <c r="W36" s="17" t="n">
        <v>1.41246730362835</v>
      </c>
      <c r="X36" s="17" t="n">
        <v>1.41246730362835</v>
      </c>
      <c r="Y36" s="17" t="n">
        <v>1.8249346072567</v>
      </c>
      <c r="Z36" s="17" t="n">
        <v>1</v>
      </c>
      <c r="AA36" s="17" t="n">
        <v>1</v>
      </c>
      <c r="AB36" s="17" t="n">
        <v>1</v>
      </c>
      <c r="AC36" s="17" t="n">
        <v>1</v>
      </c>
      <c r="AD36" s="17" t="n">
        <v>1</v>
      </c>
      <c r="AE36" s="17" t="n">
        <v>1</v>
      </c>
      <c r="AF36" s="17" t="n">
        <v>1.8249346072567</v>
      </c>
      <c r="AG36" s="17" t="n">
        <v>1.8249346072567</v>
      </c>
      <c r="AH36" s="17" t="n">
        <v>1.41246730362835</v>
      </c>
      <c r="AI36" s="17" t="n">
        <v>1.41246730362835</v>
      </c>
      <c r="AJ36" s="17" t="n">
        <v>1.8249346072567</v>
      </c>
      <c r="AK36" s="17" t="n">
        <v>1.41246730362835</v>
      </c>
      <c r="AL36" s="17" t="n">
        <v>1.41246730362835</v>
      </c>
      <c r="AM36" s="17" t="n">
        <v>1.41246730362835</v>
      </c>
      <c r="AN36" s="17" t="n">
        <v>1</v>
      </c>
      <c r="AO36" s="17" t="n">
        <v>1</v>
      </c>
      <c r="AP36" s="17" t="n">
        <v>1</v>
      </c>
      <c r="AQ36" s="17" t="n">
        <v>1</v>
      </c>
      <c r="AR36" s="17" t="n">
        <v>1</v>
      </c>
      <c r="AS36" s="17" t="n">
        <v>1.41246730362835</v>
      </c>
      <c r="AT36" s="17" t="n">
        <v>1.41246730362835</v>
      </c>
      <c r="AU36" s="17" t="n">
        <v>1</v>
      </c>
      <c r="AV36" s="17" t="n">
        <v>1.41246730362835</v>
      </c>
      <c r="AW36" s="17" t="n">
        <v>1.41246730362835</v>
      </c>
      <c r="AX36" s="17" t="n">
        <v>1</v>
      </c>
      <c r="AY36" s="17" t="n">
        <v>1</v>
      </c>
      <c r="AZ36" s="17" t="n">
        <v>1</v>
      </c>
      <c r="BA36" s="17" t="n">
        <v>1</v>
      </c>
      <c r="BB36" s="17" t="n">
        <v>1</v>
      </c>
      <c r="BC36" s="17" t="n">
        <v>1</v>
      </c>
      <c r="BD36" s="17" t="n">
        <v>1</v>
      </c>
      <c r="BE36" s="17" t="n">
        <v>1.41246730362835</v>
      </c>
      <c r="BF36" s="17" t="n">
        <v>1.41246730362835</v>
      </c>
      <c r="BG36" s="17" t="n">
        <v>1</v>
      </c>
      <c r="BH36" s="17" t="n">
        <v>1</v>
      </c>
      <c r="BI36" s="17"/>
      <c r="BJ36" s="17"/>
    </row>
    <row r="37" customFormat="false" ht="15" hidden="false" customHeight="false" outlineLevel="0" collapsed="false">
      <c r="A37" s="2" t="n">
        <v>19</v>
      </c>
      <c r="B37" s="19" t="s">
        <v>70</v>
      </c>
      <c r="C37" s="0" t="n">
        <v>4</v>
      </c>
      <c r="D37" s="0" t="s">
        <v>119</v>
      </c>
      <c r="E37" s="0" t="str">
        <f aca="false">CONCATENATE("Als onderdeel van het programma 'Netwerk op zijn Best' omvat dit groot onderhoudsproject op de ",B37," een grootschalige vernieuwing van het asfalt.")</f>
        <v>Als onderdeel van het programma 'Netwerk op zijn Best' omvat dit groot onderhoudsproject op de B12-A een grootschalige vernieuwing van het asfalt.</v>
      </c>
      <c r="F37" s="13" t="s">
        <v>120</v>
      </c>
      <c r="G37" s="1" t="s">
        <v>121</v>
      </c>
      <c r="H37" s="1" t="n">
        <v>2640</v>
      </c>
      <c r="I37" s="14" t="n">
        <v>5253000</v>
      </c>
      <c r="J37" s="1" t="n">
        <v>5.6</v>
      </c>
      <c r="K37" s="15" t="n">
        <f aca="false">1/3</f>
        <v>0.333333333333333</v>
      </c>
      <c r="L37" s="1" t="n">
        <v>2</v>
      </c>
      <c r="M37" s="10" t="n">
        <f aca="false">O37-I37</f>
        <v>3155000</v>
      </c>
      <c r="N37" s="10" t="n">
        <f aca="false">IF(P37=1,0,VLOOKUP($P$1,'TTL NORMAL'!$A$2:$B$46,2,0)*(J37+L37)*P37)+IF(Q37=1,0,VLOOKUP($Q$1,'TTL NORMAL'!$A$2:$B$46,2,0)*(J37+L37)*Q37)+IF(R37=1,0,VLOOKUP($R$1,'TTL NORMAL'!$A$2:$B$46,2,0)*(J37+L37)*R37)+IF(S37=1,0,VLOOKUP($S$1,'TTL NORMAL'!$A$2:$B$46,2,0)*(J37+L37)*S37)+IF(T37=1,0,VLOOKUP($T$1,'TTL NORMAL'!$A$2:$B$46,2,0)*(J37+L37)*T37)+IF(U37=1,0,VLOOKUP($U$1,'TTL NORMAL'!$A$2:$B$46,2,0)*(J37+L37)*U37)+IF(V37=1,0,VLOOKUP($V$1,'TTL NORMAL'!$A$2:$B$46,2,0)*(J37+L37)*V37)+IF(W37=1,0,VLOOKUP($W$1,'TTL NORMAL'!$A$2:$B$46,2,0)*(J37+L37)*W37)+IF(X37=1,0,VLOOKUP($X$1,'TTL NORMAL'!$A$2:$B$46,2,0)*(J37+L37)*X37)+IF(Y37=1,0,VLOOKUP($Y$1,'TTL NORMAL'!$A$2:$B$46,2,0)*(J37+L37)*Y37)+IF(Z37=1,0,VLOOKUP($Z$1,'TTL NORMAL'!$A$2:$B$46,2,0)*(J37+L37)*Z37)+IF(AA37=1,0,VLOOKUP($AA$1,'TTL NORMAL'!$A$2:$B$46,2,0)*(J37+L37)*AA37)+IF(AB37=1,0,VLOOKUP($AB$1,'TTL NORMAL'!$A$2:$B$46,2,0)*(J37+L37)*AB37)+IF(AC37=1,0,VLOOKUP($AC$1,'TTL NORMAL'!$A$2:$B$46,2,0)*(J37+L37)*AC37)+IF(AD37=1,0,VLOOKUP($AD$1,'TTL NORMAL'!$A$2:$B$46,2,0)*(J37+L37)*AD37)+IF(AE37=1,0,VLOOKUP($AE$1,'TTL NORMAL'!$A$2:$B$46,2,0)*(J37+L37)*AE37)+IF(AF37=1,0,VLOOKUP($AF$1,'TTL NORMAL'!$A$2:$B$46,2,0)*(J37+L37)*AF37)+IF(AG37=1,0,VLOOKUP($AG$1,'TTL NORMAL'!$A$2:$B$46,2,0)*(J37+L37)*AG37)+IF(AH37=1,0,VLOOKUP($AH$1,'TTL NORMAL'!$A$2:$B$46,2,0)*(J37+L37)*AH37)+IF(AI37=1,0,VLOOKUP($AI$1,'TTL NORMAL'!$A$2:$B$46,2,0)*(J37+L37)*AI37)+IF(AJ37=1,0,VLOOKUP($AJ$1,'TTL NORMAL'!$A$2:$B$46,2,0)*(J37+L37)*AJ37)+IF(AK37=1,0,VLOOKUP($AK$1,'TTL NORMAL'!$A$2:$B$46,2,0)*(J37+L37)*AK37)+IF(AL37=1,0,VLOOKUP($AL$1,'TTL NORMAL'!$A$2:$B$46,2,0)*(J37+L37)*AL37)+IF(AM37=1,0,VLOOKUP($AM$1,'TTL NORMAL'!$A$2:$B$46,2,0)*(J37+L37)*AM37)+IF(AN37=1,0,VLOOKUP($AN$1,'TTL NORMAL'!$A$2:$B$46,2,0)*(J37+L37)*AN37)+IF(AO37=1,0,VLOOKUP($AO$1,'TTL NORMAL'!$A$2:$B$46,2,0)*(J37+L37)*AO37)+IF(AP37=1,0,VLOOKUP($AP$1,'TTL NORMAL'!$A$2:$B$46,2,0)*(J37+L37)*AP37)+IF(AQ37=1,0,VLOOKUP($AQ$1,'TTL NORMAL'!$A$2:$B$46,2,0)*(J37+L37)*AQ37)+IF(AR37=1,0,VLOOKUP($AR$1,'TTL NORMAL'!$A$2:$B$46,2,0)*(J37+L37)*AR37)+IF(AS37=1,0,VLOOKUP($AS$1,'TTL NORMAL'!$A$2:$B$46,2,0)*(J37+L37)*AS37)+IF(AT37=1,0,VLOOKUP($AT$1,'TTL NORMAL'!$A$2:$B$46,2,0)*(J37+L37)*AT37)+IF(AU37=1,0,VLOOKUP($AU$1,'TTL NORMAL'!$A$2:$B$46,2,0)*(J37+L37)*AU37)+IF(AV37=1,0,VLOOKUP($AV$1,'TTL NORMAL'!$A$2:$B$46,2,0)*(J37+L37)*AV37)+IF(AW37=1,0,VLOOKUP($AW$1,'TTL NORMAL'!$A$2:$B$46,2,0)*(J37+L37)*AW37)+IF(AX37=1,0,VLOOKUP($AX$1,'TTL NORMAL'!$A$2:$B$46,2,0)*(J37+L37)*AX37)+IF(AY37=1,0,VLOOKUP($AY$1,'TTL NORMAL'!$A$2:$B$46,2,0)*(J37+L37)*AY37)+IF(AZ37=1,0,VLOOKUP($AZ$1,'TTL NORMAL'!$A$2:$B$46,2,0)*(J37+L37)*AZ37)+IF(BA37=1,0,VLOOKUP($BA$1,'TTL NORMAL'!$A$2:$B$46,2,0)*(J37+L37)*BA37)+IF(BB37=1,0,VLOOKUP($BB$1,'TTL NORMAL'!$A$2:$B$46,2,0)*(J37+L37)*BB37)+IF(BC37=1,0,VLOOKUP($BC$1,'TTL NORMAL'!$A$2:$B$46,2,0)*(J37+L37)*BC37)+IF(BD37=1,0,VLOOKUP($BD$1,'TTL NORMAL'!$A$2:$B$46,2,0)*(J37+L37)*BD37)+IF(BE37=1,0,VLOOKUP($BE$1,'TTL NORMAL'!$A$2:$B$46,2,0)*(J37+L37)*BE37)+IF(BF37=1,0,VLOOKUP($BF$1,'TTL NORMAL'!$A$2:$B$46,2,0)*(J37+L37)*BF37)+IF(BG37=1,0,VLOOKUP($BG$1,'TTL NORMAL'!$A$2:$B$46,2,0)*(J37+L37)*BG37)+IF(BH37=1,0,VLOOKUP($BH$1,'TTL NORMAL'!$A$2:$B$46,2,0)*(J37+L37)*BH37)</f>
        <v>888202.858450764</v>
      </c>
      <c r="O37" s="5" t="n">
        <v>8408000</v>
      </c>
      <c r="P37" s="18" t="n">
        <v>1</v>
      </c>
      <c r="Q37" s="17" t="n">
        <v>1</v>
      </c>
      <c r="R37" s="17" t="n">
        <v>1</v>
      </c>
      <c r="S37" s="17" t="n">
        <v>1</v>
      </c>
      <c r="T37" s="17" t="n">
        <v>1</v>
      </c>
      <c r="U37" s="17" t="n">
        <v>1</v>
      </c>
      <c r="V37" s="17" t="n">
        <v>1</v>
      </c>
      <c r="W37" s="17" t="n">
        <v>1.49496076435402</v>
      </c>
      <c r="X37" s="17" t="n">
        <v>1.49496076435402</v>
      </c>
      <c r="Y37" s="17" t="n">
        <v>1.98992152870804</v>
      </c>
      <c r="Z37" s="17" t="n">
        <v>1</v>
      </c>
      <c r="AA37" s="17" t="n">
        <v>1</v>
      </c>
      <c r="AB37" s="17" t="n">
        <v>1</v>
      </c>
      <c r="AC37" s="17" t="n">
        <v>1</v>
      </c>
      <c r="AD37" s="17" t="n">
        <v>1</v>
      </c>
      <c r="AE37" s="17" t="n">
        <v>1</v>
      </c>
      <c r="AF37" s="17" t="n">
        <v>1.98992152870804</v>
      </c>
      <c r="AG37" s="17" t="n">
        <v>1.98992152870804</v>
      </c>
      <c r="AH37" s="17" t="n">
        <v>1.49496076435402</v>
      </c>
      <c r="AI37" s="17" t="n">
        <v>1.98992152870804</v>
      </c>
      <c r="AJ37" s="17" t="n">
        <v>1.98992152870804</v>
      </c>
      <c r="AK37" s="17" t="n">
        <v>1.49496076435402</v>
      </c>
      <c r="AL37" s="17" t="n">
        <v>1.49496076435402</v>
      </c>
      <c r="AM37" s="17" t="n">
        <v>1.49496076435402</v>
      </c>
      <c r="AN37" s="17" t="n">
        <v>1</v>
      </c>
      <c r="AO37" s="17" t="n">
        <v>1</v>
      </c>
      <c r="AP37" s="17" t="n">
        <v>1</v>
      </c>
      <c r="AQ37" s="17" t="n">
        <v>1</v>
      </c>
      <c r="AR37" s="17" t="n">
        <v>1</v>
      </c>
      <c r="AS37" s="17" t="n">
        <v>1.49496076435402</v>
      </c>
      <c r="AT37" s="17" t="n">
        <v>1.49496076435402</v>
      </c>
      <c r="AU37" s="17" t="n">
        <v>1</v>
      </c>
      <c r="AV37" s="17" t="n">
        <v>1.49496076435402</v>
      </c>
      <c r="AW37" s="17" t="n">
        <v>1.49496076435402</v>
      </c>
      <c r="AX37" s="17" t="n">
        <v>1</v>
      </c>
      <c r="AY37" s="17" t="n">
        <v>1</v>
      </c>
      <c r="AZ37" s="17" t="n">
        <v>1</v>
      </c>
      <c r="BA37" s="17" t="n">
        <v>1</v>
      </c>
      <c r="BB37" s="17" t="n">
        <v>1</v>
      </c>
      <c r="BC37" s="17" t="n">
        <v>1</v>
      </c>
      <c r="BD37" s="17" t="n">
        <v>1</v>
      </c>
      <c r="BE37" s="17" t="n">
        <v>1.49496076435402</v>
      </c>
      <c r="BF37" s="17" t="n">
        <v>1.49496076435402</v>
      </c>
      <c r="BG37" s="17" t="n">
        <v>1</v>
      </c>
      <c r="BH37" s="17" t="n">
        <v>1</v>
      </c>
      <c r="BI37" s="17"/>
      <c r="BJ37" s="17"/>
    </row>
    <row r="38" customFormat="false" ht="15" hidden="false" customHeight="false" outlineLevel="0" collapsed="false">
      <c r="A38" s="2" t="n">
        <v>20</v>
      </c>
      <c r="B38" s="0" t="s">
        <v>71</v>
      </c>
      <c r="C38" s="0" t="n">
        <v>1</v>
      </c>
      <c r="D38" s="0" t="s">
        <v>112</v>
      </c>
      <c r="E38" s="0" t="str">
        <f aca="false">CONCATENATE("Als onderdeel van het programma 'Netwerk op zijn Best' omvat dit groot onderhoudsproject op de ",B38," een rijbaanverbreding van 3 naar 4 rijstroken op het knooppunt tussen de ",B38," en de M1.")</f>
        <v>Als onderdeel van het programma 'Netwerk op zijn Best' omvat dit groot onderhoudsproject op de B12-B een rijbaanverbreding van 3 naar 4 rijstroken op het knooppunt tussen de B12-B en de M1.</v>
      </c>
      <c r="F38" s="13" t="s">
        <v>113</v>
      </c>
      <c r="G38" s="1" t="s">
        <v>122</v>
      </c>
      <c r="H38" s="1" t="n">
        <v>3040</v>
      </c>
      <c r="I38" s="14" t="n">
        <v>4618500</v>
      </c>
      <c r="J38" s="1" t="n">
        <v>14.3</v>
      </c>
      <c r="K38" s="15" t="n">
        <f aca="false">1/3</f>
        <v>0.333333333333333</v>
      </c>
      <c r="L38" s="1" t="n">
        <v>2</v>
      </c>
      <c r="M38" s="10" t="n">
        <f aca="false">O38-I38</f>
        <v>2103500</v>
      </c>
      <c r="N38" s="10" t="n">
        <f aca="false">IF(P38=1,0,VLOOKUP($P$1,'TTL NORMAL'!$A$2:$B$46,2,0)*(J38+L38)*P38)+IF(Q38=1,0,VLOOKUP($Q$1,'TTL NORMAL'!$A$2:$B$46,2,0)*(J38+L38)*Q38)+IF(R38=1,0,VLOOKUP($R$1,'TTL NORMAL'!$A$2:$B$46,2,0)*(J38+L38)*R38)+IF(S38=1,0,VLOOKUP($S$1,'TTL NORMAL'!$A$2:$B$46,2,0)*(J38+L38)*S38)+IF(T38=1,0,VLOOKUP($T$1,'TTL NORMAL'!$A$2:$B$46,2,0)*(J38+L38)*T38)+IF(U38=1,0,VLOOKUP($U$1,'TTL NORMAL'!$A$2:$B$46,2,0)*(J38+L38)*U38)+IF(V38=1,0,VLOOKUP($V$1,'TTL NORMAL'!$A$2:$B$46,2,0)*(J38+L38)*V38)+IF(W38=1,0,VLOOKUP($W$1,'TTL NORMAL'!$A$2:$B$46,2,0)*(J38+L38)*W38)+IF(X38=1,0,VLOOKUP($X$1,'TTL NORMAL'!$A$2:$B$46,2,0)*(J38+L38)*X38)+IF(Y38=1,0,VLOOKUP($Y$1,'TTL NORMAL'!$A$2:$B$46,2,0)*(J38+L38)*Y38)+IF(Z38=1,0,VLOOKUP($Z$1,'TTL NORMAL'!$A$2:$B$46,2,0)*(J38+L38)*Z38)+IF(AA38=1,0,VLOOKUP($AA$1,'TTL NORMAL'!$A$2:$B$46,2,0)*(J38+L38)*AA38)+IF(AB38=1,0,VLOOKUP($AB$1,'TTL NORMAL'!$A$2:$B$46,2,0)*(J38+L38)*AB38)+IF(AC38=1,0,VLOOKUP($AC$1,'TTL NORMAL'!$A$2:$B$46,2,0)*(J38+L38)*AC38)+IF(AD38=1,0,VLOOKUP($AD$1,'TTL NORMAL'!$A$2:$B$46,2,0)*(J38+L38)*AD38)+IF(AE38=1,0,VLOOKUP($AE$1,'TTL NORMAL'!$A$2:$B$46,2,0)*(J38+L38)*AE38)+IF(AF38=1,0,VLOOKUP($AF$1,'TTL NORMAL'!$A$2:$B$46,2,0)*(J38+L38)*AF38)+IF(AG38=1,0,VLOOKUP($AG$1,'TTL NORMAL'!$A$2:$B$46,2,0)*(J38+L38)*AG38)+IF(AH38=1,0,VLOOKUP($AH$1,'TTL NORMAL'!$A$2:$B$46,2,0)*(J38+L38)*AH38)+IF(AI38=1,0,VLOOKUP($AI$1,'TTL NORMAL'!$A$2:$B$46,2,0)*(J38+L38)*AI38)+IF(AJ38=1,0,VLOOKUP($AJ$1,'TTL NORMAL'!$A$2:$B$46,2,0)*(J38+L38)*AJ38)+IF(AK38=1,0,VLOOKUP($AK$1,'TTL NORMAL'!$A$2:$B$46,2,0)*(J38+L38)*AK38)+IF(AL38=1,0,VLOOKUP($AL$1,'TTL NORMAL'!$A$2:$B$46,2,0)*(J38+L38)*AL38)+IF(AM38=1,0,VLOOKUP($AM$1,'TTL NORMAL'!$A$2:$B$46,2,0)*(J38+L38)*AM38)+IF(AN38=1,0,VLOOKUP($AN$1,'TTL NORMAL'!$A$2:$B$46,2,0)*(J38+L38)*AN38)+IF(AO38=1,0,VLOOKUP($AO$1,'TTL NORMAL'!$A$2:$B$46,2,0)*(J38+L38)*AO38)+IF(AP38=1,0,VLOOKUP($AP$1,'TTL NORMAL'!$A$2:$B$46,2,0)*(J38+L38)*AP38)+IF(AQ38=1,0,VLOOKUP($AQ$1,'TTL NORMAL'!$A$2:$B$46,2,0)*(J38+L38)*AQ38)+IF(AR38=1,0,VLOOKUP($AR$1,'TTL NORMAL'!$A$2:$B$46,2,0)*(J38+L38)*AR38)+IF(AS38=1,0,VLOOKUP($AS$1,'TTL NORMAL'!$A$2:$B$46,2,0)*(J38+L38)*AS38)+IF(AT38=1,0,VLOOKUP($AT$1,'TTL NORMAL'!$A$2:$B$46,2,0)*(J38+L38)*AT38)+IF(AU38=1,0,VLOOKUP($AU$1,'TTL NORMAL'!$A$2:$B$46,2,0)*(J38+L38)*AU38)+IF(AV38=1,0,VLOOKUP($AV$1,'TTL NORMAL'!$A$2:$B$46,2,0)*(J38+L38)*AV38)+IF(AW38=1,0,VLOOKUP($AW$1,'TTL NORMAL'!$A$2:$B$46,2,0)*(J38+L38)*AW38)+IF(AX38=1,0,VLOOKUP($AX$1,'TTL NORMAL'!$A$2:$B$46,2,0)*(J38+L38)*AX38)+IF(AY38=1,0,VLOOKUP($AY$1,'TTL NORMAL'!$A$2:$B$46,2,0)*(J38+L38)*AY38)+IF(AZ38=1,0,VLOOKUP($AZ$1,'TTL NORMAL'!$A$2:$B$46,2,0)*(J38+L38)*AZ38)+IF(BA38=1,0,VLOOKUP($BA$1,'TTL NORMAL'!$A$2:$B$46,2,0)*(J38+L38)*BA38)+IF(BB38=1,0,VLOOKUP($BB$1,'TTL NORMAL'!$A$2:$B$46,2,0)*(J38+L38)*BB38)+IF(BC38=1,0,VLOOKUP($BC$1,'TTL NORMAL'!$A$2:$B$46,2,0)*(J38+L38)*BC38)+IF(BD38=1,0,VLOOKUP($BD$1,'TTL NORMAL'!$A$2:$B$46,2,0)*(J38+L38)*BD38)+IF(BE38=1,0,VLOOKUP($BE$1,'TTL NORMAL'!$A$2:$B$46,2,0)*(J38+L38)*BE38)+IF(BF38=1,0,VLOOKUP($BF$1,'TTL NORMAL'!$A$2:$B$46,2,0)*(J38+L38)*BF38)+IF(BG38=1,0,VLOOKUP($BG$1,'TTL NORMAL'!$A$2:$B$46,2,0)*(J38+L38)*BG38)+IF(BH38=1,0,VLOOKUP($BH$1,'TTL NORMAL'!$A$2:$B$46,2,0)*(J38+L38)*BH38)</f>
        <v>1880056.39607328</v>
      </c>
      <c r="O38" s="5" t="n">
        <v>6722000</v>
      </c>
      <c r="P38" s="18" t="n">
        <v>1.31415190780744</v>
      </c>
      <c r="Q38" s="17" t="n">
        <v>1.31415190780744</v>
      </c>
      <c r="R38" s="17" t="n">
        <v>1</v>
      </c>
      <c r="S38" s="17" t="n">
        <v>1</v>
      </c>
      <c r="T38" s="17" t="n">
        <v>1</v>
      </c>
      <c r="U38" s="17" t="n">
        <v>1.31415190780744</v>
      </c>
      <c r="V38" s="17" t="n">
        <v>1</v>
      </c>
      <c r="W38" s="17" t="n">
        <v>1.31415190780744</v>
      </c>
      <c r="X38" s="17" t="n">
        <v>1</v>
      </c>
      <c r="Y38" s="17" t="n">
        <v>1.31415190780744</v>
      </c>
      <c r="Z38" s="17" t="n">
        <v>1</v>
      </c>
      <c r="AA38" s="17" t="n">
        <v>1</v>
      </c>
      <c r="AB38" s="17" t="n">
        <v>1</v>
      </c>
      <c r="AC38" s="17" t="n">
        <v>1</v>
      </c>
      <c r="AD38" s="17" t="n">
        <v>1</v>
      </c>
      <c r="AE38" s="20" t="n">
        <v>1.31415190780744</v>
      </c>
      <c r="AF38" s="17" t="n">
        <v>1.62830381561489</v>
      </c>
      <c r="AG38" s="17" t="n">
        <v>1.62830381561489</v>
      </c>
      <c r="AH38" s="17" t="n">
        <v>1.31415190780744</v>
      </c>
      <c r="AI38" s="17" t="n">
        <v>1.62830381561489</v>
      </c>
      <c r="AJ38" s="17" t="n">
        <v>1</v>
      </c>
      <c r="AK38" s="20" t="n">
        <v>1.62830381561489</v>
      </c>
      <c r="AL38" s="17" t="n">
        <v>1.31415190780744</v>
      </c>
      <c r="AM38" s="17" t="n">
        <v>1.31415190780744</v>
      </c>
      <c r="AN38" s="17" t="n">
        <v>1</v>
      </c>
      <c r="AO38" s="17" t="n">
        <v>1</v>
      </c>
      <c r="AP38" s="20" t="n">
        <v>1.31415190780744</v>
      </c>
      <c r="AQ38" s="20" t="n">
        <v>1.31415190780744</v>
      </c>
      <c r="AR38" s="17" t="n">
        <v>1</v>
      </c>
      <c r="AS38" s="20" t="n">
        <v>1.62830381561489</v>
      </c>
      <c r="AT38" s="20" t="n">
        <v>1.62830381561489</v>
      </c>
      <c r="AU38" s="17" t="n">
        <v>1</v>
      </c>
      <c r="AV38" s="17" t="n">
        <v>1</v>
      </c>
      <c r="AW38" s="17" t="n">
        <v>1</v>
      </c>
      <c r="AX38" s="17" t="n">
        <v>1</v>
      </c>
      <c r="AY38" s="17" t="n">
        <v>1</v>
      </c>
      <c r="AZ38" s="17" t="n">
        <v>1</v>
      </c>
      <c r="BA38" s="17" t="n">
        <v>1</v>
      </c>
      <c r="BB38" s="17" t="n">
        <v>1</v>
      </c>
      <c r="BC38" s="17" t="n">
        <v>1</v>
      </c>
      <c r="BD38" s="17" t="n">
        <v>1</v>
      </c>
      <c r="BE38" s="17" t="n">
        <v>1.62830381561489</v>
      </c>
      <c r="BF38" s="17" t="n">
        <v>1.31415190780744</v>
      </c>
      <c r="BG38" s="17" t="n">
        <v>1</v>
      </c>
      <c r="BH38" s="17" t="n">
        <v>1</v>
      </c>
      <c r="BI38" s="20"/>
      <c r="BJ38" s="18"/>
    </row>
    <row r="39" customFormat="false" ht="15" hidden="false" customHeight="false" outlineLevel="0" collapsed="false">
      <c r="A39" s="2" t="n">
        <v>20</v>
      </c>
      <c r="B39" s="0" t="s">
        <v>71</v>
      </c>
      <c r="C39" s="0" t="n">
        <v>2</v>
      </c>
      <c r="D39" s="0" t="s">
        <v>115</v>
      </c>
      <c r="E39" s="0" t="str">
        <f aca="false">CONCATENATE("Als onderdeel van het programma 'Netwerk op zijn Best' omvat dit groot onderhoudsproject op de ",B39," een rijbaanverbreding van 3 naar 4 rijstroken op het knooppunt tussen de ",B39," en de M1.")</f>
        <v>Als onderdeel van het programma 'Netwerk op zijn Best' omvat dit groot onderhoudsproject op de B12-B een rijbaanverbreding van 3 naar 4 rijstroken op het knooppunt tussen de B12-B en de M1.</v>
      </c>
      <c r="F39" s="13" t="s">
        <v>116</v>
      </c>
      <c r="G39" s="1" t="s">
        <v>122</v>
      </c>
      <c r="H39" s="1" t="n">
        <v>4560</v>
      </c>
      <c r="I39" s="14" t="n">
        <v>2938500</v>
      </c>
      <c r="J39" s="1" t="n">
        <v>13</v>
      </c>
      <c r="K39" s="15" t="n">
        <f aca="false">1/3</f>
        <v>0.333333333333333</v>
      </c>
      <c r="L39" s="1" t="n">
        <v>4</v>
      </c>
      <c r="M39" s="10" t="n">
        <f aca="false">O39-I39</f>
        <v>3783500</v>
      </c>
      <c r="N39" s="10" t="n">
        <f aca="false">IF(P39=1,0,VLOOKUP($P$1,'TTL NORMAL'!$A$2:$B$46,2,0)*(J39+L39)*P39)+IF(Q39=1,0,VLOOKUP($Q$1,'TTL NORMAL'!$A$2:$B$46,2,0)*(J39+L39)*Q39)+IF(R39=1,0,VLOOKUP($R$1,'TTL NORMAL'!$A$2:$B$46,2,0)*(J39+L39)*R39)+IF(S39=1,0,VLOOKUP($S$1,'TTL NORMAL'!$A$2:$B$46,2,0)*(J39+L39)*S39)+IF(T39=1,0,VLOOKUP($T$1,'TTL NORMAL'!$A$2:$B$46,2,0)*(J39+L39)*T39)+IF(U39=1,0,VLOOKUP($U$1,'TTL NORMAL'!$A$2:$B$46,2,0)*(J39+L39)*U39)+IF(V39=1,0,VLOOKUP($V$1,'TTL NORMAL'!$A$2:$B$46,2,0)*(J39+L39)*V39)+IF(W39=1,0,VLOOKUP($W$1,'TTL NORMAL'!$A$2:$B$46,2,0)*(J39+L39)*W39)+IF(X39=1,0,VLOOKUP($X$1,'TTL NORMAL'!$A$2:$B$46,2,0)*(J39+L39)*X39)+IF(Y39=1,0,VLOOKUP($Y$1,'TTL NORMAL'!$A$2:$B$46,2,0)*(J39+L39)*Y39)+IF(Z39=1,0,VLOOKUP($Z$1,'TTL NORMAL'!$A$2:$B$46,2,0)*(J39+L39)*Z39)+IF(AA39=1,0,VLOOKUP($AA$1,'TTL NORMAL'!$A$2:$B$46,2,0)*(J39+L39)*AA39)+IF(AB39=1,0,VLOOKUP($AB$1,'TTL NORMAL'!$A$2:$B$46,2,0)*(J39+L39)*AB39)+IF(AC39=1,0,VLOOKUP($AC$1,'TTL NORMAL'!$A$2:$B$46,2,0)*(J39+L39)*AC39)+IF(AD39=1,0,VLOOKUP($AD$1,'TTL NORMAL'!$A$2:$B$46,2,0)*(J39+L39)*AD39)+IF(AE39=1,0,VLOOKUP($AE$1,'TTL NORMAL'!$A$2:$B$46,2,0)*(J39+L39)*AE39)+IF(AF39=1,0,VLOOKUP($AF$1,'TTL NORMAL'!$A$2:$B$46,2,0)*(J39+L39)*AF39)+IF(AG39=1,0,VLOOKUP($AG$1,'TTL NORMAL'!$A$2:$B$46,2,0)*(J39+L39)*AG39)+IF(AH39=1,0,VLOOKUP($AH$1,'TTL NORMAL'!$A$2:$B$46,2,0)*(J39+L39)*AH39)+IF(AI39=1,0,VLOOKUP($AI$1,'TTL NORMAL'!$A$2:$B$46,2,0)*(J39+L39)*AI39)+IF(AJ39=1,0,VLOOKUP($AJ$1,'TTL NORMAL'!$A$2:$B$46,2,0)*(J39+L39)*AJ39)+IF(AK39=1,0,VLOOKUP($AK$1,'TTL NORMAL'!$A$2:$B$46,2,0)*(J39+L39)*AK39)+IF(AL39=1,0,VLOOKUP($AL$1,'TTL NORMAL'!$A$2:$B$46,2,0)*(J39+L39)*AL39)+IF(AM39=1,0,VLOOKUP($AM$1,'TTL NORMAL'!$A$2:$B$46,2,0)*(J39+L39)*AM39)+IF(AN39=1,0,VLOOKUP($AN$1,'TTL NORMAL'!$A$2:$B$46,2,0)*(J39+L39)*AN39)+IF(AO39=1,0,VLOOKUP($AO$1,'TTL NORMAL'!$A$2:$B$46,2,0)*(J39+L39)*AO39)+IF(AP39=1,0,VLOOKUP($AP$1,'TTL NORMAL'!$A$2:$B$46,2,0)*(J39+L39)*AP39)+IF(AQ39=1,0,VLOOKUP($AQ$1,'TTL NORMAL'!$A$2:$B$46,2,0)*(J39+L39)*AQ39)+IF(AR39=1,0,VLOOKUP($AR$1,'TTL NORMAL'!$A$2:$B$46,2,0)*(J39+L39)*AR39)+IF(AS39=1,0,VLOOKUP($AS$1,'TTL NORMAL'!$A$2:$B$46,2,0)*(J39+L39)*AS39)+IF(AT39=1,0,VLOOKUP($AT$1,'TTL NORMAL'!$A$2:$B$46,2,0)*(J39+L39)*AT39)+IF(AU39=1,0,VLOOKUP($AU$1,'TTL NORMAL'!$A$2:$B$46,2,0)*(J39+L39)*AU39)+IF(AV39=1,0,VLOOKUP($AV$1,'TTL NORMAL'!$A$2:$B$46,2,0)*(J39+L39)*AV39)+IF(AW39=1,0,VLOOKUP($AW$1,'TTL NORMAL'!$A$2:$B$46,2,0)*(J39+L39)*AW39)+IF(AX39=1,0,VLOOKUP($AX$1,'TTL NORMAL'!$A$2:$B$46,2,0)*(J39+L39)*AX39)+IF(AY39=1,0,VLOOKUP($AY$1,'TTL NORMAL'!$A$2:$B$46,2,0)*(J39+L39)*AY39)+IF(AZ39=1,0,VLOOKUP($AZ$1,'TTL NORMAL'!$A$2:$B$46,2,0)*(J39+L39)*AZ39)+IF(BA39=1,0,VLOOKUP($BA$1,'TTL NORMAL'!$A$2:$B$46,2,0)*(J39+L39)*BA39)+IF(BB39=1,0,VLOOKUP($BB$1,'TTL NORMAL'!$A$2:$B$46,2,0)*(J39+L39)*BB39)+IF(BC39=1,0,VLOOKUP($BC$1,'TTL NORMAL'!$A$2:$B$46,2,0)*(J39+L39)*BC39)+IF(BD39=1,0,VLOOKUP($BD$1,'TTL NORMAL'!$A$2:$B$46,2,0)*(J39+L39)*BD39)+IF(BE39=1,0,VLOOKUP($BE$1,'TTL NORMAL'!$A$2:$B$46,2,0)*(J39+L39)*BE39)+IF(BF39=1,0,VLOOKUP($BF$1,'TTL NORMAL'!$A$2:$B$46,2,0)*(J39+L39)*BF39)+IF(BG39=1,0,VLOOKUP($BG$1,'TTL NORMAL'!$A$2:$B$46,2,0)*(J39+L39)*BG39)+IF(BH39=1,0,VLOOKUP($BH$1,'TTL NORMAL'!$A$2:$B$46,2,0)*(J39+L39)*BH39)</f>
        <v>2332849.19580331</v>
      </c>
      <c r="O39" s="5" t="n">
        <v>6722000</v>
      </c>
      <c r="P39" s="18" t="n">
        <v>1.47122786171116</v>
      </c>
      <c r="Q39" s="17" t="n">
        <v>1.47122786171116</v>
      </c>
      <c r="R39" s="17" t="n">
        <v>1</v>
      </c>
      <c r="S39" s="17" t="n">
        <v>1</v>
      </c>
      <c r="T39" s="17" t="n">
        <v>1</v>
      </c>
      <c r="U39" s="17" t="n">
        <v>1.47122786171116</v>
      </c>
      <c r="V39" s="17" t="n">
        <v>1</v>
      </c>
      <c r="W39" s="17" t="n">
        <v>1.47122786171116</v>
      </c>
      <c r="X39" s="17" t="n">
        <v>1</v>
      </c>
      <c r="Y39" s="17" t="n">
        <v>1.47122786171116</v>
      </c>
      <c r="Z39" s="17" t="n">
        <v>1</v>
      </c>
      <c r="AA39" s="17" t="n">
        <v>1</v>
      </c>
      <c r="AB39" s="17" t="n">
        <v>1</v>
      </c>
      <c r="AC39" s="17" t="n">
        <v>1</v>
      </c>
      <c r="AD39" s="17" t="n">
        <v>1</v>
      </c>
      <c r="AE39" s="20" t="n">
        <v>1.47122786171116</v>
      </c>
      <c r="AF39" s="17" t="n">
        <v>1.94245572342233</v>
      </c>
      <c r="AG39" s="17" t="n">
        <v>1.94245572342233</v>
      </c>
      <c r="AH39" s="17" t="n">
        <v>1.47122786171116</v>
      </c>
      <c r="AI39" s="17" t="n">
        <v>1.94245572342233</v>
      </c>
      <c r="AJ39" s="17" t="n">
        <v>1.94245572342233</v>
      </c>
      <c r="AK39" s="20" t="n">
        <v>1.94245572342233</v>
      </c>
      <c r="AL39" s="17" t="n">
        <v>1.47122786171116</v>
      </c>
      <c r="AM39" s="17" t="n">
        <v>1.47122786171116</v>
      </c>
      <c r="AN39" s="17" t="n">
        <v>1</v>
      </c>
      <c r="AO39" s="17" t="n">
        <v>1</v>
      </c>
      <c r="AP39" s="20" t="n">
        <v>1.47122786171116</v>
      </c>
      <c r="AQ39" s="20" t="n">
        <v>1.47122786171116</v>
      </c>
      <c r="AR39" s="17" t="n">
        <v>1</v>
      </c>
      <c r="AS39" s="20" t="n">
        <v>1.94245572342233</v>
      </c>
      <c r="AT39" s="20" t="n">
        <v>1.94245572342233</v>
      </c>
      <c r="AU39" s="17" t="n">
        <v>1</v>
      </c>
      <c r="AV39" s="17" t="n">
        <v>1</v>
      </c>
      <c r="AW39" s="17" t="n">
        <v>1</v>
      </c>
      <c r="AX39" s="17" t="n">
        <v>1</v>
      </c>
      <c r="AY39" s="17" t="n">
        <v>1</v>
      </c>
      <c r="AZ39" s="17" t="n">
        <v>1</v>
      </c>
      <c r="BA39" s="17" t="n">
        <v>1</v>
      </c>
      <c r="BB39" s="17" t="n">
        <v>1</v>
      </c>
      <c r="BC39" s="17" t="n">
        <v>1</v>
      </c>
      <c r="BD39" s="17" t="n">
        <v>1</v>
      </c>
      <c r="BE39" s="17" t="n">
        <v>1.94245572342233</v>
      </c>
      <c r="BF39" s="17" t="n">
        <v>1.47122786171116</v>
      </c>
      <c r="BG39" s="17" t="n">
        <v>1</v>
      </c>
      <c r="BH39" s="17" t="n">
        <v>1</v>
      </c>
      <c r="BI39" s="20"/>
      <c r="BJ39" s="18"/>
    </row>
    <row r="40" customFormat="false" ht="15" hidden="false" customHeight="false" outlineLevel="0" collapsed="false">
      <c r="A40" s="2" t="n">
        <v>20</v>
      </c>
      <c r="B40" s="0" t="s">
        <v>71</v>
      </c>
      <c r="C40" s="0" t="n">
        <v>3</v>
      </c>
      <c r="D40" s="0" t="s">
        <v>117</v>
      </c>
      <c r="E40" s="0" t="str">
        <f aca="false">CONCATENATE("Als onderdeel van het programma 'Netwerk op zijn Best' omvat dit groot onderhoudsproject op de ",B40," een rijbaanverbreding van 3 naar 4 rijstroken op het knooppunt tussen de ",B40," en de M1.")</f>
        <v>Als onderdeel van het programma 'Netwerk op zijn Best' omvat dit groot onderhoudsproject op de B12-B een rijbaanverbreding van 3 naar 4 rijstroken op het knooppunt tussen de B12-B en de M1.</v>
      </c>
      <c r="F40" s="13" t="s">
        <v>118</v>
      </c>
      <c r="G40" s="1" t="s">
        <v>122</v>
      </c>
      <c r="H40" s="1" t="n">
        <v>3800</v>
      </c>
      <c r="I40" s="14" t="n">
        <v>4618350</v>
      </c>
      <c r="J40" s="1" t="n">
        <v>13</v>
      </c>
      <c r="K40" s="15" t="n">
        <f aca="false">1/3</f>
        <v>0.333333333333333</v>
      </c>
      <c r="L40" s="1" t="n">
        <v>0</v>
      </c>
      <c r="M40" s="10" t="n">
        <f aca="false">O40-I40</f>
        <v>2103650</v>
      </c>
      <c r="N40" s="10" t="n">
        <f aca="false">IF(P40=1,0,VLOOKUP($P$1,'TTL NORMAL'!$A$2:$B$46,2,0)*(J40+L40)*P40)+IF(Q40=1,0,VLOOKUP($Q$1,'TTL NORMAL'!$A$2:$B$46,2,0)*(J40+L40)*Q40)+IF(R40=1,0,VLOOKUP($R$1,'TTL NORMAL'!$A$2:$B$46,2,0)*(J40+L40)*R40)+IF(S40=1,0,VLOOKUP($S$1,'TTL NORMAL'!$A$2:$B$46,2,0)*(J40+L40)*S40)+IF(T40=1,0,VLOOKUP($T$1,'TTL NORMAL'!$A$2:$B$46,2,0)*(J40+L40)*T40)+IF(U40=1,0,VLOOKUP($U$1,'TTL NORMAL'!$A$2:$B$46,2,0)*(J40+L40)*U40)+IF(V40=1,0,VLOOKUP($V$1,'TTL NORMAL'!$A$2:$B$46,2,0)*(J40+L40)*V40)+IF(W40=1,0,VLOOKUP($W$1,'TTL NORMAL'!$A$2:$B$46,2,0)*(J40+L40)*W40)+IF(X40=1,0,VLOOKUP($X$1,'TTL NORMAL'!$A$2:$B$46,2,0)*(J40+L40)*X40)+IF(Y40=1,0,VLOOKUP($Y$1,'TTL NORMAL'!$A$2:$B$46,2,0)*(J40+L40)*Y40)+IF(Z40=1,0,VLOOKUP($Z$1,'TTL NORMAL'!$A$2:$B$46,2,0)*(J40+L40)*Z40)+IF(AA40=1,0,VLOOKUP($AA$1,'TTL NORMAL'!$A$2:$B$46,2,0)*(J40+L40)*AA40)+IF(AB40=1,0,VLOOKUP($AB$1,'TTL NORMAL'!$A$2:$B$46,2,0)*(J40+L40)*AB40)+IF(AC40=1,0,VLOOKUP($AC$1,'TTL NORMAL'!$A$2:$B$46,2,0)*(J40+L40)*AC40)+IF(AD40=1,0,VLOOKUP($AD$1,'TTL NORMAL'!$A$2:$B$46,2,0)*(J40+L40)*AD40)+IF(AE40=1,0,VLOOKUP($AE$1,'TTL NORMAL'!$A$2:$B$46,2,0)*(J40+L40)*AE40)+IF(AF40=1,0,VLOOKUP($AF$1,'TTL NORMAL'!$A$2:$B$46,2,0)*(J40+L40)*AF40)+IF(AG40=1,0,VLOOKUP($AG$1,'TTL NORMAL'!$A$2:$B$46,2,0)*(J40+L40)*AG40)+IF(AH40=1,0,VLOOKUP($AH$1,'TTL NORMAL'!$A$2:$B$46,2,0)*(J40+L40)*AH40)+IF(AI40=1,0,VLOOKUP($AI$1,'TTL NORMAL'!$A$2:$B$46,2,0)*(J40+L40)*AI40)+IF(AJ40=1,0,VLOOKUP($AJ$1,'TTL NORMAL'!$A$2:$B$46,2,0)*(J40+L40)*AJ40)+IF(AK40=1,0,VLOOKUP($AK$1,'TTL NORMAL'!$A$2:$B$46,2,0)*(J40+L40)*AK40)+IF(AL40=1,0,VLOOKUP($AL$1,'TTL NORMAL'!$A$2:$B$46,2,0)*(J40+L40)*AL40)+IF(AM40=1,0,VLOOKUP($AM$1,'TTL NORMAL'!$A$2:$B$46,2,0)*(J40+L40)*AM40)+IF(AN40=1,0,VLOOKUP($AN$1,'TTL NORMAL'!$A$2:$B$46,2,0)*(J40+L40)*AN40)+IF(AO40=1,0,VLOOKUP($AO$1,'TTL NORMAL'!$A$2:$B$46,2,0)*(J40+L40)*AO40)+IF(AP40=1,0,VLOOKUP($AP$1,'TTL NORMAL'!$A$2:$B$46,2,0)*(J40+L40)*AP40)+IF(AQ40=1,0,VLOOKUP($AQ$1,'TTL NORMAL'!$A$2:$B$46,2,0)*(J40+L40)*AQ40)+IF(AR40=1,0,VLOOKUP($AR$1,'TTL NORMAL'!$A$2:$B$46,2,0)*(J40+L40)*AR40)+IF(AS40=1,0,VLOOKUP($AS$1,'TTL NORMAL'!$A$2:$B$46,2,0)*(J40+L40)*AS40)+IF(AT40=1,0,VLOOKUP($AT$1,'TTL NORMAL'!$A$2:$B$46,2,0)*(J40+L40)*AT40)+IF(AU40=1,0,VLOOKUP($AU$1,'TTL NORMAL'!$A$2:$B$46,2,0)*(J40+L40)*AU40)+IF(AV40=1,0,VLOOKUP($AV$1,'TTL NORMAL'!$A$2:$B$46,2,0)*(J40+L40)*AV40)+IF(AW40=1,0,VLOOKUP($AW$1,'TTL NORMAL'!$A$2:$B$46,2,0)*(J40+L40)*AW40)+IF(AX40=1,0,VLOOKUP($AX$1,'TTL NORMAL'!$A$2:$B$46,2,0)*(J40+L40)*AX40)+IF(AY40=1,0,VLOOKUP($AY$1,'TTL NORMAL'!$A$2:$B$46,2,0)*(J40+L40)*AY40)+IF(AZ40=1,0,VLOOKUP($AZ$1,'TTL NORMAL'!$A$2:$B$46,2,0)*(J40+L40)*AZ40)+IF(BA40=1,0,VLOOKUP($BA$1,'TTL NORMAL'!$A$2:$B$46,2,0)*(J40+L40)*BA40)+IF(BB40=1,0,VLOOKUP($BB$1,'TTL NORMAL'!$A$2:$B$46,2,0)*(J40+L40)*BB40)+IF(BC40=1,0,VLOOKUP($BC$1,'TTL NORMAL'!$A$2:$B$46,2,0)*(J40+L40)*BC40)+IF(BD40=1,0,VLOOKUP($BD$1,'TTL NORMAL'!$A$2:$B$46,2,0)*(J40+L40)*BD40)+IF(BE40=1,0,VLOOKUP($BE$1,'TTL NORMAL'!$A$2:$B$46,2,0)*(J40+L40)*BE40)+IF(BF40=1,0,VLOOKUP($BF$1,'TTL NORMAL'!$A$2:$B$46,2,0)*(J40+L40)*BF40)+IF(BG40=1,0,VLOOKUP($BG$1,'TTL NORMAL'!$A$2:$B$46,2,0)*(J40+L40)*BG40)+IF(BH40=1,0,VLOOKUP($BH$1,'TTL NORMAL'!$A$2:$B$46,2,0)*(J40+L40)*BH40)</f>
        <v>1656299.33375966</v>
      </c>
      <c r="O40" s="10" t="n">
        <v>6722000</v>
      </c>
      <c r="P40" s="18" t="n">
        <v>1.3926898847593</v>
      </c>
      <c r="Q40" s="17" t="n">
        <v>1.3926898847593</v>
      </c>
      <c r="R40" s="17" t="n">
        <v>1</v>
      </c>
      <c r="S40" s="17" t="n">
        <v>1</v>
      </c>
      <c r="T40" s="17" t="n">
        <v>1</v>
      </c>
      <c r="U40" s="17" t="n">
        <v>1.3926898847593</v>
      </c>
      <c r="V40" s="17" t="n">
        <v>1</v>
      </c>
      <c r="W40" s="17" t="n">
        <v>1.3926898847593</v>
      </c>
      <c r="X40" s="17" t="n">
        <v>1</v>
      </c>
      <c r="Y40" s="17" t="n">
        <v>1.3926898847593</v>
      </c>
      <c r="Z40" s="17" t="n">
        <v>1</v>
      </c>
      <c r="AA40" s="17" t="n">
        <v>1</v>
      </c>
      <c r="AB40" s="17" t="n">
        <v>1</v>
      </c>
      <c r="AC40" s="17" t="n">
        <v>1</v>
      </c>
      <c r="AD40" s="17" t="n">
        <v>1</v>
      </c>
      <c r="AE40" s="20" t="n">
        <v>1.3926898847593</v>
      </c>
      <c r="AF40" s="17" t="n">
        <v>1.78537976951861</v>
      </c>
      <c r="AG40" s="17" t="n">
        <v>1.78537976951861</v>
      </c>
      <c r="AH40" s="17" t="n">
        <v>1.3926898847593</v>
      </c>
      <c r="AI40" s="17" t="n">
        <v>1.78537976951861</v>
      </c>
      <c r="AJ40" s="17" t="n">
        <v>1.3926898847593</v>
      </c>
      <c r="AK40" s="20" t="n">
        <v>1.78537976951861</v>
      </c>
      <c r="AL40" s="17" t="n">
        <v>1.3926898847593</v>
      </c>
      <c r="AM40" s="17" t="n">
        <v>1.3926898847593</v>
      </c>
      <c r="AN40" s="17" t="n">
        <v>1</v>
      </c>
      <c r="AO40" s="17" t="n">
        <v>1</v>
      </c>
      <c r="AP40" s="20" t="n">
        <v>1.3926898847593</v>
      </c>
      <c r="AQ40" s="20" t="n">
        <v>1.3926898847593</v>
      </c>
      <c r="AR40" s="17" t="n">
        <v>1</v>
      </c>
      <c r="AS40" s="20" t="n">
        <v>1.78537976951861</v>
      </c>
      <c r="AT40" s="20" t="n">
        <v>1.78537976951861</v>
      </c>
      <c r="AU40" s="17" t="n">
        <v>1</v>
      </c>
      <c r="AV40" s="17" t="n">
        <v>1</v>
      </c>
      <c r="AW40" s="17" t="n">
        <v>1</v>
      </c>
      <c r="AX40" s="17" t="n">
        <v>1</v>
      </c>
      <c r="AY40" s="17" t="n">
        <v>1</v>
      </c>
      <c r="AZ40" s="17" t="n">
        <v>1</v>
      </c>
      <c r="BA40" s="17" t="n">
        <v>1</v>
      </c>
      <c r="BB40" s="17" t="n">
        <v>1</v>
      </c>
      <c r="BC40" s="17" t="n">
        <v>1</v>
      </c>
      <c r="BD40" s="17" t="n">
        <v>1</v>
      </c>
      <c r="BE40" s="17" t="n">
        <v>1.78537976951861</v>
      </c>
      <c r="BF40" s="17" t="n">
        <v>1.3926898847593</v>
      </c>
      <c r="BG40" s="17" t="n">
        <v>1</v>
      </c>
      <c r="BH40" s="17" t="n">
        <v>1</v>
      </c>
      <c r="BI40" s="20"/>
      <c r="BJ40" s="18"/>
    </row>
    <row r="41" customFormat="false" ht="15" hidden="false" customHeight="false" outlineLevel="0" collapsed="false">
      <c r="A41" s="2" t="n">
        <v>20</v>
      </c>
      <c r="B41" s="0" t="s">
        <v>71</v>
      </c>
      <c r="C41" s="0" t="n">
        <v>4</v>
      </c>
      <c r="D41" s="0" t="s">
        <v>119</v>
      </c>
      <c r="E41" s="0" t="str">
        <f aca="false">CONCATENATE("Als onderdeel van het programma 'Netwerk op zijn Best' omvat dit groot onderhoudsproject op de ",B41," een rijbaanverbreding van 3 naar 4 rijstroken op het knooppunt tussen de ",B41," en de M1.")</f>
        <v>Als onderdeel van het programma 'Netwerk op zijn Best' omvat dit groot onderhoudsproject op de B12-B een rijbaanverbreding van 3 naar 4 rijstroken op het knooppunt tussen de B12-B en de M1.</v>
      </c>
      <c r="F41" s="13" t="s">
        <v>120</v>
      </c>
      <c r="G41" s="1" t="s">
        <v>122</v>
      </c>
      <c r="H41" s="1" t="n">
        <v>4560</v>
      </c>
      <c r="I41" s="14" t="n">
        <v>4198500</v>
      </c>
      <c r="J41" s="1" t="n">
        <v>9.1</v>
      </c>
      <c r="K41" s="15" t="n">
        <f aca="false">1/3</f>
        <v>0.333333333333333</v>
      </c>
      <c r="L41" s="1" t="n">
        <v>2</v>
      </c>
      <c r="M41" s="10" t="n">
        <f aca="false">O41-I41</f>
        <v>2523500</v>
      </c>
      <c r="N41" s="10" t="n">
        <f aca="false">IF(P41=1,0,VLOOKUP($P$1,'TTL NORMAL'!$A$2:$B$46,2,0)*(J41+L41)*P41)+IF(Q41=1,0,VLOOKUP($Q$1,'TTL NORMAL'!$A$2:$B$46,2,0)*(J41+L41)*Q41)+IF(R41=1,0,VLOOKUP($R$1,'TTL NORMAL'!$A$2:$B$46,2,0)*(J41+L41)*R41)+IF(S41=1,0,VLOOKUP($S$1,'TTL NORMAL'!$A$2:$B$46,2,0)*(J41+L41)*S41)+IF(T41=1,0,VLOOKUP($T$1,'TTL NORMAL'!$A$2:$B$46,2,0)*(J41+L41)*T41)+IF(U41=1,0,VLOOKUP($U$1,'TTL NORMAL'!$A$2:$B$46,2,0)*(J41+L41)*U41)+IF(V41=1,0,VLOOKUP($V$1,'TTL NORMAL'!$A$2:$B$46,2,0)*(J41+L41)*V41)+IF(W41=1,0,VLOOKUP($W$1,'TTL NORMAL'!$A$2:$B$46,2,0)*(J41+L41)*W41)+IF(X41=1,0,VLOOKUP($X$1,'TTL NORMAL'!$A$2:$B$46,2,0)*(J41+L41)*X41)+IF(Y41=1,0,VLOOKUP($Y$1,'TTL NORMAL'!$A$2:$B$46,2,0)*(J41+L41)*Y41)+IF(Z41=1,0,VLOOKUP($Z$1,'TTL NORMAL'!$A$2:$B$46,2,0)*(J41+L41)*Z41)+IF(AA41=1,0,VLOOKUP($AA$1,'TTL NORMAL'!$A$2:$B$46,2,0)*(J41+L41)*AA41)+IF(AB41=1,0,VLOOKUP($AB$1,'TTL NORMAL'!$A$2:$B$46,2,0)*(J41+L41)*AB41)+IF(AC41=1,0,VLOOKUP($AC$1,'TTL NORMAL'!$A$2:$B$46,2,0)*(J41+L41)*AC41)+IF(AD41=1,0,VLOOKUP($AD$1,'TTL NORMAL'!$A$2:$B$46,2,0)*(J41+L41)*AD41)+IF(AE41=1,0,VLOOKUP($AE$1,'TTL NORMAL'!$A$2:$B$46,2,0)*(J41+L41)*AE41)+IF(AF41=1,0,VLOOKUP($AF$1,'TTL NORMAL'!$A$2:$B$46,2,0)*(J41+L41)*AF41)+IF(AG41=1,0,VLOOKUP($AG$1,'TTL NORMAL'!$A$2:$B$46,2,0)*(J41+L41)*AG41)+IF(AH41=1,0,VLOOKUP($AH$1,'TTL NORMAL'!$A$2:$B$46,2,0)*(J41+L41)*AH41)+IF(AI41=1,0,VLOOKUP($AI$1,'TTL NORMAL'!$A$2:$B$46,2,0)*(J41+L41)*AI41)+IF(AJ41=1,0,VLOOKUP($AJ$1,'TTL NORMAL'!$A$2:$B$46,2,0)*(J41+L41)*AJ41)+IF(AK41=1,0,VLOOKUP($AK$1,'TTL NORMAL'!$A$2:$B$46,2,0)*(J41+L41)*AK41)+IF(AL41=1,0,VLOOKUP($AL$1,'TTL NORMAL'!$A$2:$B$46,2,0)*(J41+L41)*AL41)+IF(AM41=1,0,VLOOKUP($AM$1,'TTL NORMAL'!$A$2:$B$46,2,0)*(J41+L41)*AM41)+IF(AN41=1,0,VLOOKUP($AN$1,'TTL NORMAL'!$A$2:$B$46,2,0)*(J41+L41)*AN41)+IF(AO41=1,0,VLOOKUP($AO$1,'TTL NORMAL'!$A$2:$B$46,2,0)*(J41+L41)*AO41)+IF(AP41=1,0,VLOOKUP($AP$1,'TTL NORMAL'!$A$2:$B$46,2,0)*(J41+L41)*AP41)+IF(AQ41=1,0,VLOOKUP($AQ$1,'TTL NORMAL'!$A$2:$B$46,2,0)*(J41+L41)*AQ41)+IF(AR41=1,0,VLOOKUP($AR$1,'TTL NORMAL'!$A$2:$B$46,2,0)*(J41+L41)*AR41)+IF(AS41=1,0,VLOOKUP($AS$1,'TTL NORMAL'!$A$2:$B$46,2,0)*(J41+L41)*AS41)+IF(AT41=1,0,VLOOKUP($AT$1,'TTL NORMAL'!$A$2:$B$46,2,0)*(J41+L41)*AT41)+IF(AU41=1,0,VLOOKUP($AU$1,'TTL NORMAL'!$A$2:$B$46,2,0)*(J41+L41)*AU41)+IF(AV41=1,0,VLOOKUP($AV$1,'TTL NORMAL'!$A$2:$B$46,2,0)*(J41+L41)*AV41)+IF(AW41=1,0,VLOOKUP($AW$1,'TTL NORMAL'!$A$2:$B$46,2,0)*(J41+L41)*AW41)+IF(AX41=1,0,VLOOKUP($AX$1,'TTL NORMAL'!$A$2:$B$46,2,0)*(J41+L41)*AX41)+IF(AY41=1,0,VLOOKUP($AY$1,'TTL NORMAL'!$A$2:$B$46,2,0)*(J41+L41)*AY41)+IF(AZ41=1,0,VLOOKUP($AZ$1,'TTL NORMAL'!$A$2:$B$46,2,0)*(J41+L41)*AZ41)+IF(BA41=1,0,VLOOKUP($BA$1,'TTL NORMAL'!$A$2:$B$46,2,0)*(J41+L41)*BA41)+IF(BB41=1,0,VLOOKUP($BB$1,'TTL NORMAL'!$A$2:$B$46,2,0)*(J41+L41)*BB41)+IF(BC41=1,0,VLOOKUP($BC$1,'TTL NORMAL'!$A$2:$B$46,2,0)*(J41+L41)*BC41)+IF(BD41=1,0,VLOOKUP($BD$1,'TTL NORMAL'!$A$2:$B$46,2,0)*(J41+L41)*BD41)+IF(BE41=1,0,VLOOKUP($BE$1,'TTL NORMAL'!$A$2:$B$46,2,0)*(J41+L41)*BE41)+IF(BF41=1,0,VLOOKUP($BF$1,'TTL NORMAL'!$A$2:$B$46,2,0)*(J41+L41)*BF41)+IF(BG41=1,0,VLOOKUP($BG$1,'TTL NORMAL'!$A$2:$B$46,2,0)*(J41+L41)*BG41)+IF(BH41=1,0,VLOOKUP($BH$1,'TTL NORMAL'!$A$2:$B$46,2,0)*(J41+L41)*BH41)</f>
        <v>1523213.29843628</v>
      </c>
      <c r="O41" s="5" t="n">
        <v>6722000</v>
      </c>
      <c r="P41" s="18" t="n">
        <v>1.47122786171116</v>
      </c>
      <c r="Q41" s="17" t="n">
        <v>1.47122786171116</v>
      </c>
      <c r="R41" s="17" t="n">
        <v>1</v>
      </c>
      <c r="S41" s="17" t="n">
        <v>1</v>
      </c>
      <c r="T41" s="17" t="n">
        <v>1</v>
      </c>
      <c r="U41" s="17" t="n">
        <v>1.47122786171116</v>
      </c>
      <c r="V41" s="17" t="n">
        <v>1</v>
      </c>
      <c r="W41" s="17" t="n">
        <v>1.47122786171116</v>
      </c>
      <c r="X41" s="17" t="n">
        <v>1</v>
      </c>
      <c r="Y41" s="17" t="n">
        <v>1.47122786171116</v>
      </c>
      <c r="Z41" s="17" t="n">
        <v>1</v>
      </c>
      <c r="AA41" s="17" t="n">
        <v>1</v>
      </c>
      <c r="AB41" s="17" t="n">
        <v>1</v>
      </c>
      <c r="AC41" s="17" t="n">
        <v>1</v>
      </c>
      <c r="AD41" s="17" t="n">
        <v>1</v>
      </c>
      <c r="AE41" s="20" t="n">
        <v>1.47122786171116</v>
      </c>
      <c r="AF41" s="17" t="n">
        <v>1.94245572342233</v>
      </c>
      <c r="AG41" s="17" t="n">
        <v>1.94245572342233</v>
      </c>
      <c r="AH41" s="17" t="n">
        <v>1.47122786171116</v>
      </c>
      <c r="AI41" s="17" t="n">
        <v>1.94245572342233</v>
      </c>
      <c r="AJ41" s="17" t="n">
        <v>1.94245572342233</v>
      </c>
      <c r="AK41" s="20" t="n">
        <v>1.94245572342233</v>
      </c>
      <c r="AL41" s="17" t="n">
        <v>1.47122786171116</v>
      </c>
      <c r="AM41" s="17" t="n">
        <v>1.47122786171116</v>
      </c>
      <c r="AN41" s="17" t="n">
        <v>1</v>
      </c>
      <c r="AO41" s="17" t="n">
        <v>1</v>
      </c>
      <c r="AP41" s="20" t="n">
        <v>1.47122786171116</v>
      </c>
      <c r="AQ41" s="20" t="n">
        <v>1.47122786171116</v>
      </c>
      <c r="AR41" s="17" t="n">
        <v>1</v>
      </c>
      <c r="AS41" s="20" t="n">
        <v>1.94245572342233</v>
      </c>
      <c r="AT41" s="20" t="n">
        <v>1.94245572342233</v>
      </c>
      <c r="AU41" s="17" t="n">
        <v>1</v>
      </c>
      <c r="AV41" s="17" t="n">
        <v>1</v>
      </c>
      <c r="AW41" s="17" t="n">
        <v>1</v>
      </c>
      <c r="AX41" s="17" t="n">
        <v>1</v>
      </c>
      <c r="AY41" s="17" t="n">
        <v>1</v>
      </c>
      <c r="AZ41" s="17" t="n">
        <v>1</v>
      </c>
      <c r="BA41" s="17" t="n">
        <v>1</v>
      </c>
      <c r="BB41" s="17" t="n">
        <v>1</v>
      </c>
      <c r="BC41" s="17" t="n">
        <v>1</v>
      </c>
      <c r="BD41" s="17" t="n">
        <v>1</v>
      </c>
      <c r="BE41" s="17" t="n">
        <v>1.94245572342233</v>
      </c>
      <c r="BF41" s="17" t="n">
        <v>1.47122786171116</v>
      </c>
      <c r="BG41" s="17" t="n">
        <v>1</v>
      </c>
      <c r="BH41" s="17" t="n">
        <v>1</v>
      </c>
      <c r="BI41" s="20"/>
      <c r="BJ41" s="18"/>
    </row>
    <row r="42" customFormat="false" ht="15" hidden="false" customHeight="false" outlineLevel="0" collapsed="false">
      <c r="A42" s="2" t="n">
        <v>21</v>
      </c>
      <c r="B42" s="9" t="s">
        <v>72</v>
      </c>
      <c r="C42" s="0" t="n">
        <v>1</v>
      </c>
      <c r="D42" s="0" t="s">
        <v>112</v>
      </c>
      <c r="E42" s="0" t="str">
        <f aca="false">CONCATENATE("Als onderdeel van het programma 'Netwerk op zijn Best' omvat dit groot onderhoudsproject op de ",B42," een grootschalige vernieuwing van het asfalt.")</f>
        <v>Als onderdeel van het programma 'Netwerk op zijn Best' omvat dit groot onderhoudsproject op de B12-C een grootschalige vernieuwing van het asfalt.</v>
      </c>
      <c r="F42" s="13" t="s">
        <v>113</v>
      </c>
      <c r="G42" s="1" t="s">
        <v>121</v>
      </c>
      <c r="H42" s="1" t="n">
        <v>1120</v>
      </c>
      <c r="I42" s="14" t="n">
        <v>1848000</v>
      </c>
      <c r="J42" s="1" t="n">
        <v>5.5</v>
      </c>
      <c r="K42" s="15" t="n">
        <f aca="false">1/3</f>
        <v>0.333333333333333</v>
      </c>
      <c r="L42" s="1" t="n">
        <v>1</v>
      </c>
      <c r="M42" s="10" t="n">
        <f aca="false">O42-I42</f>
        <v>840000</v>
      </c>
      <c r="N42" s="10" t="n">
        <f aca="false">IF(P42=1,0,VLOOKUP($P$1,'TTL NORMAL'!$A$2:$B$46,2,0)*(J42+L42)*P42)+IF(Q42=1,0,VLOOKUP($Q$1,'TTL NORMAL'!$A$2:$B$46,2,0)*(J42+L42)*Q42)+IF(R42=1,0,VLOOKUP($R$1,'TTL NORMAL'!$A$2:$B$46,2,0)*(J42+L42)*R42)+IF(S42=1,0,VLOOKUP($S$1,'TTL NORMAL'!$A$2:$B$46,2,0)*(J42+L42)*S42)+IF(T42=1,0,VLOOKUP($T$1,'TTL NORMAL'!$A$2:$B$46,2,0)*(J42+L42)*T42)+IF(U42=1,0,VLOOKUP($U$1,'TTL NORMAL'!$A$2:$B$46,2,0)*(J42+L42)*U42)+IF(V42=1,0,VLOOKUP($V$1,'TTL NORMAL'!$A$2:$B$46,2,0)*(J42+L42)*V42)+IF(W42=1,0,VLOOKUP($W$1,'TTL NORMAL'!$A$2:$B$46,2,0)*(J42+L42)*W42)+IF(X42=1,0,VLOOKUP($X$1,'TTL NORMAL'!$A$2:$B$46,2,0)*(J42+L42)*X42)+IF(Y42=1,0,VLOOKUP($Y$1,'TTL NORMAL'!$A$2:$B$46,2,0)*(J42+L42)*Y42)+IF(Z42=1,0,VLOOKUP($Z$1,'TTL NORMAL'!$A$2:$B$46,2,0)*(J42+L42)*Z42)+IF(AA42=1,0,VLOOKUP($AA$1,'TTL NORMAL'!$A$2:$B$46,2,0)*(J42+L42)*AA42)+IF(AB42=1,0,VLOOKUP($AB$1,'TTL NORMAL'!$A$2:$B$46,2,0)*(J42+L42)*AB42)+IF(AC42=1,0,VLOOKUP($AC$1,'TTL NORMAL'!$A$2:$B$46,2,0)*(J42+L42)*AC42)+IF(AD42=1,0,VLOOKUP($AD$1,'TTL NORMAL'!$A$2:$B$46,2,0)*(J42+L42)*AD42)+IF(AE42=1,0,VLOOKUP($AE$1,'TTL NORMAL'!$A$2:$B$46,2,0)*(J42+L42)*AE42)+IF(AF42=1,0,VLOOKUP($AF$1,'TTL NORMAL'!$A$2:$B$46,2,0)*(J42+L42)*AF42)+IF(AG42=1,0,VLOOKUP($AG$1,'TTL NORMAL'!$A$2:$B$46,2,0)*(J42+L42)*AG42)+IF(AH42=1,0,VLOOKUP($AH$1,'TTL NORMAL'!$A$2:$B$46,2,0)*(J42+L42)*AH42)+IF(AI42=1,0,VLOOKUP($AI$1,'TTL NORMAL'!$A$2:$B$46,2,0)*(J42+L42)*AI42)+IF(AJ42=1,0,VLOOKUP($AJ$1,'TTL NORMAL'!$A$2:$B$46,2,0)*(J42+L42)*AJ42)+IF(AK42=1,0,VLOOKUP($AK$1,'TTL NORMAL'!$A$2:$B$46,2,0)*(J42+L42)*AK42)+IF(AL42=1,0,VLOOKUP($AL$1,'TTL NORMAL'!$A$2:$B$46,2,0)*(J42+L42)*AL42)+IF(AM42=1,0,VLOOKUP($AM$1,'TTL NORMAL'!$A$2:$B$46,2,0)*(J42+L42)*AM42)+IF(AN42=1,0,VLOOKUP($AN$1,'TTL NORMAL'!$A$2:$B$46,2,0)*(J42+L42)*AN42)+IF(AO42=1,0,VLOOKUP($AO$1,'TTL NORMAL'!$A$2:$B$46,2,0)*(J42+L42)*AO42)+IF(AP42=1,0,VLOOKUP($AP$1,'TTL NORMAL'!$A$2:$B$46,2,0)*(J42+L42)*AP42)+IF(AQ42=1,0,VLOOKUP($AQ$1,'TTL NORMAL'!$A$2:$B$46,2,0)*(J42+L42)*AQ42)+IF(AR42=1,0,VLOOKUP($AR$1,'TTL NORMAL'!$A$2:$B$46,2,0)*(J42+L42)*AR42)+IF(AS42=1,0,VLOOKUP($AS$1,'TTL NORMAL'!$A$2:$B$46,2,0)*(J42+L42)*AS42)+IF(AT42=1,0,VLOOKUP($AT$1,'TTL NORMAL'!$A$2:$B$46,2,0)*(J42+L42)*AT42)+IF(AU42=1,0,VLOOKUP($AU$1,'TTL NORMAL'!$A$2:$B$46,2,0)*(J42+L42)*AU42)+IF(AV42=1,0,VLOOKUP($AV$1,'TTL NORMAL'!$A$2:$B$46,2,0)*(J42+L42)*AV42)+IF(AW42=1,0,VLOOKUP($AW$1,'TTL NORMAL'!$A$2:$B$46,2,0)*(J42+L42)*AW42)+IF(AX42=1,0,VLOOKUP($AX$1,'TTL NORMAL'!$A$2:$B$46,2,0)*(J42+L42)*AX42)+IF(AY42=1,0,VLOOKUP($AY$1,'TTL NORMAL'!$A$2:$B$46,2,0)*(J42+L42)*AY42)+IF(AZ42=1,0,VLOOKUP($AZ$1,'TTL NORMAL'!$A$2:$B$46,2,0)*(J42+L42)*AZ42)+IF(BA42=1,0,VLOOKUP($BA$1,'TTL NORMAL'!$A$2:$B$46,2,0)*(J42+L42)*BA42)+IF(BB42=1,0,VLOOKUP($BB$1,'TTL NORMAL'!$A$2:$B$46,2,0)*(J42+L42)*BB42)+IF(BC42=1,0,VLOOKUP($BC$1,'TTL NORMAL'!$A$2:$B$46,2,0)*(J42+L42)*BC42)+IF(BD42=1,0,VLOOKUP($BD$1,'TTL NORMAL'!$A$2:$B$46,2,0)*(J42+L42)*BD42)+IF(BE42=1,0,VLOOKUP($BE$1,'TTL NORMAL'!$A$2:$B$46,2,0)*(J42+L42)*BE42)+IF(BF42=1,0,VLOOKUP($BF$1,'TTL NORMAL'!$A$2:$B$46,2,0)*(J42+L42)*BF42)+IF(BG42=1,0,VLOOKUP($BG$1,'TTL NORMAL'!$A$2:$B$46,2,0)*(J42+L42)*BG42)+IF(BH42=1,0,VLOOKUP($BH$1,'TTL NORMAL'!$A$2:$B$46,2,0)*(J42+L42)*BH42)</f>
        <v>520647.037158075</v>
      </c>
      <c r="O42" s="5" t="n">
        <v>2688000</v>
      </c>
      <c r="P42" s="18" t="n">
        <v>1</v>
      </c>
      <c r="Q42" s="17" t="n">
        <v>1</v>
      </c>
      <c r="R42" s="17" t="n">
        <v>1</v>
      </c>
      <c r="S42" s="17" t="n">
        <v>1</v>
      </c>
      <c r="T42" s="17" t="n">
        <v>1</v>
      </c>
      <c r="U42" s="17" t="n">
        <v>1</v>
      </c>
      <c r="V42" s="17" t="n">
        <v>1</v>
      </c>
      <c r="W42" s="17" t="n">
        <v>1.20998335457443</v>
      </c>
      <c r="X42" s="17" t="n">
        <v>1</v>
      </c>
      <c r="Y42" s="17" t="n">
        <v>1</v>
      </c>
      <c r="Z42" s="17" t="n">
        <v>1</v>
      </c>
      <c r="AA42" s="17" t="n">
        <v>1</v>
      </c>
      <c r="AB42" s="17" t="n">
        <v>1</v>
      </c>
      <c r="AC42" s="17" t="n">
        <v>1</v>
      </c>
      <c r="AD42" s="17" t="n">
        <v>1.20998335457443</v>
      </c>
      <c r="AE42" s="17" t="n">
        <v>1.41996670914887</v>
      </c>
      <c r="AF42" s="17" t="n">
        <v>1.41996670914887</v>
      </c>
      <c r="AG42" s="17" t="n">
        <v>1.20998335457443</v>
      </c>
      <c r="AH42" s="17" t="n">
        <v>1</v>
      </c>
      <c r="AI42" s="17" t="n">
        <v>1.20998335457443</v>
      </c>
      <c r="AJ42" s="17" t="n">
        <v>1.20998335457443</v>
      </c>
      <c r="AK42" s="17" t="n">
        <v>1</v>
      </c>
      <c r="AL42" s="17" t="n">
        <v>1</v>
      </c>
      <c r="AM42" s="17" t="n">
        <v>1</v>
      </c>
      <c r="AN42" s="17" t="n">
        <v>1</v>
      </c>
      <c r="AO42" s="17" t="n">
        <v>1</v>
      </c>
      <c r="AP42" s="17" t="n">
        <v>1.20998335457443</v>
      </c>
      <c r="AQ42" s="17" t="n">
        <v>1.20998335457443</v>
      </c>
      <c r="AR42" s="17" t="n">
        <v>1.20998335457443</v>
      </c>
      <c r="AS42" s="17" t="n">
        <v>1.41996670914887</v>
      </c>
      <c r="AT42" s="17" t="n">
        <v>1.41996670914887</v>
      </c>
      <c r="AU42" s="17" t="n">
        <v>1</v>
      </c>
      <c r="AV42" s="17" t="n">
        <v>1</v>
      </c>
      <c r="AW42" s="17" t="n">
        <v>1</v>
      </c>
      <c r="AX42" s="17" t="n">
        <v>1</v>
      </c>
      <c r="AY42" s="17" t="n">
        <v>1</v>
      </c>
      <c r="AZ42" s="17" t="n">
        <v>1</v>
      </c>
      <c r="BA42" s="17" t="n">
        <v>1</v>
      </c>
      <c r="BB42" s="17" t="n">
        <v>1.20998335457443</v>
      </c>
      <c r="BC42" s="17" t="n">
        <v>1.20998335457443</v>
      </c>
      <c r="BD42" s="17" t="n">
        <v>1</v>
      </c>
      <c r="BE42" s="20" t="n">
        <v>1.20998335457443</v>
      </c>
      <c r="BF42" s="17" t="n">
        <v>1</v>
      </c>
      <c r="BG42" s="17" t="n">
        <v>1</v>
      </c>
      <c r="BH42" s="17" t="n">
        <v>1</v>
      </c>
      <c r="BI42" s="17"/>
      <c r="BJ42" s="18"/>
    </row>
    <row r="43" customFormat="false" ht="15" hidden="false" customHeight="false" outlineLevel="0" collapsed="false">
      <c r="A43" s="2" t="n">
        <v>21</v>
      </c>
      <c r="B43" s="9" t="s">
        <v>72</v>
      </c>
      <c r="C43" s="0" t="n">
        <v>2</v>
      </c>
      <c r="D43" s="0" t="s">
        <v>115</v>
      </c>
      <c r="E43" s="0" t="str">
        <f aca="false">CONCATENATE("Als onderdeel van het programma 'Netwerk op zijn Best' omvat dit groot onderhoudsproject op de ",B43," een grootschalige vernieuwing van het asfalt.")</f>
        <v>Als onderdeel van het programma 'Netwerk op zijn Best' omvat dit groot onderhoudsproject op de B12-C een grootschalige vernieuwing van het asfalt.</v>
      </c>
      <c r="F43" s="13" t="s">
        <v>116</v>
      </c>
      <c r="G43" s="1" t="s">
        <v>121</v>
      </c>
      <c r="H43" s="1" t="n">
        <v>1680</v>
      </c>
      <c r="I43" s="14" t="n">
        <v>1176000</v>
      </c>
      <c r="J43" s="1" t="n">
        <v>5</v>
      </c>
      <c r="K43" s="15" t="n">
        <f aca="false">1/3</f>
        <v>0.333333333333333</v>
      </c>
      <c r="L43" s="1" t="n">
        <v>2</v>
      </c>
      <c r="M43" s="10" t="n">
        <f aca="false">O43-I43</f>
        <v>1512000</v>
      </c>
      <c r="N43" s="10" t="n">
        <f aca="false">IF(P43=1,0,VLOOKUP($P$1,'TTL NORMAL'!$A$2:$B$46,2,0)*(J43+L43)*P43)+IF(Q43=1,0,VLOOKUP($Q$1,'TTL NORMAL'!$A$2:$B$46,2,0)*(J43+L43)*Q43)+IF(R43=1,0,VLOOKUP($R$1,'TTL NORMAL'!$A$2:$B$46,2,0)*(J43+L43)*R43)+IF(S43=1,0,VLOOKUP($S$1,'TTL NORMAL'!$A$2:$B$46,2,0)*(J43+L43)*S43)+IF(T43=1,0,VLOOKUP($T$1,'TTL NORMAL'!$A$2:$B$46,2,0)*(J43+L43)*T43)+IF(U43=1,0,VLOOKUP($U$1,'TTL NORMAL'!$A$2:$B$46,2,0)*(J43+L43)*U43)+IF(V43=1,0,VLOOKUP($V$1,'TTL NORMAL'!$A$2:$B$46,2,0)*(J43+L43)*V43)+IF(W43=1,0,VLOOKUP($W$1,'TTL NORMAL'!$A$2:$B$46,2,0)*(J43+L43)*W43)+IF(X43=1,0,VLOOKUP($X$1,'TTL NORMAL'!$A$2:$B$46,2,0)*(J43+L43)*X43)+IF(Y43=1,0,VLOOKUP($Y$1,'TTL NORMAL'!$A$2:$B$46,2,0)*(J43+L43)*Y43)+IF(Z43=1,0,VLOOKUP($Z$1,'TTL NORMAL'!$A$2:$B$46,2,0)*(J43+L43)*Z43)+IF(AA43=1,0,VLOOKUP($AA$1,'TTL NORMAL'!$A$2:$B$46,2,0)*(J43+L43)*AA43)+IF(AB43=1,0,VLOOKUP($AB$1,'TTL NORMAL'!$A$2:$B$46,2,0)*(J43+L43)*AB43)+IF(AC43=1,0,VLOOKUP($AC$1,'TTL NORMAL'!$A$2:$B$46,2,0)*(J43+L43)*AC43)+IF(AD43=1,0,VLOOKUP($AD$1,'TTL NORMAL'!$A$2:$B$46,2,0)*(J43+L43)*AD43)+IF(AE43=1,0,VLOOKUP($AE$1,'TTL NORMAL'!$A$2:$B$46,2,0)*(J43+L43)*AE43)+IF(AF43=1,0,VLOOKUP($AF$1,'TTL NORMAL'!$A$2:$B$46,2,0)*(J43+L43)*AF43)+IF(AG43=1,0,VLOOKUP($AG$1,'TTL NORMAL'!$A$2:$B$46,2,0)*(J43+L43)*AG43)+IF(AH43=1,0,VLOOKUP($AH$1,'TTL NORMAL'!$A$2:$B$46,2,0)*(J43+L43)*AH43)+IF(AI43=1,0,VLOOKUP($AI$1,'TTL NORMAL'!$A$2:$B$46,2,0)*(J43+L43)*AI43)+IF(AJ43=1,0,VLOOKUP($AJ$1,'TTL NORMAL'!$A$2:$B$46,2,0)*(J43+L43)*AJ43)+IF(AK43=1,0,VLOOKUP($AK$1,'TTL NORMAL'!$A$2:$B$46,2,0)*(J43+L43)*AK43)+IF(AL43=1,0,VLOOKUP($AL$1,'TTL NORMAL'!$A$2:$B$46,2,0)*(J43+L43)*AL43)+IF(AM43=1,0,VLOOKUP($AM$1,'TTL NORMAL'!$A$2:$B$46,2,0)*(J43+L43)*AM43)+IF(AN43=1,0,VLOOKUP($AN$1,'TTL NORMAL'!$A$2:$B$46,2,0)*(J43+L43)*AN43)+IF(AO43=1,0,VLOOKUP($AO$1,'TTL NORMAL'!$A$2:$B$46,2,0)*(J43+L43)*AO43)+IF(AP43=1,0,VLOOKUP($AP$1,'TTL NORMAL'!$A$2:$B$46,2,0)*(J43+L43)*AP43)+IF(AQ43=1,0,VLOOKUP($AQ$1,'TTL NORMAL'!$A$2:$B$46,2,0)*(J43+L43)*AQ43)+IF(AR43=1,0,VLOOKUP($AR$1,'TTL NORMAL'!$A$2:$B$46,2,0)*(J43+L43)*AR43)+IF(AS43=1,0,VLOOKUP($AS$1,'TTL NORMAL'!$A$2:$B$46,2,0)*(J43+L43)*AS43)+IF(AT43=1,0,VLOOKUP($AT$1,'TTL NORMAL'!$A$2:$B$46,2,0)*(J43+L43)*AT43)+IF(AU43=1,0,VLOOKUP($AU$1,'TTL NORMAL'!$A$2:$B$46,2,0)*(J43+L43)*AU43)+IF(AV43=1,0,VLOOKUP($AV$1,'TTL NORMAL'!$A$2:$B$46,2,0)*(J43+L43)*AV43)+IF(AW43=1,0,VLOOKUP($AW$1,'TTL NORMAL'!$A$2:$B$46,2,0)*(J43+L43)*AW43)+IF(AX43=1,0,VLOOKUP($AX$1,'TTL NORMAL'!$A$2:$B$46,2,0)*(J43+L43)*AX43)+IF(AY43=1,0,VLOOKUP($AY$1,'TTL NORMAL'!$A$2:$B$46,2,0)*(J43+L43)*AY43)+IF(AZ43=1,0,VLOOKUP($AZ$1,'TTL NORMAL'!$A$2:$B$46,2,0)*(J43+L43)*AZ43)+IF(BA43=1,0,VLOOKUP($BA$1,'TTL NORMAL'!$A$2:$B$46,2,0)*(J43+L43)*BA43)+IF(BB43=1,0,VLOOKUP($BB$1,'TTL NORMAL'!$A$2:$B$46,2,0)*(J43+L43)*BB43)+IF(BC43=1,0,VLOOKUP($BC$1,'TTL NORMAL'!$A$2:$B$46,2,0)*(J43+L43)*BC43)+IF(BD43=1,0,VLOOKUP($BD$1,'TTL NORMAL'!$A$2:$B$46,2,0)*(J43+L43)*BD43)+IF(BE43=1,0,VLOOKUP($BE$1,'TTL NORMAL'!$A$2:$B$46,2,0)*(J43+L43)*BE43)+IF(BF43=1,0,VLOOKUP($BF$1,'TTL NORMAL'!$A$2:$B$46,2,0)*(J43+L43)*BF43)+IF(BG43=1,0,VLOOKUP($BG$1,'TTL NORMAL'!$A$2:$B$46,2,0)*(J43+L43)*BG43)+IF(BH43=1,0,VLOOKUP($BH$1,'TTL NORMAL'!$A$2:$B$46,2,0)*(J43+L43)*BH43)</f>
        <v>646505.538229502</v>
      </c>
      <c r="O43" s="5" t="n">
        <v>2688000</v>
      </c>
      <c r="P43" s="18" t="n">
        <v>1</v>
      </c>
      <c r="Q43" s="17" t="n">
        <v>1</v>
      </c>
      <c r="R43" s="17" t="n">
        <v>1</v>
      </c>
      <c r="S43" s="17" t="n">
        <v>1</v>
      </c>
      <c r="T43" s="17" t="n">
        <v>1</v>
      </c>
      <c r="U43" s="17" t="n">
        <v>1</v>
      </c>
      <c r="V43" s="17" t="n">
        <v>1</v>
      </c>
      <c r="W43" s="17" t="n">
        <v>1.31497503186165</v>
      </c>
      <c r="X43" s="17" t="n">
        <v>1</v>
      </c>
      <c r="Y43" s="17" t="n">
        <v>1</v>
      </c>
      <c r="Z43" s="17" t="n">
        <v>1</v>
      </c>
      <c r="AA43" s="17" t="n">
        <v>1</v>
      </c>
      <c r="AB43" s="17" t="n">
        <v>1</v>
      </c>
      <c r="AC43" s="17" t="n">
        <v>1</v>
      </c>
      <c r="AD43" s="17" t="n">
        <v>1.31497503186165</v>
      </c>
      <c r="AE43" s="17" t="n">
        <v>1.6299500637233</v>
      </c>
      <c r="AF43" s="17" t="n">
        <v>1.6299500637233</v>
      </c>
      <c r="AG43" s="17" t="n">
        <v>1.31497503186165</v>
      </c>
      <c r="AH43" s="17" t="n">
        <v>1</v>
      </c>
      <c r="AI43" s="17" t="n">
        <v>1.31497503186165</v>
      </c>
      <c r="AJ43" s="17" t="n">
        <v>1.31497503186165</v>
      </c>
      <c r="AK43" s="17" t="n">
        <v>1.6299500637233</v>
      </c>
      <c r="AL43" s="17" t="n">
        <v>1</v>
      </c>
      <c r="AM43" s="17" t="n">
        <v>1</v>
      </c>
      <c r="AN43" s="17" t="n">
        <v>1</v>
      </c>
      <c r="AO43" s="17" t="n">
        <v>1</v>
      </c>
      <c r="AP43" s="17" t="n">
        <v>1.31497503186165</v>
      </c>
      <c r="AQ43" s="17" t="n">
        <v>1.31497503186165</v>
      </c>
      <c r="AR43" s="17" t="n">
        <v>1.31497503186165</v>
      </c>
      <c r="AS43" s="17" t="n">
        <v>1.6299500637233</v>
      </c>
      <c r="AT43" s="17" t="n">
        <v>1.6299500637233</v>
      </c>
      <c r="AU43" s="17" t="n">
        <v>1</v>
      </c>
      <c r="AV43" s="17" t="n">
        <v>1</v>
      </c>
      <c r="AW43" s="17" t="n">
        <v>1</v>
      </c>
      <c r="AX43" s="17" t="n">
        <v>1</v>
      </c>
      <c r="AY43" s="17" t="n">
        <v>1</v>
      </c>
      <c r="AZ43" s="17" t="n">
        <v>1</v>
      </c>
      <c r="BA43" s="17" t="n">
        <v>1</v>
      </c>
      <c r="BB43" s="17" t="n">
        <v>1.31497503186165</v>
      </c>
      <c r="BC43" s="17" t="n">
        <v>1.31497503186165</v>
      </c>
      <c r="BD43" s="17" t="n">
        <v>1</v>
      </c>
      <c r="BE43" s="20" t="n">
        <v>1.31497503186165</v>
      </c>
      <c r="BF43" s="17" t="n">
        <v>1</v>
      </c>
      <c r="BG43" s="17" t="n">
        <v>1</v>
      </c>
      <c r="BH43" s="17" t="n">
        <v>1</v>
      </c>
      <c r="BI43" s="17"/>
      <c r="BJ43" s="18"/>
    </row>
    <row r="44" customFormat="false" ht="15" hidden="false" customHeight="false" outlineLevel="0" collapsed="false">
      <c r="A44" s="2" t="n">
        <v>21</v>
      </c>
      <c r="B44" s="9" t="s">
        <v>72</v>
      </c>
      <c r="C44" s="0" t="n">
        <v>3</v>
      </c>
      <c r="D44" s="0" t="s">
        <v>117</v>
      </c>
      <c r="E44" s="0" t="str">
        <f aca="false">CONCATENATE("Als onderdeel van het programma 'Netwerk op zijn Best' omvat dit groot onderhoudsproject op de ",B44," een grootschalige vernieuwing van het asfalt.")</f>
        <v>Als onderdeel van het programma 'Netwerk op zijn Best' omvat dit groot onderhoudsproject op de B12-C een grootschalige vernieuwing van het asfalt.</v>
      </c>
      <c r="F44" s="13" t="s">
        <v>118</v>
      </c>
      <c r="G44" s="1" t="s">
        <v>121</v>
      </c>
      <c r="H44" s="1" t="n">
        <v>1400</v>
      </c>
      <c r="I44" s="14" t="n">
        <v>1848000</v>
      </c>
      <c r="J44" s="1" t="n">
        <v>5</v>
      </c>
      <c r="K44" s="15" t="n">
        <f aca="false">1/3</f>
        <v>0.333333333333333</v>
      </c>
      <c r="L44" s="1" t="n">
        <v>0</v>
      </c>
      <c r="M44" s="10" t="n">
        <f aca="false">O44-I44</f>
        <v>840000</v>
      </c>
      <c r="N44" s="10" t="n">
        <f aca="false">IF(P44=1,0,VLOOKUP($P$1,'TTL NORMAL'!$A$2:$B$46,2,0)*(J44+L44)*P44)+IF(Q44=1,0,VLOOKUP($Q$1,'TTL NORMAL'!$A$2:$B$46,2,0)*(J44+L44)*Q44)+IF(R44=1,0,VLOOKUP($R$1,'TTL NORMAL'!$A$2:$B$46,2,0)*(J44+L44)*R44)+IF(S44=1,0,VLOOKUP($S$1,'TTL NORMAL'!$A$2:$B$46,2,0)*(J44+L44)*S44)+IF(T44=1,0,VLOOKUP($T$1,'TTL NORMAL'!$A$2:$B$46,2,0)*(J44+L44)*T44)+IF(U44=1,0,VLOOKUP($U$1,'TTL NORMAL'!$A$2:$B$46,2,0)*(J44+L44)*U44)+IF(V44=1,0,VLOOKUP($V$1,'TTL NORMAL'!$A$2:$B$46,2,0)*(J44+L44)*V44)+IF(W44=1,0,VLOOKUP($W$1,'TTL NORMAL'!$A$2:$B$46,2,0)*(J44+L44)*W44)+IF(X44=1,0,VLOOKUP($X$1,'TTL NORMAL'!$A$2:$B$46,2,0)*(J44+L44)*X44)+IF(Y44=1,0,VLOOKUP($Y$1,'TTL NORMAL'!$A$2:$B$46,2,0)*(J44+L44)*Y44)+IF(Z44=1,0,VLOOKUP($Z$1,'TTL NORMAL'!$A$2:$B$46,2,0)*(J44+L44)*Z44)+IF(AA44=1,0,VLOOKUP($AA$1,'TTL NORMAL'!$A$2:$B$46,2,0)*(J44+L44)*AA44)+IF(AB44=1,0,VLOOKUP($AB$1,'TTL NORMAL'!$A$2:$B$46,2,0)*(J44+L44)*AB44)+IF(AC44=1,0,VLOOKUP($AC$1,'TTL NORMAL'!$A$2:$B$46,2,0)*(J44+L44)*AC44)+IF(AD44=1,0,VLOOKUP($AD$1,'TTL NORMAL'!$A$2:$B$46,2,0)*(J44+L44)*AD44)+IF(AE44=1,0,VLOOKUP($AE$1,'TTL NORMAL'!$A$2:$B$46,2,0)*(J44+L44)*AE44)+IF(AF44=1,0,VLOOKUP($AF$1,'TTL NORMAL'!$A$2:$B$46,2,0)*(J44+L44)*AF44)+IF(AG44=1,0,VLOOKUP($AG$1,'TTL NORMAL'!$A$2:$B$46,2,0)*(J44+L44)*AG44)+IF(AH44=1,0,VLOOKUP($AH$1,'TTL NORMAL'!$A$2:$B$46,2,0)*(J44+L44)*AH44)+IF(AI44=1,0,VLOOKUP($AI$1,'TTL NORMAL'!$A$2:$B$46,2,0)*(J44+L44)*AI44)+IF(AJ44=1,0,VLOOKUP($AJ$1,'TTL NORMAL'!$A$2:$B$46,2,0)*(J44+L44)*AJ44)+IF(AK44=1,0,VLOOKUP($AK$1,'TTL NORMAL'!$A$2:$B$46,2,0)*(J44+L44)*AK44)+IF(AL44=1,0,VLOOKUP($AL$1,'TTL NORMAL'!$A$2:$B$46,2,0)*(J44+L44)*AL44)+IF(AM44=1,0,VLOOKUP($AM$1,'TTL NORMAL'!$A$2:$B$46,2,0)*(J44+L44)*AM44)+IF(AN44=1,0,VLOOKUP($AN$1,'TTL NORMAL'!$A$2:$B$46,2,0)*(J44+L44)*AN44)+IF(AO44=1,0,VLOOKUP($AO$1,'TTL NORMAL'!$A$2:$B$46,2,0)*(J44+L44)*AO44)+IF(AP44=1,0,VLOOKUP($AP$1,'TTL NORMAL'!$A$2:$B$46,2,0)*(J44+L44)*AP44)+IF(AQ44=1,0,VLOOKUP($AQ$1,'TTL NORMAL'!$A$2:$B$46,2,0)*(J44+L44)*AQ44)+IF(AR44=1,0,VLOOKUP($AR$1,'TTL NORMAL'!$A$2:$B$46,2,0)*(J44+L44)*AR44)+IF(AS44=1,0,VLOOKUP($AS$1,'TTL NORMAL'!$A$2:$B$46,2,0)*(J44+L44)*AS44)+IF(AT44=1,0,VLOOKUP($AT$1,'TTL NORMAL'!$A$2:$B$46,2,0)*(J44+L44)*AT44)+IF(AU44=1,0,VLOOKUP($AU$1,'TTL NORMAL'!$A$2:$B$46,2,0)*(J44+L44)*AU44)+IF(AV44=1,0,VLOOKUP($AV$1,'TTL NORMAL'!$A$2:$B$46,2,0)*(J44+L44)*AV44)+IF(AW44=1,0,VLOOKUP($AW$1,'TTL NORMAL'!$A$2:$B$46,2,0)*(J44+L44)*AW44)+IF(AX44=1,0,VLOOKUP($AX$1,'TTL NORMAL'!$A$2:$B$46,2,0)*(J44+L44)*AX44)+IF(AY44=1,0,VLOOKUP($AY$1,'TTL NORMAL'!$A$2:$B$46,2,0)*(J44+L44)*AY44)+IF(AZ44=1,0,VLOOKUP($AZ$1,'TTL NORMAL'!$A$2:$B$46,2,0)*(J44+L44)*AZ44)+IF(BA44=1,0,VLOOKUP($BA$1,'TTL NORMAL'!$A$2:$B$46,2,0)*(J44+L44)*BA44)+IF(BB44=1,0,VLOOKUP($BB$1,'TTL NORMAL'!$A$2:$B$46,2,0)*(J44+L44)*BB44)+IF(BC44=1,0,VLOOKUP($BC$1,'TTL NORMAL'!$A$2:$B$46,2,0)*(J44+L44)*BC44)+IF(BD44=1,0,VLOOKUP($BD$1,'TTL NORMAL'!$A$2:$B$46,2,0)*(J44+L44)*BD44)+IF(BE44=1,0,VLOOKUP($BE$1,'TTL NORMAL'!$A$2:$B$46,2,0)*(J44+L44)*BE44)+IF(BF44=1,0,VLOOKUP($BF$1,'TTL NORMAL'!$A$2:$B$46,2,0)*(J44+L44)*BF44)+IF(BG44=1,0,VLOOKUP($BG$1,'TTL NORMAL'!$A$2:$B$46,2,0)*(J44+L44)*BG44)+IF(BH44=1,0,VLOOKUP($BH$1,'TTL NORMAL'!$A$2:$B$46,2,0)*(J44+L44)*BH44)</f>
        <v>437110.890662142</v>
      </c>
      <c r="O44" s="5" t="n">
        <v>2688000</v>
      </c>
      <c r="P44" s="18" t="n">
        <v>1</v>
      </c>
      <c r="Q44" s="17" t="n">
        <v>1</v>
      </c>
      <c r="R44" s="17" t="n">
        <v>1</v>
      </c>
      <c r="S44" s="17" t="n">
        <v>1</v>
      </c>
      <c r="T44" s="17" t="n">
        <v>1</v>
      </c>
      <c r="U44" s="17" t="n">
        <v>1</v>
      </c>
      <c r="V44" s="17" t="n">
        <v>1</v>
      </c>
      <c r="W44" s="17" t="n">
        <v>1.26247919321804</v>
      </c>
      <c r="X44" s="17" t="n">
        <v>1</v>
      </c>
      <c r="Y44" s="17" t="n">
        <v>1</v>
      </c>
      <c r="Z44" s="17" t="n">
        <v>1</v>
      </c>
      <c r="AA44" s="17" t="n">
        <v>1</v>
      </c>
      <c r="AB44" s="17" t="n">
        <v>1</v>
      </c>
      <c r="AC44" s="17" t="n">
        <v>1</v>
      </c>
      <c r="AD44" s="17" t="n">
        <v>1.26247919321804</v>
      </c>
      <c r="AE44" s="17" t="n">
        <v>1.52495838643608</v>
      </c>
      <c r="AF44" s="17" t="n">
        <v>1.52495838643608</v>
      </c>
      <c r="AG44" s="17" t="n">
        <v>1.26247919321804</v>
      </c>
      <c r="AH44" s="17" t="n">
        <v>1</v>
      </c>
      <c r="AI44" s="17" t="n">
        <v>1.26247919321804</v>
      </c>
      <c r="AJ44" s="17" t="n">
        <v>1.26247919321804</v>
      </c>
      <c r="AK44" s="17" t="n">
        <v>1.26247919321804</v>
      </c>
      <c r="AL44" s="17" t="n">
        <v>1</v>
      </c>
      <c r="AM44" s="17" t="n">
        <v>1</v>
      </c>
      <c r="AN44" s="17" t="n">
        <v>1</v>
      </c>
      <c r="AO44" s="17" t="n">
        <v>1</v>
      </c>
      <c r="AP44" s="17" t="n">
        <v>1.26247919321804</v>
      </c>
      <c r="AQ44" s="17" t="n">
        <v>1.26247919321804</v>
      </c>
      <c r="AR44" s="17" t="n">
        <v>1.26247919321804</v>
      </c>
      <c r="AS44" s="17" t="n">
        <v>1.52495838643608</v>
      </c>
      <c r="AT44" s="17" t="n">
        <v>1.52495838643608</v>
      </c>
      <c r="AU44" s="17" t="n">
        <v>1</v>
      </c>
      <c r="AV44" s="17" t="n">
        <v>1</v>
      </c>
      <c r="AW44" s="17" t="n">
        <v>1</v>
      </c>
      <c r="AX44" s="17" t="n">
        <v>1</v>
      </c>
      <c r="AY44" s="17" t="n">
        <v>1</v>
      </c>
      <c r="AZ44" s="17" t="n">
        <v>1</v>
      </c>
      <c r="BA44" s="17" t="n">
        <v>1</v>
      </c>
      <c r="BB44" s="17" t="n">
        <v>1.26247919321804</v>
      </c>
      <c r="BC44" s="17" t="n">
        <v>1.26247919321804</v>
      </c>
      <c r="BD44" s="17" t="n">
        <v>1</v>
      </c>
      <c r="BE44" s="20" t="n">
        <v>1.26247919321804</v>
      </c>
      <c r="BF44" s="17" t="n">
        <v>1</v>
      </c>
      <c r="BG44" s="17" t="n">
        <v>1</v>
      </c>
      <c r="BH44" s="17" t="n">
        <v>1</v>
      </c>
      <c r="BI44" s="17"/>
      <c r="BJ44" s="18"/>
    </row>
    <row r="45" customFormat="false" ht="15" hidden="false" customHeight="false" outlineLevel="0" collapsed="false">
      <c r="A45" s="2" t="n">
        <v>21</v>
      </c>
      <c r="B45" s="9" t="s">
        <v>72</v>
      </c>
      <c r="C45" s="0" t="n">
        <v>4</v>
      </c>
      <c r="D45" s="0" t="s">
        <v>119</v>
      </c>
      <c r="E45" s="0" t="str">
        <f aca="false">CONCATENATE("Als onderdeel van het programma 'Netwerk op zijn Best' omvat dit groot onderhoudsproject op de ",B45," een grootschalige vernieuwing van het asfalt.")</f>
        <v>Als onderdeel van het programma 'Netwerk op zijn Best' omvat dit groot onderhoudsproject op de B12-C een grootschalige vernieuwing van het asfalt.</v>
      </c>
      <c r="F45" s="13" t="s">
        <v>120</v>
      </c>
      <c r="G45" s="1" t="s">
        <v>121</v>
      </c>
      <c r="H45" s="1" t="n">
        <v>1680</v>
      </c>
      <c r="I45" s="14" t="n">
        <v>1680000</v>
      </c>
      <c r="J45" s="1" t="n">
        <v>3.5</v>
      </c>
      <c r="K45" s="15" t="n">
        <f aca="false">1/3</f>
        <v>0.333333333333333</v>
      </c>
      <c r="L45" s="1" t="n">
        <v>1</v>
      </c>
      <c r="M45" s="10" t="n">
        <f aca="false">O45-I45</f>
        <v>1008000</v>
      </c>
      <c r="N45" s="10" t="n">
        <f aca="false">IF(P45=1,0,VLOOKUP($P$1,'TTL NORMAL'!$A$2:$B$46,2,0)*(J45+L45)*P45)+IF(Q45=1,0,VLOOKUP($Q$1,'TTL NORMAL'!$A$2:$B$46,2,0)*(J45+L45)*Q45)+IF(R45=1,0,VLOOKUP($R$1,'TTL NORMAL'!$A$2:$B$46,2,0)*(J45+L45)*R45)+IF(S45=1,0,VLOOKUP($S$1,'TTL NORMAL'!$A$2:$B$46,2,0)*(J45+L45)*S45)+IF(T45=1,0,VLOOKUP($T$1,'TTL NORMAL'!$A$2:$B$46,2,0)*(J45+L45)*T45)+IF(U45=1,0,VLOOKUP($U$1,'TTL NORMAL'!$A$2:$B$46,2,0)*(J45+L45)*U45)+IF(V45=1,0,VLOOKUP($V$1,'TTL NORMAL'!$A$2:$B$46,2,0)*(J45+L45)*V45)+IF(W45=1,0,VLOOKUP($W$1,'TTL NORMAL'!$A$2:$B$46,2,0)*(J45+L45)*W45)+IF(X45=1,0,VLOOKUP($X$1,'TTL NORMAL'!$A$2:$B$46,2,0)*(J45+L45)*X45)+IF(Y45=1,0,VLOOKUP($Y$1,'TTL NORMAL'!$A$2:$B$46,2,0)*(J45+L45)*Y45)+IF(Z45=1,0,VLOOKUP($Z$1,'TTL NORMAL'!$A$2:$B$46,2,0)*(J45+L45)*Z45)+IF(AA45=1,0,VLOOKUP($AA$1,'TTL NORMAL'!$A$2:$B$46,2,0)*(J45+L45)*AA45)+IF(AB45=1,0,VLOOKUP($AB$1,'TTL NORMAL'!$A$2:$B$46,2,0)*(J45+L45)*AB45)+IF(AC45=1,0,VLOOKUP($AC$1,'TTL NORMAL'!$A$2:$B$46,2,0)*(J45+L45)*AC45)+IF(AD45=1,0,VLOOKUP($AD$1,'TTL NORMAL'!$A$2:$B$46,2,0)*(J45+L45)*AD45)+IF(AE45=1,0,VLOOKUP($AE$1,'TTL NORMAL'!$A$2:$B$46,2,0)*(J45+L45)*AE45)+IF(AF45=1,0,VLOOKUP($AF$1,'TTL NORMAL'!$A$2:$B$46,2,0)*(J45+L45)*AF45)+IF(AG45=1,0,VLOOKUP($AG$1,'TTL NORMAL'!$A$2:$B$46,2,0)*(J45+L45)*AG45)+IF(AH45=1,0,VLOOKUP($AH$1,'TTL NORMAL'!$A$2:$B$46,2,0)*(J45+L45)*AH45)+IF(AI45=1,0,VLOOKUP($AI$1,'TTL NORMAL'!$A$2:$B$46,2,0)*(J45+L45)*AI45)+IF(AJ45=1,0,VLOOKUP($AJ$1,'TTL NORMAL'!$A$2:$B$46,2,0)*(J45+L45)*AJ45)+IF(AK45=1,0,VLOOKUP($AK$1,'TTL NORMAL'!$A$2:$B$46,2,0)*(J45+L45)*AK45)+IF(AL45=1,0,VLOOKUP($AL$1,'TTL NORMAL'!$A$2:$B$46,2,0)*(J45+L45)*AL45)+IF(AM45=1,0,VLOOKUP($AM$1,'TTL NORMAL'!$A$2:$B$46,2,0)*(J45+L45)*AM45)+IF(AN45=1,0,VLOOKUP($AN$1,'TTL NORMAL'!$A$2:$B$46,2,0)*(J45+L45)*AN45)+IF(AO45=1,0,VLOOKUP($AO$1,'TTL NORMAL'!$A$2:$B$46,2,0)*(J45+L45)*AO45)+IF(AP45=1,0,VLOOKUP($AP$1,'TTL NORMAL'!$A$2:$B$46,2,0)*(J45+L45)*AP45)+IF(AQ45=1,0,VLOOKUP($AQ$1,'TTL NORMAL'!$A$2:$B$46,2,0)*(J45+L45)*AQ45)+IF(AR45=1,0,VLOOKUP($AR$1,'TTL NORMAL'!$A$2:$B$46,2,0)*(J45+L45)*AR45)+IF(AS45=1,0,VLOOKUP($AS$1,'TTL NORMAL'!$A$2:$B$46,2,0)*(J45+L45)*AS45)+IF(AT45=1,0,VLOOKUP($AT$1,'TTL NORMAL'!$A$2:$B$46,2,0)*(J45+L45)*AT45)+IF(AU45=1,0,VLOOKUP($AU$1,'TTL NORMAL'!$A$2:$B$46,2,0)*(J45+L45)*AU45)+IF(AV45=1,0,VLOOKUP($AV$1,'TTL NORMAL'!$A$2:$B$46,2,0)*(J45+L45)*AV45)+IF(AW45=1,0,VLOOKUP($AW$1,'TTL NORMAL'!$A$2:$B$46,2,0)*(J45+L45)*AW45)+IF(AX45=1,0,VLOOKUP($AX$1,'TTL NORMAL'!$A$2:$B$46,2,0)*(J45+L45)*AX45)+IF(AY45=1,0,VLOOKUP($AY$1,'TTL NORMAL'!$A$2:$B$46,2,0)*(J45+L45)*AY45)+IF(AZ45=1,0,VLOOKUP($AZ$1,'TTL NORMAL'!$A$2:$B$46,2,0)*(J45+L45)*AZ45)+IF(BA45=1,0,VLOOKUP($BA$1,'TTL NORMAL'!$A$2:$B$46,2,0)*(J45+L45)*BA45)+IF(BB45=1,0,VLOOKUP($BB$1,'TTL NORMAL'!$A$2:$B$46,2,0)*(J45+L45)*BB45)+IF(BC45=1,0,VLOOKUP($BC$1,'TTL NORMAL'!$A$2:$B$46,2,0)*(J45+L45)*BC45)+IF(BD45=1,0,VLOOKUP($BD$1,'TTL NORMAL'!$A$2:$B$46,2,0)*(J45+L45)*BD45)+IF(BE45=1,0,VLOOKUP($BE$1,'TTL NORMAL'!$A$2:$B$46,2,0)*(J45+L45)*BE45)+IF(BF45=1,0,VLOOKUP($BF$1,'TTL NORMAL'!$A$2:$B$46,2,0)*(J45+L45)*BF45)+IF(BG45=1,0,VLOOKUP($BG$1,'TTL NORMAL'!$A$2:$B$46,2,0)*(J45+L45)*BG45)+IF(BH45=1,0,VLOOKUP($BH$1,'TTL NORMAL'!$A$2:$B$46,2,0)*(J45+L45)*BH45)</f>
        <v>415610.703147537</v>
      </c>
      <c r="O45" s="5" t="n">
        <v>2688000</v>
      </c>
      <c r="P45" s="18" t="n">
        <v>1</v>
      </c>
      <c r="Q45" s="17" t="n">
        <v>1</v>
      </c>
      <c r="R45" s="17" t="n">
        <v>1</v>
      </c>
      <c r="S45" s="17" t="n">
        <v>1</v>
      </c>
      <c r="T45" s="17" t="n">
        <v>1</v>
      </c>
      <c r="U45" s="17" t="n">
        <v>1</v>
      </c>
      <c r="V45" s="17" t="n">
        <v>1</v>
      </c>
      <c r="W45" s="17" t="n">
        <v>1.31497503186165</v>
      </c>
      <c r="X45" s="17" t="n">
        <v>1</v>
      </c>
      <c r="Y45" s="17" t="n">
        <v>1</v>
      </c>
      <c r="Z45" s="17" t="n">
        <v>1</v>
      </c>
      <c r="AA45" s="17" t="n">
        <v>1</v>
      </c>
      <c r="AB45" s="17" t="n">
        <v>1</v>
      </c>
      <c r="AC45" s="17" t="n">
        <v>1</v>
      </c>
      <c r="AD45" s="17" t="n">
        <v>1.31497503186165</v>
      </c>
      <c r="AE45" s="17" t="n">
        <v>1.6299500637233</v>
      </c>
      <c r="AF45" s="17" t="n">
        <v>1.6299500637233</v>
      </c>
      <c r="AG45" s="17" t="n">
        <v>1.31497503186165</v>
      </c>
      <c r="AH45" s="17" t="n">
        <v>1</v>
      </c>
      <c r="AI45" s="17" t="n">
        <v>1.31497503186165</v>
      </c>
      <c r="AJ45" s="17" t="n">
        <v>1.31497503186165</v>
      </c>
      <c r="AK45" s="17" t="n">
        <v>1.6299500637233</v>
      </c>
      <c r="AL45" s="17" t="n">
        <v>1</v>
      </c>
      <c r="AM45" s="17" t="n">
        <v>1</v>
      </c>
      <c r="AN45" s="17" t="n">
        <v>1</v>
      </c>
      <c r="AO45" s="17" t="n">
        <v>1</v>
      </c>
      <c r="AP45" s="17" t="n">
        <v>1.31497503186165</v>
      </c>
      <c r="AQ45" s="17" t="n">
        <v>1.31497503186165</v>
      </c>
      <c r="AR45" s="17" t="n">
        <v>1.31497503186165</v>
      </c>
      <c r="AS45" s="17" t="n">
        <v>1.6299500637233</v>
      </c>
      <c r="AT45" s="17" t="n">
        <v>1.6299500637233</v>
      </c>
      <c r="AU45" s="17" t="n">
        <v>1</v>
      </c>
      <c r="AV45" s="17" t="n">
        <v>1</v>
      </c>
      <c r="AW45" s="17" t="n">
        <v>1</v>
      </c>
      <c r="AX45" s="17" t="n">
        <v>1</v>
      </c>
      <c r="AY45" s="17" t="n">
        <v>1</v>
      </c>
      <c r="AZ45" s="17" t="n">
        <v>1</v>
      </c>
      <c r="BA45" s="17" t="n">
        <v>1</v>
      </c>
      <c r="BB45" s="17" t="n">
        <v>1.31497503186165</v>
      </c>
      <c r="BC45" s="17" t="n">
        <v>1.31497503186165</v>
      </c>
      <c r="BD45" s="17" t="n">
        <v>1</v>
      </c>
      <c r="BE45" s="20" t="n">
        <v>1.31497503186165</v>
      </c>
      <c r="BF45" s="17" t="n">
        <v>1</v>
      </c>
      <c r="BG45" s="17" t="n">
        <v>1</v>
      </c>
      <c r="BH45" s="17" t="n">
        <v>1</v>
      </c>
      <c r="BI45" s="17"/>
      <c r="BJ45" s="18"/>
    </row>
    <row r="46" customFormat="false" ht="15" hidden="false" customHeight="false" outlineLevel="0" collapsed="false">
      <c r="A46" s="2" t="n">
        <v>22</v>
      </c>
      <c r="B46" s="19" t="s">
        <v>73</v>
      </c>
      <c r="C46" s="0" t="n">
        <v>1</v>
      </c>
      <c r="D46" s="0" t="s">
        <v>112</v>
      </c>
      <c r="E46" s="0" t="str">
        <f aca="false">CONCATENATE("Als onderdeel van het programma 'Netwerk op zijn Best' omvat dit groot onderhoudsproject op de ",B46," een grootschalige vernieuwing van het asfalt.")</f>
        <v>Als onderdeel van het programma 'Netwerk op zijn Best' omvat dit groot onderhoudsproject op de B13-A een grootschalige vernieuwing van het asfalt.</v>
      </c>
      <c r="F46" s="13" t="s">
        <v>113</v>
      </c>
      <c r="G46" s="1" t="s">
        <v>121</v>
      </c>
      <c r="H46" s="1" t="n">
        <v>1760</v>
      </c>
      <c r="I46" s="14" t="n">
        <v>5778000</v>
      </c>
      <c r="J46" s="1" t="n">
        <v>8.8</v>
      </c>
      <c r="K46" s="15" t="n">
        <f aca="false">1/3</f>
        <v>0.333333333333333</v>
      </c>
      <c r="L46" s="1" t="n">
        <v>2</v>
      </c>
      <c r="M46" s="10" t="n">
        <f aca="false">O46-I46</f>
        <v>2630000</v>
      </c>
      <c r="N46" s="10" t="n">
        <f aca="false">IF(P46=1,0,VLOOKUP($P$1,'TTL NORMAL'!$A$2:$B$46,2,0)*(J46+L46)*P46)+IF(Q46=1,0,VLOOKUP($Q$1,'TTL NORMAL'!$A$2:$B$46,2,0)*(J46+L46)*Q46)+IF(R46=1,0,VLOOKUP($R$1,'TTL NORMAL'!$A$2:$B$46,2,0)*(J46+L46)*R46)+IF(S46=1,0,VLOOKUP($S$1,'TTL NORMAL'!$A$2:$B$46,2,0)*(J46+L46)*S46)+IF(T46=1,0,VLOOKUP($T$1,'TTL NORMAL'!$A$2:$B$46,2,0)*(J46+L46)*T46)+IF(U46=1,0,VLOOKUP($U$1,'TTL NORMAL'!$A$2:$B$46,2,0)*(J46+L46)*U46)+IF(V46=1,0,VLOOKUP($V$1,'TTL NORMAL'!$A$2:$B$46,2,0)*(J46+L46)*V46)+IF(W46=1,0,VLOOKUP($W$1,'TTL NORMAL'!$A$2:$B$46,2,0)*(J46+L46)*W46)+IF(X46=1,0,VLOOKUP($X$1,'TTL NORMAL'!$A$2:$B$46,2,0)*(J46+L46)*X46)+IF(Y46=1,0,VLOOKUP($Y$1,'TTL NORMAL'!$A$2:$B$46,2,0)*(J46+L46)*Y46)+IF(Z46=1,0,VLOOKUP($Z$1,'TTL NORMAL'!$A$2:$B$46,2,0)*(J46+L46)*Z46)+IF(AA46=1,0,VLOOKUP($AA$1,'TTL NORMAL'!$A$2:$B$46,2,0)*(J46+L46)*AA46)+IF(AB46=1,0,VLOOKUP($AB$1,'TTL NORMAL'!$A$2:$B$46,2,0)*(J46+L46)*AB46)+IF(AC46=1,0,VLOOKUP($AC$1,'TTL NORMAL'!$A$2:$B$46,2,0)*(J46+L46)*AC46)+IF(AD46=1,0,VLOOKUP($AD$1,'TTL NORMAL'!$A$2:$B$46,2,0)*(J46+L46)*AD46)+IF(AE46=1,0,VLOOKUP($AE$1,'TTL NORMAL'!$A$2:$B$46,2,0)*(J46+L46)*AE46)+IF(AF46=1,0,VLOOKUP($AF$1,'TTL NORMAL'!$A$2:$B$46,2,0)*(J46+L46)*AF46)+IF(AG46=1,0,VLOOKUP($AG$1,'TTL NORMAL'!$A$2:$B$46,2,0)*(J46+L46)*AG46)+IF(AH46=1,0,VLOOKUP($AH$1,'TTL NORMAL'!$A$2:$B$46,2,0)*(J46+L46)*AH46)+IF(AI46=1,0,VLOOKUP($AI$1,'TTL NORMAL'!$A$2:$B$46,2,0)*(J46+L46)*AI46)+IF(AJ46=1,0,VLOOKUP($AJ$1,'TTL NORMAL'!$A$2:$B$46,2,0)*(J46+L46)*AJ46)+IF(AK46=1,0,VLOOKUP($AK$1,'TTL NORMAL'!$A$2:$B$46,2,0)*(J46+L46)*AK46)+IF(AL46=1,0,VLOOKUP($AL$1,'TTL NORMAL'!$A$2:$B$46,2,0)*(J46+L46)*AL46)+IF(AM46=1,0,VLOOKUP($AM$1,'TTL NORMAL'!$A$2:$B$46,2,0)*(J46+L46)*AM46)+IF(AN46=1,0,VLOOKUP($AN$1,'TTL NORMAL'!$A$2:$B$46,2,0)*(J46+L46)*AN46)+IF(AO46=1,0,VLOOKUP($AO$1,'TTL NORMAL'!$A$2:$B$46,2,0)*(J46+L46)*AO46)+IF(AP46=1,0,VLOOKUP($AP$1,'TTL NORMAL'!$A$2:$B$46,2,0)*(J46+L46)*AP46)+IF(AQ46=1,0,VLOOKUP($AQ$1,'TTL NORMAL'!$A$2:$B$46,2,0)*(J46+L46)*AQ46)+IF(AR46=1,0,VLOOKUP($AR$1,'TTL NORMAL'!$A$2:$B$46,2,0)*(J46+L46)*AR46)+IF(AS46=1,0,VLOOKUP($AS$1,'TTL NORMAL'!$A$2:$B$46,2,0)*(J46+L46)*AS46)+IF(AT46=1,0,VLOOKUP($AT$1,'TTL NORMAL'!$A$2:$B$46,2,0)*(J46+L46)*AT46)+IF(AU46=1,0,VLOOKUP($AU$1,'TTL NORMAL'!$A$2:$B$46,2,0)*(J46+L46)*AU46)+IF(AV46=1,0,VLOOKUP($AV$1,'TTL NORMAL'!$A$2:$B$46,2,0)*(J46+L46)*AV46)+IF(AW46=1,0,VLOOKUP($AW$1,'TTL NORMAL'!$A$2:$B$46,2,0)*(J46+L46)*AW46)+IF(AX46=1,0,VLOOKUP($AX$1,'TTL NORMAL'!$A$2:$B$46,2,0)*(J46+L46)*AX46)+IF(AY46=1,0,VLOOKUP($AY$1,'TTL NORMAL'!$A$2:$B$46,2,0)*(J46+L46)*AY46)+IF(AZ46=1,0,VLOOKUP($AZ$1,'TTL NORMAL'!$A$2:$B$46,2,0)*(J46+L46)*AZ46)+IF(BA46=1,0,VLOOKUP($BA$1,'TTL NORMAL'!$A$2:$B$46,2,0)*(J46+L46)*BA46)+IF(BB46=1,0,VLOOKUP($BB$1,'TTL NORMAL'!$A$2:$B$46,2,0)*(J46+L46)*BB46)+IF(BC46=1,0,VLOOKUP($BC$1,'TTL NORMAL'!$A$2:$B$46,2,0)*(J46+L46)*BC46)+IF(BD46=1,0,VLOOKUP($BD$1,'TTL NORMAL'!$A$2:$B$46,2,0)*(J46+L46)*BD46)+IF(BE46=1,0,VLOOKUP($BE$1,'TTL NORMAL'!$A$2:$B$46,2,0)*(J46+L46)*BE46)+IF(BF46=1,0,VLOOKUP($BF$1,'TTL NORMAL'!$A$2:$B$46,2,0)*(J46+L46)*BF46)+IF(BG46=1,0,VLOOKUP($BG$1,'TTL NORMAL'!$A$2:$B$46,2,0)*(J46+L46)*BG46)+IF(BH46=1,0,VLOOKUP($BH$1,'TTL NORMAL'!$A$2:$B$46,2,0)*(J46+L46)*BH46)</f>
        <v>1064246.66259996</v>
      </c>
      <c r="O46" s="5" t="n">
        <v>8408000</v>
      </c>
      <c r="P46" s="18" t="n">
        <v>1</v>
      </c>
      <c r="Q46" s="17" t="n">
        <v>1</v>
      </c>
      <c r="R46" s="17" t="n">
        <v>1</v>
      </c>
      <c r="S46" s="17" t="n">
        <v>1</v>
      </c>
      <c r="T46" s="17" t="n">
        <v>1</v>
      </c>
      <c r="U46" s="17" t="n">
        <v>1</v>
      </c>
      <c r="V46" s="17" t="n">
        <v>1</v>
      </c>
      <c r="W46" s="17" t="n">
        <v>1</v>
      </c>
      <c r="X46" s="17" t="n">
        <v>1.32997384290268</v>
      </c>
      <c r="Y46" s="17" t="n">
        <v>1.65994768580536</v>
      </c>
      <c r="Z46" s="17" t="n">
        <v>1</v>
      </c>
      <c r="AA46" s="17" t="n">
        <v>1.32997384290268</v>
      </c>
      <c r="AB46" s="17" t="n">
        <v>1</v>
      </c>
      <c r="AC46" s="17" t="n">
        <v>1</v>
      </c>
      <c r="AD46" s="17" t="n">
        <v>1</v>
      </c>
      <c r="AE46" s="17" t="n">
        <v>1</v>
      </c>
      <c r="AF46" s="17" t="n">
        <v>1.32997384290268</v>
      </c>
      <c r="AG46" s="17" t="n">
        <v>1.65994768580536</v>
      </c>
      <c r="AH46" s="17" t="n">
        <v>1.65994768580536</v>
      </c>
      <c r="AI46" s="17" t="n">
        <v>1.32997384290268</v>
      </c>
      <c r="AJ46" s="17" t="n">
        <v>1.32997384290268</v>
      </c>
      <c r="AK46" s="17" t="n">
        <v>1</v>
      </c>
      <c r="AL46" s="17" t="n">
        <v>1</v>
      </c>
      <c r="AM46" s="17" t="n">
        <v>1.65994768580536</v>
      </c>
      <c r="AN46" s="17" t="n">
        <v>1.32997384290268</v>
      </c>
      <c r="AO46" s="17" t="n">
        <v>1.32997384290268</v>
      </c>
      <c r="AP46" s="17" t="n">
        <v>1.32997384290268</v>
      </c>
      <c r="AQ46" s="17" t="n">
        <v>1</v>
      </c>
      <c r="AR46" s="17" t="n">
        <v>1</v>
      </c>
      <c r="AS46" s="17" t="n">
        <v>1</v>
      </c>
      <c r="AT46" s="17" t="n">
        <v>1</v>
      </c>
      <c r="AU46" s="17" t="n">
        <v>1</v>
      </c>
      <c r="AV46" s="17" t="n">
        <v>1.32997384290268</v>
      </c>
      <c r="AW46" s="17" t="n">
        <v>1.32997384290268</v>
      </c>
      <c r="AX46" s="17" t="n">
        <v>1</v>
      </c>
      <c r="AY46" s="17" t="n">
        <v>1</v>
      </c>
      <c r="AZ46" s="17" t="n">
        <v>1</v>
      </c>
      <c r="BA46" s="17" t="n">
        <v>1</v>
      </c>
      <c r="BB46" s="17" t="n">
        <v>1</v>
      </c>
      <c r="BC46" s="17" t="n">
        <v>1</v>
      </c>
      <c r="BD46" s="17" t="n">
        <v>1</v>
      </c>
      <c r="BE46" s="17" t="n">
        <v>1</v>
      </c>
      <c r="BF46" s="17" t="n">
        <v>1.32997384290268</v>
      </c>
      <c r="BG46" s="17" t="n">
        <v>1.32997384290268</v>
      </c>
      <c r="BH46" s="17" t="n">
        <v>1</v>
      </c>
      <c r="BI46" s="17"/>
      <c r="BJ46" s="17"/>
    </row>
    <row r="47" customFormat="false" ht="15" hidden="false" customHeight="false" outlineLevel="0" collapsed="false">
      <c r="A47" s="2" t="n">
        <v>22</v>
      </c>
      <c r="B47" s="19" t="s">
        <v>73</v>
      </c>
      <c r="C47" s="0" t="n">
        <v>2</v>
      </c>
      <c r="D47" s="0" t="s">
        <v>115</v>
      </c>
      <c r="E47" s="0" t="str">
        <f aca="false">CONCATENATE("Als onderdeel van het programma 'Netwerk op zijn Best' omvat dit groot onderhoudsproject op de ",B47," een grootschalige vernieuwing van het asfalt.")</f>
        <v>Als onderdeel van het programma 'Netwerk op zijn Best' omvat dit groot onderhoudsproject op de B13-A een grootschalige vernieuwing van het asfalt.</v>
      </c>
      <c r="F47" s="13" t="s">
        <v>116</v>
      </c>
      <c r="G47" s="1" t="s">
        <v>121</v>
      </c>
      <c r="H47" s="1" t="n">
        <v>2640</v>
      </c>
      <c r="I47" s="14" t="n">
        <v>3676500</v>
      </c>
      <c r="J47" s="1" t="n">
        <v>8</v>
      </c>
      <c r="K47" s="15" t="n">
        <f aca="false">1/3</f>
        <v>0.333333333333333</v>
      </c>
      <c r="L47" s="1" t="n">
        <v>4</v>
      </c>
      <c r="M47" s="10" t="n">
        <f aca="false">O47-I47</f>
        <v>4731500</v>
      </c>
      <c r="N47" s="10" t="n">
        <f aca="false">IF(P47=1,0,VLOOKUP($P$1,'TTL NORMAL'!$A$2:$B$46,2,0)*(J47+L47)*P47)+IF(Q47=1,0,VLOOKUP($Q$1,'TTL NORMAL'!$A$2:$B$46,2,0)*(J47+L47)*Q47)+IF(R47=1,0,VLOOKUP($R$1,'TTL NORMAL'!$A$2:$B$46,2,0)*(J47+L47)*R47)+IF(S47=1,0,VLOOKUP($S$1,'TTL NORMAL'!$A$2:$B$46,2,0)*(J47+L47)*S47)+IF(T47=1,0,VLOOKUP($T$1,'TTL NORMAL'!$A$2:$B$46,2,0)*(J47+L47)*T47)+IF(U47=1,0,VLOOKUP($U$1,'TTL NORMAL'!$A$2:$B$46,2,0)*(J47+L47)*U47)+IF(V47=1,0,VLOOKUP($V$1,'TTL NORMAL'!$A$2:$B$46,2,0)*(J47+L47)*V47)+IF(W47=1,0,VLOOKUP($W$1,'TTL NORMAL'!$A$2:$B$46,2,0)*(J47+L47)*W47)+IF(X47=1,0,VLOOKUP($X$1,'TTL NORMAL'!$A$2:$B$46,2,0)*(J47+L47)*X47)+IF(Y47=1,0,VLOOKUP($Y$1,'TTL NORMAL'!$A$2:$B$46,2,0)*(J47+L47)*Y47)+IF(Z47=1,0,VLOOKUP($Z$1,'TTL NORMAL'!$A$2:$B$46,2,0)*(J47+L47)*Z47)+IF(AA47=1,0,VLOOKUP($AA$1,'TTL NORMAL'!$A$2:$B$46,2,0)*(J47+L47)*AA47)+IF(AB47=1,0,VLOOKUP($AB$1,'TTL NORMAL'!$A$2:$B$46,2,0)*(J47+L47)*AB47)+IF(AC47=1,0,VLOOKUP($AC$1,'TTL NORMAL'!$A$2:$B$46,2,0)*(J47+L47)*AC47)+IF(AD47=1,0,VLOOKUP($AD$1,'TTL NORMAL'!$A$2:$B$46,2,0)*(J47+L47)*AD47)+IF(AE47=1,0,VLOOKUP($AE$1,'TTL NORMAL'!$A$2:$B$46,2,0)*(J47+L47)*AE47)+IF(AF47=1,0,VLOOKUP($AF$1,'TTL NORMAL'!$A$2:$B$46,2,0)*(J47+L47)*AF47)+IF(AG47=1,0,VLOOKUP($AG$1,'TTL NORMAL'!$A$2:$B$46,2,0)*(J47+L47)*AG47)+IF(AH47=1,0,VLOOKUP($AH$1,'TTL NORMAL'!$A$2:$B$46,2,0)*(J47+L47)*AH47)+IF(AI47=1,0,VLOOKUP($AI$1,'TTL NORMAL'!$A$2:$B$46,2,0)*(J47+L47)*AI47)+IF(AJ47=1,0,VLOOKUP($AJ$1,'TTL NORMAL'!$A$2:$B$46,2,0)*(J47+L47)*AJ47)+IF(AK47=1,0,VLOOKUP($AK$1,'TTL NORMAL'!$A$2:$B$46,2,0)*(J47+L47)*AK47)+IF(AL47=1,0,VLOOKUP($AL$1,'TTL NORMAL'!$A$2:$B$46,2,0)*(J47+L47)*AL47)+IF(AM47=1,0,VLOOKUP($AM$1,'TTL NORMAL'!$A$2:$B$46,2,0)*(J47+L47)*AM47)+IF(AN47=1,0,VLOOKUP($AN$1,'TTL NORMAL'!$A$2:$B$46,2,0)*(J47+L47)*AN47)+IF(AO47=1,0,VLOOKUP($AO$1,'TTL NORMAL'!$A$2:$B$46,2,0)*(J47+L47)*AO47)+IF(AP47=1,0,VLOOKUP($AP$1,'TTL NORMAL'!$A$2:$B$46,2,0)*(J47+L47)*AP47)+IF(AQ47=1,0,VLOOKUP($AQ$1,'TTL NORMAL'!$A$2:$B$46,2,0)*(J47+L47)*AQ47)+IF(AR47=1,0,VLOOKUP($AR$1,'TTL NORMAL'!$A$2:$B$46,2,0)*(J47+L47)*AR47)+IF(AS47=1,0,VLOOKUP($AS$1,'TTL NORMAL'!$A$2:$B$46,2,0)*(J47+L47)*AS47)+IF(AT47=1,0,VLOOKUP($AT$1,'TTL NORMAL'!$A$2:$B$46,2,0)*(J47+L47)*AT47)+IF(AU47=1,0,VLOOKUP($AU$1,'TTL NORMAL'!$A$2:$B$46,2,0)*(J47+L47)*AU47)+IF(AV47=1,0,VLOOKUP($AV$1,'TTL NORMAL'!$A$2:$B$46,2,0)*(J47+L47)*AV47)+IF(AW47=1,0,VLOOKUP($AW$1,'TTL NORMAL'!$A$2:$B$46,2,0)*(J47+L47)*AW47)+IF(AX47=1,0,VLOOKUP($AX$1,'TTL NORMAL'!$A$2:$B$46,2,0)*(J47+L47)*AX47)+IF(AY47=1,0,VLOOKUP($AY$1,'TTL NORMAL'!$A$2:$B$46,2,0)*(J47+L47)*AY47)+IF(AZ47=1,0,VLOOKUP($AZ$1,'TTL NORMAL'!$A$2:$B$46,2,0)*(J47+L47)*AZ47)+IF(BA47=1,0,VLOOKUP($BA$1,'TTL NORMAL'!$A$2:$B$46,2,0)*(J47+L47)*BA47)+IF(BB47=1,0,VLOOKUP($BB$1,'TTL NORMAL'!$A$2:$B$46,2,0)*(J47+L47)*BB47)+IF(BC47=1,0,VLOOKUP($BC$1,'TTL NORMAL'!$A$2:$B$46,2,0)*(J47+L47)*BC47)+IF(BD47=1,0,VLOOKUP($BD$1,'TTL NORMAL'!$A$2:$B$46,2,0)*(J47+L47)*BD47)+IF(BE47=1,0,VLOOKUP($BE$1,'TTL NORMAL'!$A$2:$B$46,2,0)*(J47+L47)*BE47)+IF(BF47=1,0,VLOOKUP($BF$1,'TTL NORMAL'!$A$2:$B$46,2,0)*(J47+L47)*BF47)+IF(BG47=1,0,VLOOKUP($BG$1,'TTL NORMAL'!$A$2:$B$46,2,0)*(J47+L47)*BG47)+IF(BH47=1,0,VLOOKUP($BH$1,'TTL NORMAL'!$A$2:$B$46,2,0)*(J47+L47)*BH47)</f>
        <v>1460091.30339479</v>
      </c>
      <c r="O47" s="5" t="n">
        <v>8408000</v>
      </c>
      <c r="P47" s="18" t="n">
        <v>1</v>
      </c>
      <c r="Q47" s="17" t="n">
        <v>1</v>
      </c>
      <c r="R47" s="17" t="n">
        <v>1</v>
      </c>
      <c r="S47" s="17" t="n">
        <v>1</v>
      </c>
      <c r="T47" s="17" t="n">
        <v>1</v>
      </c>
      <c r="U47" s="17" t="n">
        <v>1</v>
      </c>
      <c r="V47" s="17" t="n">
        <v>1</v>
      </c>
      <c r="W47" s="17" t="n">
        <v>1</v>
      </c>
      <c r="X47" s="17" t="n">
        <v>1.49496076435402</v>
      </c>
      <c r="Y47" s="17" t="n">
        <v>1.98992152870804</v>
      </c>
      <c r="Z47" s="17" t="n">
        <v>1</v>
      </c>
      <c r="AA47" s="17" t="n">
        <v>1.49496076435402</v>
      </c>
      <c r="AB47" s="17" t="n">
        <v>1</v>
      </c>
      <c r="AC47" s="17" t="n">
        <v>1</v>
      </c>
      <c r="AD47" s="17" t="n">
        <v>1</v>
      </c>
      <c r="AE47" s="17" t="n">
        <v>1</v>
      </c>
      <c r="AF47" s="17" t="n">
        <v>1.49496076435402</v>
      </c>
      <c r="AG47" s="17" t="n">
        <v>1.98992152870804</v>
      </c>
      <c r="AH47" s="17" t="n">
        <v>1.98992152870804</v>
      </c>
      <c r="AI47" s="17" t="n">
        <v>1.49496076435402</v>
      </c>
      <c r="AJ47" s="17" t="n">
        <v>1.49496076435402</v>
      </c>
      <c r="AK47" s="17" t="n">
        <v>1</v>
      </c>
      <c r="AL47" s="17" t="n">
        <v>1.98992152870804</v>
      </c>
      <c r="AM47" s="17" t="n">
        <v>1.98992152870804</v>
      </c>
      <c r="AN47" s="17" t="n">
        <v>1.49496076435402</v>
      </c>
      <c r="AO47" s="17" t="n">
        <v>1.49496076435402</v>
      </c>
      <c r="AP47" s="17" t="n">
        <v>1.49496076435402</v>
      </c>
      <c r="AQ47" s="17" t="n">
        <v>1</v>
      </c>
      <c r="AR47" s="17" t="n">
        <v>1</v>
      </c>
      <c r="AS47" s="17" t="n">
        <v>1</v>
      </c>
      <c r="AT47" s="17" t="n">
        <v>1</v>
      </c>
      <c r="AU47" s="17" t="n">
        <v>1</v>
      </c>
      <c r="AV47" s="17" t="n">
        <v>1.49496076435402</v>
      </c>
      <c r="AW47" s="17" t="n">
        <v>1.49496076435402</v>
      </c>
      <c r="AX47" s="17" t="n">
        <v>1</v>
      </c>
      <c r="AY47" s="17" t="n">
        <v>1</v>
      </c>
      <c r="AZ47" s="17" t="n">
        <v>1</v>
      </c>
      <c r="BA47" s="17" t="n">
        <v>1</v>
      </c>
      <c r="BB47" s="17" t="n">
        <v>1</v>
      </c>
      <c r="BC47" s="17" t="n">
        <v>1</v>
      </c>
      <c r="BD47" s="17" t="n">
        <v>1</v>
      </c>
      <c r="BE47" s="17" t="n">
        <v>1</v>
      </c>
      <c r="BF47" s="17" t="n">
        <v>1.49496076435402</v>
      </c>
      <c r="BG47" s="17" t="n">
        <v>1.49496076435402</v>
      </c>
      <c r="BH47" s="17" t="n">
        <v>1</v>
      </c>
      <c r="BI47" s="17"/>
      <c r="BJ47" s="17"/>
    </row>
    <row r="48" customFormat="false" ht="15" hidden="false" customHeight="false" outlineLevel="0" collapsed="false">
      <c r="A48" s="2" t="n">
        <v>22</v>
      </c>
      <c r="B48" s="19" t="s">
        <v>73</v>
      </c>
      <c r="C48" s="0" t="n">
        <v>3</v>
      </c>
      <c r="D48" s="0" t="s">
        <v>117</v>
      </c>
      <c r="E48" s="0" t="str">
        <f aca="false">CONCATENATE("Als onderdeel van het programma 'Netwerk op zijn Best' omvat dit groot onderhoudsproject op de ",B48," een grootschalige vernieuwing van het asfalt.")</f>
        <v>Als onderdeel van het programma 'Netwerk op zijn Best' omvat dit groot onderhoudsproject op de B13-A een grootschalige vernieuwing van het asfalt.</v>
      </c>
      <c r="F48" s="13" t="s">
        <v>118</v>
      </c>
      <c r="G48" s="1" t="s">
        <v>121</v>
      </c>
      <c r="H48" s="1" t="n">
        <v>2200</v>
      </c>
      <c r="I48" s="14" t="n">
        <v>5778300</v>
      </c>
      <c r="J48" s="1" t="n">
        <v>8</v>
      </c>
      <c r="K48" s="15" t="n">
        <f aca="false">1/3</f>
        <v>0.333333333333333</v>
      </c>
      <c r="L48" s="1" t="n">
        <v>0</v>
      </c>
      <c r="M48" s="10" t="n">
        <f aca="false">O48-I48</f>
        <v>2629700</v>
      </c>
      <c r="N48" s="10" t="n">
        <f aca="false">IF(P48=1,0,VLOOKUP($P$1,'TTL NORMAL'!$A$2:$B$46,2,0)*(J48+L48)*P48)+IF(Q48=1,0,VLOOKUP($Q$1,'TTL NORMAL'!$A$2:$B$46,2,0)*(J48+L48)*Q48)+IF(R48=1,0,VLOOKUP($R$1,'TTL NORMAL'!$A$2:$B$46,2,0)*(J48+L48)*R48)+IF(S48=1,0,VLOOKUP($S$1,'TTL NORMAL'!$A$2:$B$46,2,0)*(J48+L48)*S48)+IF(T48=1,0,VLOOKUP($T$1,'TTL NORMAL'!$A$2:$B$46,2,0)*(J48+L48)*T48)+IF(U48=1,0,VLOOKUP($U$1,'TTL NORMAL'!$A$2:$B$46,2,0)*(J48+L48)*U48)+IF(V48=1,0,VLOOKUP($V$1,'TTL NORMAL'!$A$2:$B$46,2,0)*(J48+L48)*V48)+IF(W48=1,0,VLOOKUP($W$1,'TTL NORMAL'!$A$2:$B$46,2,0)*(J48+L48)*W48)+IF(X48=1,0,VLOOKUP($X$1,'TTL NORMAL'!$A$2:$B$46,2,0)*(J48+L48)*X48)+IF(Y48=1,0,VLOOKUP($Y$1,'TTL NORMAL'!$A$2:$B$46,2,0)*(J48+L48)*Y48)+IF(Z48=1,0,VLOOKUP($Z$1,'TTL NORMAL'!$A$2:$B$46,2,0)*(J48+L48)*Z48)+IF(AA48=1,0,VLOOKUP($AA$1,'TTL NORMAL'!$A$2:$B$46,2,0)*(J48+L48)*AA48)+IF(AB48=1,0,VLOOKUP($AB$1,'TTL NORMAL'!$A$2:$B$46,2,0)*(J48+L48)*AB48)+IF(AC48=1,0,VLOOKUP($AC$1,'TTL NORMAL'!$A$2:$B$46,2,0)*(J48+L48)*AC48)+IF(AD48=1,0,VLOOKUP($AD$1,'TTL NORMAL'!$A$2:$B$46,2,0)*(J48+L48)*AD48)+IF(AE48=1,0,VLOOKUP($AE$1,'TTL NORMAL'!$A$2:$B$46,2,0)*(J48+L48)*AE48)+IF(AF48=1,0,VLOOKUP($AF$1,'TTL NORMAL'!$A$2:$B$46,2,0)*(J48+L48)*AF48)+IF(AG48=1,0,VLOOKUP($AG$1,'TTL NORMAL'!$A$2:$B$46,2,0)*(J48+L48)*AG48)+IF(AH48=1,0,VLOOKUP($AH$1,'TTL NORMAL'!$A$2:$B$46,2,0)*(J48+L48)*AH48)+IF(AI48=1,0,VLOOKUP($AI$1,'TTL NORMAL'!$A$2:$B$46,2,0)*(J48+L48)*AI48)+IF(AJ48=1,0,VLOOKUP($AJ$1,'TTL NORMAL'!$A$2:$B$46,2,0)*(J48+L48)*AJ48)+IF(AK48=1,0,VLOOKUP($AK$1,'TTL NORMAL'!$A$2:$B$46,2,0)*(J48+L48)*AK48)+IF(AL48=1,0,VLOOKUP($AL$1,'TTL NORMAL'!$A$2:$B$46,2,0)*(J48+L48)*AL48)+IF(AM48=1,0,VLOOKUP($AM$1,'TTL NORMAL'!$A$2:$B$46,2,0)*(J48+L48)*AM48)+IF(AN48=1,0,VLOOKUP($AN$1,'TTL NORMAL'!$A$2:$B$46,2,0)*(J48+L48)*AN48)+IF(AO48=1,0,VLOOKUP($AO$1,'TTL NORMAL'!$A$2:$B$46,2,0)*(J48+L48)*AO48)+IF(AP48=1,0,VLOOKUP($AP$1,'TTL NORMAL'!$A$2:$B$46,2,0)*(J48+L48)*AP48)+IF(AQ48=1,0,VLOOKUP($AQ$1,'TTL NORMAL'!$A$2:$B$46,2,0)*(J48+L48)*AQ48)+IF(AR48=1,0,VLOOKUP($AR$1,'TTL NORMAL'!$A$2:$B$46,2,0)*(J48+L48)*AR48)+IF(AS48=1,0,VLOOKUP($AS$1,'TTL NORMAL'!$A$2:$B$46,2,0)*(J48+L48)*AS48)+IF(AT48=1,0,VLOOKUP($AT$1,'TTL NORMAL'!$A$2:$B$46,2,0)*(J48+L48)*AT48)+IF(AU48=1,0,VLOOKUP($AU$1,'TTL NORMAL'!$A$2:$B$46,2,0)*(J48+L48)*AU48)+IF(AV48=1,0,VLOOKUP($AV$1,'TTL NORMAL'!$A$2:$B$46,2,0)*(J48+L48)*AV48)+IF(AW48=1,0,VLOOKUP($AW$1,'TTL NORMAL'!$A$2:$B$46,2,0)*(J48+L48)*AW48)+IF(AX48=1,0,VLOOKUP($AX$1,'TTL NORMAL'!$A$2:$B$46,2,0)*(J48+L48)*AX48)+IF(AY48=1,0,VLOOKUP($AY$1,'TTL NORMAL'!$A$2:$B$46,2,0)*(J48+L48)*AY48)+IF(AZ48=1,0,VLOOKUP($AZ$1,'TTL NORMAL'!$A$2:$B$46,2,0)*(J48+L48)*AZ48)+IF(BA48=1,0,VLOOKUP($BA$1,'TTL NORMAL'!$A$2:$B$46,2,0)*(J48+L48)*BA48)+IF(BB48=1,0,VLOOKUP($BB$1,'TTL NORMAL'!$A$2:$B$46,2,0)*(J48+L48)*BB48)+IF(BC48=1,0,VLOOKUP($BC$1,'TTL NORMAL'!$A$2:$B$46,2,0)*(J48+L48)*BC48)+IF(BD48=1,0,VLOOKUP($BD$1,'TTL NORMAL'!$A$2:$B$46,2,0)*(J48+L48)*BD48)+IF(BE48=1,0,VLOOKUP($BE$1,'TTL NORMAL'!$A$2:$B$46,2,0)*(J48+L48)*BE48)+IF(BF48=1,0,VLOOKUP($BF$1,'TTL NORMAL'!$A$2:$B$46,2,0)*(J48+L48)*BF48)+IF(BG48=1,0,VLOOKUP($BG$1,'TTL NORMAL'!$A$2:$B$46,2,0)*(J48+L48)*BG48)+IF(BH48=1,0,VLOOKUP($BH$1,'TTL NORMAL'!$A$2:$B$46,2,0)*(J48+L48)*BH48)</f>
        <v>897023.119616217</v>
      </c>
      <c r="O48" s="10" t="n">
        <v>8408000</v>
      </c>
      <c r="P48" s="18" t="n">
        <v>1</v>
      </c>
      <c r="Q48" s="17" t="n">
        <v>1</v>
      </c>
      <c r="R48" s="17" t="n">
        <v>1</v>
      </c>
      <c r="S48" s="17" t="n">
        <v>1</v>
      </c>
      <c r="T48" s="17" t="n">
        <v>1</v>
      </c>
      <c r="U48" s="17" t="n">
        <v>1</v>
      </c>
      <c r="V48" s="17" t="n">
        <v>1</v>
      </c>
      <c r="W48" s="17" t="n">
        <v>1</v>
      </c>
      <c r="X48" s="17" t="n">
        <v>1.41246730362835</v>
      </c>
      <c r="Y48" s="17" t="n">
        <v>1.8249346072567</v>
      </c>
      <c r="Z48" s="17" t="n">
        <v>1</v>
      </c>
      <c r="AA48" s="17" t="n">
        <v>1.41246730362835</v>
      </c>
      <c r="AB48" s="17" t="n">
        <v>1</v>
      </c>
      <c r="AC48" s="17" t="n">
        <v>1</v>
      </c>
      <c r="AD48" s="17" t="n">
        <v>1</v>
      </c>
      <c r="AE48" s="17" t="n">
        <v>1</v>
      </c>
      <c r="AF48" s="17" t="n">
        <v>1.41246730362835</v>
      </c>
      <c r="AG48" s="17" t="n">
        <v>1.8249346072567</v>
      </c>
      <c r="AH48" s="17" t="n">
        <v>1.8249346072567</v>
      </c>
      <c r="AI48" s="17" t="n">
        <v>1.41246730362835</v>
      </c>
      <c r="AJ48" s="17" t="n">
        <v>1.41246730362835</v>
      </c>
      <c r="AK48" s="17" t="n">
        <v>1</v>
      </c>
      <c r="AL48" s="17" t="n">
        <v>1.41246730362835</v>
      </c>
      <c r="AM48" s="17" t="n">
        <v>1.8249346072567</v>
      </c>
      <c r="AN48" s="17" t="n">
        <v>1.41246730362835</v>
      </c>
      <c r="AO48" s="17" t="n">
        <v>1.41246730362835</v>
      </c>
      <c r="AP48" s="17" t="n">
        <v>1.41246730362835</v>
      </c>
      <c r="AQ48" s="17" t="n">
        <v>1</v>
      </c>
      <c r="AR48" s="17" t="n">
        <v>1</v>
      </c>
      <c r="AS48" s="17" t="n">
        <v>1</v>
      </c>
      <c r="AT48" s="17" t="n">
        <v>1</v>
      </c>
      <c r="AU48" s="17" t="n">
        <v>1</v>
      </c>
      <c r="AV48" s="17" t="n">
        <v>1.41246730362835</v>
      </c>
      <c r="AW48" s="17" t="n">
        <v>1.41246730362835</v>
      </c>
      <c r="AX48" s="17" t="n">
        <v>1</v>
      </c>
      <c r="AY48" s="17" t="n">
        <v>1</v>
      </c>
      <c r="AZ48" s="17" t="n">
        <v>1</v>
      </c>
      <c r="BA48" s="17" t="n">
        <v>1</v>
      </c>
      <c r="BB48" s="17" t="n">
        <v>1</v>
      </c>
      <c r="BC48" s="17" t="n">
        <v>1</v>
      </c>
      <c r="BD48" s="17" t="n">
        <v>1</v>
      </c>
      <c r="BE48" s="17" t="n">
        <v>1</v>
      </c>
      <c r="BF48" s="17" t="n">
        <v>1.41246730362835</v>
      </c>
      <c r="BG48" s="17" t="n">
        <v>1.41246730362835</v>
      </c>
      <c r="BH48" s="17" t="n">
        <v>1</v>
      </c>
      <c r="BI48" s="17"/>
      <c r="BJ48" s="17"/>
    </row>
    <row r="49" customFormat="false" ht="15" hidden="false" customHeight="false" outlineLevel="0" collapsed="false">
      <c r="A49" s="2" t="n">
        <v>22</v>
      </c>
      <c r="B49" s="19" t="s">
        <v>73</v>
      </c>
      <c r="C49" s="0" t="n">
        <v>4</v>
      </c>
      <c r="D49" s="0" t="s">
        <v>119</v>
      </c>
      <c r="E49" s="0" t="str">
        <f aca="false">CONCATENATE("Als onderdeel van het programma 'Netwerk op zijn Best' omvat dit groot onderhoudsproject op de ",B49," een grootschalige vernieuwing van het asfalt.")</f>
        <v>Als onderdeel van het programma 'Netwerk op zijn Best' omvat dit groot onderhoudsproject op de B13-A een grootschalige vernieuwing van het asfalt.</v>
      </c>
      <c r="F49" s="13" t="s">
        <v>120</v>
      </c>
      <c r="G49" s="1" t="s">
        <v>121</v>
      </c>
      <c r="H49" s="1" t="n">
        <v>2640</v>
      </c>
      <c r="I49" s="14" t="n">
        <v>5253000</v>
      </c>
      <c r="J49" s="1" t="n">
        <v>5.6</v>
      </c>
      <c r="K49" s="15" t="n">
        <f aca="false">1/3</f>
        <v>0.333333333333333</v>
      </c>
      <c r="L49" s="1" t="n">
        <v>2</v>
      </c>
      <c r="M49" s="10" t="n">
        <f aca="false">O49-I49</f>
        <v>3155000</v>
      </c>
      <c r="N49" s="10" t="n">
        <f aca="false">IF(P49=1,0,VLOOKUP($P$1,'TTL NORMAL'!$A$2:$B$46,2,0)*(J49+L49)*P49)+IF(Q49=1,0,VLOOKUP($Q$1,'TTL NORMAL'!$A$2:$B$46,2,0)*(J49+L49)*Q49)+IF(R49=1,0,VLOOKUP($R$1,'TTL NORMAL'!$A$2:$B$46,2,0)*(J49+L49)*R49)+IF(S49=1,0,VLOOKUP($S$1,'TTL NORMAL'!$A$2:$B$46,2,0)*(J49+L49)*S49)+IF(T49=1,0,VLOOKUP($T$1,'TTL NORMAL'!$A$2:$B$46,2,0)*(J49+L49)*T49)+IF(U49=1,0,VLOOKUP($U$1,'TTL NORMAL'!$A$2:$B$46,2,0)*(J49+L49)*U49)+IF(V49=1,0,VLOOKUP($V$1,'TTL NORMAL'!$A$2:$B$46,2,0)*(J49+L49)*V49)+IF(W49=1,0,VLOOKUP($W$1,'TTL NORMAL'!$A$2:$B$46,2,0)*(J49+L49)*W49)+IF(X49=1,0,VLOOKUP($X$1,'TTL NORMAL'!$A$2:$B$46,2,0)*(J49+L49)*X49)+IF(Y49=1,0,VLOOKUP($Y$1,'TTL NORMAL'!$A$2:$B$46,2,0)*(J49+L49)*Y49)+IF(Z49=1,0,VLOOKUP($Z$1,'TTL NORMAL'!$A$2:$B$46,2,0)*(J49+L49)*Z49)+IF(AA49=1,0,VLOOKUP($AA$1,'TTL NORMAL'!$A$2:$B$46,2,0)*(J49+L49)*AA49)+IF(AB49=1,0,VLOOKUP($AB$1,'TTL NORMAL'!$A$2:$B$46,2,0)*(J49+L49)*AB49)+IF(AC49=1,0,VLOOKUP($AC$1,'TTL NORMAL'!$A$2:$B$46,2,0)*(J49+L49)*AC49)+IF(AD49=1,0,VLOOKUP($AD$1,'TTL NORMAL'!$A$2:$B$46,2,0)*(J49+L49)*AD49)+IF(AE49=1,0,VLOOKUP($AE$1,'TTL NORMAL'!$A$2:$B$46,2,0)*(J49+L49)*AE49)+IF(AF49=1,0,VLOOKUP($AF$1,'TTL NORMAL'!$A$2:$B$46,2,0)*(J49+L49)*AF49)+IF(AG49=1,0,VLOOKUP($AG$1,'TTL NORMAL'!$A$2:$B$46,2,0)*(J49+L49)*AG49)+IF(AH49=1,0,VLOOKUP($AH$1,'TTL NORMAL'!$A$2:$B$46,2,0)*(J49+L49)*AH49)+IF(AI49=1,0,VLOOKUP($AI$1,'TTL NORMAL'!$A$2:$B$46,2,0)*(J49+L49)*AI49)+IF(AJ49=1,0,VLOOKUP($AJ$1,'TTL NORMAL'!$A$2:$B$46,2,0)*(J49+L49)*AJ49)+IF(AK49=1,0,VLOOKUP($AK$1,'TTL NORMAL'!$A$2:$B$46,2,0)*(J49+L49)*AK49)+IF(AL49=1,0,VLOOKUP($AL$1,'TTL NORMAL'!$A$2:$B$46,2,0)*(J49+L49)*AL49)+IF(AM49=1,0,VLOOKUP($AM$1,'TTL NORMAL'!$A$2:$B$46,2,0)*(J49+L49)*AM49)+IF(AN49=1,0,VLOOKUP($AN$1,'TTL NORMAL'!$A$2:$B$46,2,0)*(J49+L49)*AN49)+IF(AO49=1,0,VLOOKUP($AO$1,'TTL NORMAL'!$A$2:$B$46,2,0)*(J49+L49)*AO49)+IF(AP49=1,0,VLOOKUP($AP$1,'TTL NORMAL'!$A$2:$B$46,2,0)*(J49+L49)*AP49)+IF(AQ49=1,0,VLOOKUP($AQ$1,'TTL NORMAL'!$A$2:$B$46,2,0)*(J49+L49)*AQ49)+IF(AR49=1,0,VLOOKUP($AR$1,'TTL NORMAL'!$A$2:$B$46,2,0)*(J49+L49)*AR49)+IF(AS49=1,0,VLOOKUP($AS$1,'TTL NORMAL'!$A$2:$B$46,2,0)*(J49+L49)*AS49)+IF(AT49=1,0,VLOOKUP($AT$1,'TTL NORMAL'!$A$2:$B$46,2,0)*(J49+L49)*AT49)+IF(AU49=1,0,VLOOKUP($AU$1,'TTL NORMAL'!$A$2:$B$46,2,0)*(J49+L49)*AU49)+IF(AV49=1,0,VLOOKUP($AV$1,'TTL NORMAL'!$A$2:$B$46,2,0)*(J49+L49)*AV49)+IF(AW49=1,0,VLOOKUP($AW$1,'TTL NORMAL'!$A$2:$B$46,2,0)*(J49+L49)*AW49)+IF(AX49=1,0,VLOOKUP($AX$1,'TTL NORMAL'!$A$2:$B$46,2,0)*(J49+L49)*AX49)+IF(AY49=1,0,VLOOKUP($AY$1,'TTL NORMAL'!$A$2:$B$46,2,0)*(J49+L49)*AY49)+IF(AZ49=1,0,VLOOKUP($AZ$1,'TTL NORMAL'!$A$2:$B$46,2,0)*(J49+L49)*AZ49)+IF(BA49=1,0,VLOOKUP($BA$1,'TTL NORMAL'!$A$2:$B$46,2,0)*(J49+L49)*BA49)+IF(BB49=1,0,VLOOKUP($BB$1,'TTL NORMAL'!$A$2:$B$46,2,0)*(J49+L49)*BB49)+IF(BC49=1,0,VLOOKUP($BC$1,'TTL NORMAL'!$A$2:$B$46,2,0)*(J49+L49)*BC49)+IF(BD49=1,0,VLOOKUP($BD$1,'TTL NORMAL'!$A$2:$B$46,2,0)*(J49+L49)*BD49)+IF(BE49=1,0,VLOOKUP($BE$1,'TTL NORMAL'!$A$2:$B$46,2,0)*(J49+L49)*BE49)+IF(BF49=1,0,VLOOKUP($BF$1,'TTL NORMAL'!$A$2:$B$46,2,0)*(J49+L49)*BF49)+IF(BG49=1,0,VLOOKUP($BG$1,'TTL NORMAL'!$A$2:$B$46,2,0)*(J49+L49)*BG49)+IF(BH49=1,0,VLOOKUP($BH$1,'TTL NORMAL'!$A$2:$B$46,2,0)*(J49+L49)*BH49)</f>
        <v>924724.492150031</v>
      </c>
      <c r="O49" s="5" t="n">
        <v>8408000</v>
      </c>
      <c r="P49" s="18" t="n">
        <v>1</v>
      </c>
      <c r="Q49" s="17" t="n">
        <v>1</v>
      </c>
      <c r="R49" s="17" t="n">
        <v>1</v>
      </c>
      <c r="S49" s="17" t="n">
        <v>1</v>
      </c>
      <c r="T49" s="17" t="n">
        <v>1</v>
      </c>
      <c r="U49" s="17" t="n">
        <v>1</v>
      </c>
      <c r="V49" s="17" t="n">
        <v>1</v>
      </c>
      <c r="W49" s="17" t="n">
        <v>1</v>
      </c>
      <c r="X49" s="17" t="n">
        <v>1.49496076435402</v>
      </c>
      <c r="Y49" s="17" t="n">
        <v>1.98992152870804</v>
      </c>
      <c r="Z49" s="17" t="n">
        <v>1</v>
      </c>
      <c r="AA49" s="17" t="n">
        <v>1.49496076435402</v>
      </c>
      <c r="AB49" s="17" t="n">
        <v>1</v>
      </c>
      <c r="AC49" s="17" t="n">
        <v>1</v>
      </c>
      <c r="AD49" s="17" t="n">
        <v>1</v>
      </c>
      <c r="AE49" s="17" t="n">
        <v>1</v>
      </c>
      <c r="AF49" s="17" t="n">
        <v>1.49496076435402</v>
      </c>
      <c r="AG49" s="17" t="n">
        <v>1.98992152870804</v>
      </c>
      <c r="AH49" s="17" t="n">
        <v>1.98992152870804</v>
      </c>
      <c r="AI49" s="17" t="n">
        <v>1.49496076435402</v>
      </c>
      <c r="AJ49" s="17" t="n">
        <v>1.49496076435402</v>
      </c>
      <c r="AK49" s="17" t="n">
        <v>1</v>
      </c>
      <c r="AL49" s="17" t="n">
        <v>1.98992152870804</v>
      </c>
      <c r="AM49" s="17" t="n">
        <v>1.98992152870804</v>
      </c>
      <c r="AN49" s="17" t="n">
        <v>1.49496076435402</v>
      </c>
      <c r="AO49" s="17" t="n">
        <v>1.49496076435402</v>
      </c>
      <c r="AP49" s="17" t="n">
        <v>1.49496076435402</v>
      </c>
      <c r="AQ49" s="17" t="n">
        <v>1</v>
      </c>
      <c r="AR49" s="17" t="n">
        <v>1</v>
      </c>
      <c r="AS49" s="17" t="n">
        <v>1</v>
      </c>
      <c r="AT49" s="17" t="n">
        <v>1</v>
      </c>
      <c r="AU49" s="17" t="n">
        <v>1</v>
      </c>
      <c r="AV49" s="17" t="n">
        <v>1.49496076435402</v>
      </c>
      <c r="AW49" s="17" t="n">
        <v>1.49496076435402</v>
      </c>
      <c r="AX49" s="17" t="n">
        <v>1</v>
      </c>
      <c r="AY49" s="17" t="n">
        <v>1</v>
      </c>
      <c r="AZ49" s="17" t="n">
        <v>1</v>
      </c>
      <c r="BA49" s="17" t="n">
        <v>1</v>
      </c>
      <c r="BB49" s="17" t="n">
        <v>1</v>
      </c>
      <c r="BC49" s="17" t="n">
        <v>1</v>
      </c>
      <c r="BD49" s="17" t="n">
        <v>1</v>
      </c>
      <c r="BE49" s="17" t="n">
        <v>1</v>
      </c>
      <c r="BF49" s="17" t="n">
        <v>1.49496076435402</v>
      </c>
      <c r="BG49" s="17" t="n">
        <v>1.49496076435402</v>
      </c>
      <c r="BH49" s="17" t="n">
        <v>1</v>
      </c>
      <c r="BI49" s="17"/>
      <c r="BJ49" s="17"/>
    </row>
    <row r="50" customFormat="false" ht="15" hidden="false" customHeight="false" outlineLevel="0" collapsed="false">
      <c r="A50" s="2" t="n">
        <v>23</v>
      </c>
      <c r="B50" s="0" t="s">
        <v>74</v>
      </c>
      <c r="C50" s="0" t="n">
        <v>1</v>
      </c>
      <c r="D50" s="0" t="s">
        <v>112</v>
      </c>
      <c r="E50" s="0" t="str">
        <f aca="false">CONCATENATE("Als onderdeel van het programma 'Netwerk op zijn Best' omvat dit groot onderhoudsproject op de ",B50," een rijbaanverbreding van 3 naar 4 rijstroken op het knooppunt tussen de ",B50," en de M3.")</f>
        <v>Als onderdeel van het programma 'Netwerk op zijn Best' omvat dit groot onderhoudsproject op de B13-B een rijbaanverbreding van 3 naar 4 rijstroken op het knooppunt tussen de B13-B en de M3.</v>
      </c>
      <c r="F50" s="13" t="s">
        <v>113</v>
      </c>
      <c r="G50" s="1" t="s">
        <v>122</v>
      </c>
      <c r="H50" s="1" t="n">
        <v>3040</v>
      </c>
      <c r="I50" s="14" t="n">
        <v>4618500</v>
      </c>
      <c r="J50" s="1" t="n">
        <v>14.3</v>
      </c>
      <c r="K50" s="15" t="n">
        <f aca="false">1/3</f>
        <v>0.333333333333333</v>
      </c>
      <c r="L50" s="1" t="n">
        <v>2</v>
      </c>
      <c r="M50" s="10" t="n">
        <f aca="false">O50-I50</f>
        <v>2103500</v>
      </c>
      <c r="N50" s="10" t="n">
        <f aca="false">IF(P50=1,0,VLOOKUP($P$1,'TTL NORMAL'!$A$2:$B$46,2,0)*(J50+L50)*P50)+IF(Q50=1,0,VLOOKUP($Q$1,'TTL NORMAL'!$A$2:$B$46,2,0)*(J50+L50)*Q50)+IF(R50=1,0,VLOOKUP($R$1,'TTL NORMAL'!$A$2:$B$46,2,0)*(J50+L50)*R50)+IF(S50=1,0,VLOOKUP($S$1,'TTL NORMAL'!$A$2:$B$46,2,0)*(J50+L50)*S50)+IF(T50=1,0,VLOOKUP($T$1,'TTL NORMAL'!$A$2:$B$46,2,0)*(J50+L50)*T50)+IF(U50=1,0,VLOOKUP($U$1,'TTL NORMAL'!$A$2:$B$46,2,0)*(J50+L50)*U50)+IF(V50=1,0,VLOOKUP($V$1,'TTL NORMAL'!$A$2:$B$46,2,0)*(J50+L50)*V50)+IF(W50=1,0,VLOOKUP($W$1,'TTL NORMAL'!$A$2:$B$46,2,0)*(J50+L50)*W50)+IF(X50=1,0,VLOOKUP($X$1,'TTL NORMAL'!$A$2:$B$46,2,0)*(J50+L50)*X50)+IF(Y50=1,0,VLOOKUP($Y$1,'TTL NORMAL'!$A$2:$B$46,2,0)*(J50+L50)*Y50)+IF(Z50=1,0,VLOOKUP($Z$1,'TTL NORMAL'!$A$2:$B$46,2,0)*(J50+L50)*Z50)+IF(AA50=1,0,VLOOKUP($AA$1,'TTL NORMAL'!$A$2:$B$46,2,0)*(J50+L50)*AA50)+IF(AB50=1,0,VLOOKUP($AB$1,'TTL NORMAL'!$A$2:$B$46,2,0)*(J50+L50)*AB50)+IF(AC50=1,0,VLOOKUP($AC$1,'TTL NORMAL'!$A$2:$B$46,2,0)*(J50+L50)*AC50)+IF(AD50=1,0,VLOOKUP($AD$1,'TTL NORMAL'!$A$2:$B$46,2,0)*(J50+L50)*AD50)+IF(AE50=1,0,VLOOKUP($AE$1,'TTL NORMAL'!$A$2:$B$46,2,0)*(J50+L50)*AE50)+IF(AF50=1,0,VLOOKUP($AF$1,'TTL NORMAL'!$A$2:$B$46,2,0)*(J50+L50)*AF50)+IF(AG50=1,0,VLOOKUP($AG$1,'TTL NORMAL'!$A$2:$B$46,2,0)*(J50+L50)*AG50)+IF(AH50=1,0,VLOOKUP($AH$1,'TTL NORMAL'!$A$2:$B$46,2,0)*(J50+L50)*AH50)+IF(AI50=1,0,VLOOKUP($AI$1,'TTL NORMAL'!$A$2:$B$46,2,0)*(J50+L50)*AI50)+IF(AJ50=1,0,VLOOKUP($AJ$1,'TTL NORMAL'!$A$2:$B$46,2,0)*(J50+L50)*AJ50)+IF(AK50=1,0,VLOOKUP($AK$1,'TTL NORMAL'!$A$2:$B$46,2,0)*(J50+L50)*AK50)+IF(AL50=1,0,VLOOKUP($AL$1,'TTL NORMAL'!$A$2:$B$46,2,0)*(J50+L50)*AL50)+IF(AM50=1,0,VLOOKUP($AM$1,'TTL NORMAL'!$A$2:$B$46,2,0)*(J50+L50)*AM50)+IF(AN50=1,0,VLOOKUP($AN$1,'TTL NORMAL'!$A$2:$B$46,2,0)*(J50+L50)*AN50)+IF(AO50=1,0,VLOOKUP($AO$1,'TTL NORMAL'!$A$2:$B$46,2,0)*(J50+L50)*AO50)+IF(AP50=1,0,VLOOKUP($AP$1,'TTL NORMAL'!$A$2:$B$46,2,0)*(J50+L50)*AP50)+IF(AQ50=1,0,VLOOKUP($AQ$1,'TTL NORMAL'!$A$2:$B$46,2,0)*(J50+L50)*AQ50)+IF(AR50=1,0,VLOOKUP($AR$1,'TTL NORMAL'!$A$2:$B$46,2,0)*(J50+L50)*AR50)+IF(AS50=1,0,VLOOKUP($AS$1,'TTL NORMAL'!$A$2:$B$46,2,0)*(J50+L50)*AS50)+IF(AT50=1,0,VLOOKUP($AT$1,'TTL NORMAL'!$A$2:$B$46,2,0)*(J50+L50)*AT50)+IF(AU50=1,0,VLOOKUP($AU$1,'TTL NORMAL'!$A$2:$B$46,2,0)*(J50+L50)*AU50)+IF(AV50=1,0,VLOOKUP($AV$1,'TTL NORMAL'!$A$2:$B$46,2,0)*(J50+L50)*AV50)+IF(AW50=1,0,VLOOKUP($AW$1,'TTL NORMAL'!$A$2:$B$46,2,0)*(J50+L50)*AW50)+IF(AX50=1,0,VLOOKUP($AX$1,'TTL NORMAL'!$A$2:$B$46,2,0)*(J50+L50)*AX50)+IF(AY50=1,0,VLOOKUP($AY$1,'TTL NORMAL'!$A$2:$B$46,2,0)*(J50+L50)*AY50)+IF(AZ50=1,0,VLOOKUP($AZ$1,'TTL NORMAL'!$A$2:$B$46,2,0)*(J50+L50)*AZ50)+IF(BA50=1,0,VLOOKUP($BA$1,'TTL NORMAL'!$A$2:$B$46,2,0)*(J50+L50)*BA50)+IF(BB50=1,0,VLOOKUP($BB$1,'TTL NORMAL'!$A$2:$B$46,2,0)*(J50+L50)*BB50)+IF(BC50=1,0,VLOOKUP($BC$1,'TTL NORMAL'!$A$2:$B$46,2,0)*(J50+L50)*BC50)+IF(BD50=1,0,VLOOKUP($BD$1,'TTL NORMAL'!$A$2:$B$46,2,0)*(J50+L50)*BD50)+IF(BE50=1,0,VLOOKUP($BE$1,'TTL NORMAL'!$A$2:$B$46,2,0)*(J50+L50)*BE50)+IF(BF50=1,0,VLOOKUP($BF$1,'TTL NORMAL'!$A$2:$B$46,2,0)*(J50+L50)*BF50)+IF(BG50=1,0,VLOOKUP($BG$1,'TTL NORMAL'!$A$2:$B$46,2,0)*(J50+L50)*BG50)+IF(BH50=1,0,VLOOKUP($BH$1,'TTL NORMAL'!$A$2:$B$46,2,0)*(J50+L50)*BH50)</f>
        <v>2144916.04188908</v>
      </c>
      <c r="O50" s="5" t="n">
        <v>6722000</v>
      </c>
      <c r="P50" s="18" t="n">
        <v>1</v>
      </c>
      <c r="Q50" s="17" t="n">
        <v>1</v>
      </c>
      <c r="R50" s="17" t="n">
        <v>1.31415190780744</v>
      </c>
      <c r="S50" s="17" t="n">
        <v>1.31415190780744</v>
      </c>
      <c r="T50" s="17" t="n">
        <v>1</v>
      </c>
      <c r="U50" s="17" t="n">
        <v>1</v>
      </c>
      <c r="V50" s="17" t="n">
        <v>1</v>
      </c>
      <c r="W50" s="17" t="n">
        <v>1</v>
      </c>
      <c r="X50" s="17" t="n">
        <v>1</v>
      </c>
      <c r="Y50" s="17" t="n">
        <v>1.31415190780744</v>
      </c>
      <c r="Z50" s="17" t="n">
        <v>1</v>
      </c>
      <c r="AA50" s="17" t="n">
        <v>1.31415190780744</v>
      </c>
      <c r="AB50" s="17" t="n">
        <v>1</v>
      </c>
      <c r="AC50" s="17" t="n">
        <v>1.31415190780744</v>
      </c>
      <c r="AD50" s="17" t="n">
        <v>1</v>
      </c>
      <c r="AE50" s="17" t="n">
        <v>1</v>
      </c>
      <c r="AF50" s="17" t="n">
        <v>1.31415190780744</v>
      </c>
      <c r="AG50" s="17" t="n">
        <v>1.62830381561489</v>
      </c>
      <c r="AH50" s="17" t="n">
        <v>1.62830381561489</v>
      </c>
      <c r="AI50" s="17" t="n">
        <v>1.31415190780744</v>
      </c>
      <c r="AJ50" s="17" t="n">
        <v>1.31415190780744</v>
      </c>
      <c r="AK50" s="17" t="n">
        <v>1</v>
      </c>
      <c r="AL50" s="17" t="n">
        <v>1.62830381561489</v>
      </c>
      <c r="AM50" s="17" t="n">
        <v>1</v>
      </c>
      <c r="AN50" s="17" t="n">
        <v>1.62830381561489</v>
      </c>
      <c r="AO50" s="17" t="n">
        <v>1.62830381561489</v>
      </c>
      <c r="AP50" s="17" t="n">
        <v>1.62830381561489</v>
      </c>
      <c r="AQ50" s="17" t="n">
        <v>1.31415190780744</v>
      </c>
      <c r="AR50" s="17" t="n">
        <v>1.31415190780744</v>
      </c>
      <c r="AS50" s="17" t="n">
        <v>1.31415190780744</v>
      </c>
      <c r="AT50" s="17" t="n">
        <v>1</v>
      </c>
      <c r="AU50" s="17" t="n">
        <v>1</v>
      </c>
      <c r="AV50" s="17" t="n">
        <v>1</v>
      </c>
      <c r="AW50" s="17" t="n">
        <v>1</v>
      </c>
      <c r="AX50" s="17" t="n">
        <v>1</v>
      </c>
      <c r="AY50" s="17" t="n">
        <v>1</v>
      </c>
      <c r="AZ50" s="17" t="n">
        <v>1</v>
      </c>
      <c r="BA50" s="17" t="n">
        <v>1</v>
      </c>
      <c r="BB50" s="17" t="n">
        <v>1</v>
      </c>
      <c r="BC50" s="17" t="n">
        <v>1</v>
      </c>
      <c r="BD50" s="17" t="n">
        <v>1</v>
      </c>
      <c r="BE50" s="17" t="n">
        <v>1</v>
      </c>
      <c r="BF50" s="17" t="n">
        <v>1.31415190780744</v>
      </c>
      <c r="BG50" s="17" t="n">
        <v>1.62830381561489</v>
      </c>
      <c r="BH50" s="17" t="n">
        <v>1.31415190780744</v>
      </c>
      <c r="BI50" s="17"/>
      <c r="BJ50" s="18"/>
    </row>
    <row r="51" customFormat="false" ht="15" hidden="false" customHeight="false" outlineLevel="0" collapsed="false">
      <c r="A51" s="2" t="n">
        <v>23</v>
      </c>
      <c r="B51" s="0" t="s">
        <v>74</v>
      </c>
      <c r="C51" s="0" t="n">
        <v>2</v>
      </c>
      <c r="D51" s="0" t="s">
        <v>115</v>
      </c>
      <c r="E51" s="0" t="str">
        <f aca="false">CONCATENATE("Als onderdeel van het programma 'Netwerk op zijn Best' omvat dit groot onderhoudsproject op de ",B51," een rijbaanverbreding van 3 naar 4 rijstroken op het knooppunt tussen de ",B51," en de M3.")</f>
        <v>Als onderdeel van het programma 'Netwerk op zijn Best' omvat dit groot onderhoudsproject op de B13-B een rijbaanverbreding van 3 naar 4 rijstroken op het knooppunt tussen de B13-B en de M3.</v>
      </c>
      <c r="F51" s="13" t="s">
        <v>116</v>
      </c>
      <c r="G51" s="1" t="s">
        <v>122</v>
      </c>
      <c r="H51" s="1" t="n">
        <v>4560</v>
      </c>
      <c r="I51" s="14" t="n">
        <v>2938500</v>
      </c>
      <c r="J51" s="1" t="n">
        <v>13</v>
      </c>
      <c r="K51" s="15" t="n">
        <f aca="false">1/3</f>
        <v>0.333333333333333</v>
      </c>
      <c r="L51" s="1" t="n">
        <v>4</v>
      </c>
      <c r="M51" s="10" t="n">
        <f aca="false">O51-I51</f>
        <v>3783500</v>
      </c>
      <c r="N51" s="10" t="n">
        <f aca="false">IF(P51=1,0,VLOOKUP($P$1,'TTL NORMAL'!$A$2:$B$46,2,0)*(J51+L51)*P51)+IF(Q51=1,0,VLOOKUP($Q$1,'TTL NORMAL'!$A$2:$B$46,2,0)*(J51+L51)*Q51)+IF(R51=1,0,VLOOKUP($R$1,'TTL NORMAL'!$A$2:$B$46,2,0)*(J51+L51)*R51)+IF(S51=1,0,VLOOKUP($S$1,'TTL NORMAL'!$A$2:$B$46,2,0)*(J51+L51)*S51)+IF(T51=1,0,VLOOKUP($T$1,'TTL NORMAL'!$A$2:$B$46,2,0)*(J51+L51)*T51)+IF(U51=1,0,VLOOKUP($U$1,'TTL NORMAL'!$A$2:$B$46,2,0)*(J51+L51)*U51)+IF(V51=1,0,VLOOKUP($V$1,'TTL NORMAL'!$A$2:$B$46,2,0)*(J51+L51)*V51)+IF(W51=1,0,VLOOKUP($W$1,'TTL NORMAL'!$A$2:$B$46,2,0)*(J51+L51)*W51)+IF(X51=1,0,VLOOKUP($X$1,'TTL NORMAL'!$A$2:$B$46,2,0)*(J51+L51)*X51)+IF(Y51=1,0,VLOOKUP($Y$1,'TTL NORMAL'!$A$2:$B$46,2,0)*(J51+L51)*Y51)+IF(Z51=1,0,VLOOKUP($Z$1,'TTL NORMAL'!$A$2:$B$46,2,0)*(J51+L51)*Z51)+IF(AA51=1,0,VLOOKUP($AA$1,'TTL NORMAL'!$A$2:$B$46,2,0)*(J51+L51)*AA51)+IF(AB51=1,0,VLOOKUP($AB$1,'TTL NORMAL'!$A$2:$B$46,2,0)*(J51+L51)*AB51)+IF(AC51=1,0,VLOOKUP($AC$1,'TTL NORMAL'!$A$2:$B$46,2,0)*(J51+L51)*AC51)+IF(AD51=1,0,VLOOKUP($AD$1,'TTL NORMAL'!$A$2:$B$46,2,0)*(J51+L51)*AD51)+IF(AE51=1,0,VLOOKUP($AE$1,'TTL NORMAL'!$A$2:$B$46,2,0)*(J51+L51)*AE51)+IF(AF51=1,0,VLOOKUP($AF$1,'TTL NORMAL'!$A$2:$B$46,2,0)*(J51+L51)*AF51)+IF(AG51=1,0,VLOOKUP($AG$1,'TTL NORMAL'!$A$2:$B$46,2,0)*(J51+L51)*AG51)+IF(AH51=1,0,VLOOKUP($AH$1,'TTL NORMAL'!$A$2:$B$46,2,0)*(J51+L51)*AH51)+IF(AI51=1,0,VLOOKUP($AI$1,'TTL NORMAL'!$A$2:$B$46,2,0)*(J51+L51)*AI51)+IF(AJ51=1,0,VLOOKUP($AJ$1,'TTL NORMAL'!$A$2:$B$46,2,0)*(J51+L51)*AJ51)+IF(AK51=1,0,VLOOKUP($AK$1,'TTL NORMAL'!$A$2:$B$46,2,0)*(J51+L51)*AK51)+IF(AL51=1,0,VLOOKUP($AL$1,'TTL NORMAL'!$A$2:$B$46,2,0)*(J51+L51)*AL51)+IF(AM51=1,0,VLOOKUP($AM$1,'TTL NORMAL'!$A$2:$B$46,2,0)*(J51+L51)*AM51)+IF(AN51=1,0,VLOOKUP($AN$1,'TTL NORMAL'!$A$2:$B$46,2,0)*(J51+L51)*AN51)+IF(AO51=1,0,VLOOKUP($AO$1,'TTL NORMAL'!$A$2:$B$46,2,0)*(J51+L51)*AO51)+IF(AP51=1,0,VLOOKUP($AP$1,'TTL NORMAL'!$A$2:$B$46,2,0)*(J51+L51)*AP51)+IF(AQ51=1,0,VLOOKUP($AQ$1,'TTL NORMAL'!$A$2:$B$46,2,0)*(J51+L51)*AQ51)+IF(AR51=1,0,VLOOKUP($AR$1,'TTL NORMAL'!$A$2:$B$46,2,0)*(J51+L51)*AR51)+IF(AS51=1,0,VLOOKUP($AS$1,'TTL NORMAL'!$A$2:$B$46,2,0)*(J51+L51)*AS51)+IF(AT51=1,0,VLOOKUP($AT$1,'TTL NORMAL'!$A$2:$B$46,2,0)*(J51+L51)*AT51)+IF(AU51=1,0,VLOOKUP($AU$1,'TTL NORMAL'!$A$2:$B$46,2,0)*(J51+L51)*AU51)+IF(AV51=1,0,VLOOKUP($AV$1,'TTL NORMAL'!$A$2:$B$46,2,0)*(J51+L51)*AV51)+IF(AW51=1,0,VLOOKUP($AW$1,'TTL NORMAL'!$A$2:$B$46,2,0)*(J51+L51)*AW51)+IF(AX51=1,0,VLOOKUP($AX$1,'TTL NORMAL'!$A$2:$B$46,2,0)*(J51+L51)*AX51)+IF(AY51=1,0,VLOOKUP($AY$1,'TTL NORMAL'!$A$2:$B$46,2,0)*(J51+L51)*AY51)+IF(AZ51=1,0,VLOOKUP($AZ$1,'TTL NORMAL'!$A$2:$B$46,2,0)*(J51+L51)*AZ51)+IF(BA51=1,0,VLOOKUP($BA$1,'TTL NORMAL'!$A$2:$B$46,2,0)*(J51+L51)*BA51)+IF(BB51=1,0,VLOOKUP($BB$1,'TTL NORMAL'!$A$2:$B$46,2,0)*(J51+L51)*BB51)+IF(BC51=1,0,VLOOKUP($BC$1,'TTL NORMAL'!$A$2:$B$46,2,0)*(J51+L51)*BC51)+IF(BD51=1,0,VLOOKUP($BD$1,'TTL NORMAL'!$A$2:$B$46,2,0)*(J51+L51)*BD51)+IF(BE51=1,0,VLOOKUP($BE$1,'TTL NORMAL'!$A$2:$B$46,2,0)*(J51+L51)*BE51)+IF(BF51=1,0,VLOOKUP($BF$1,'TTL NORMAL'!$A$2:$B$46,2,0)*(J51+L51)*BF51)+IF(BG51=1,0,VLOOKUP($BG$1,'TTL NORMAL'!$A$2:$B$46,2,0)*(J51+L51)*BG51)+IF(BH51=1,0,VLOOKUP($BH$1,'TTL NORMAL'!$A$2:$B$46,2,0)*(J51+L51)*BH51)</f>
        <v>2645680.49907169</v>
      </c>
      <c r="O51" s="5" t="n">
        <v>6722000</v>
      </c>
      <c r="P51" s="18" t="n">
        <v>1</v>
      </c>
      <c r="Q51" s="17" t="n">
        <v>1</v>
      </c>
      <c r="R51" s="17" t="n">
        <v>1.47122786171116</v>
      </c>
      <c r="S51" s="17" t="n">
        <v>1.47122786171116</v>
      </c>
      <c r="T51" s="17" t="n">
        <v>1</v>
      </c>
      <c r="U51" s="17" t="n">
        <v>1</v>
      </c>
      <c r="V51" s="17" t="n">
        <v>1</v>
      </c>
      <c r="W51" s="17" t="n">
        <v>1</v>
      </c>
      <c r="X51" s="17" t="n">
        <v>1</v>
      </c>
      <c r="Y51" s="17" t="n">
        <v>1.47122786171116</v>
      </c>
      <c r="Z51" s="17" t="n">
        <v>1</v>
      </c>
      <c r="AA51" s="17" t="n">
        <v>1.47122786171116</v>
      </c>
      <c r="AB51" s="17" t="n">
        <v>1</v>
      </c>
      <c r="AC51" s="17" t="n">
        <v>1.47122786171116</v>
      </c>
      <c r="AD51" s="17" t="n">
        <v>1</v>
      </c>
      <c r="AE51" s="17" t="n">
        <v>1</v>
      </c>
      <c r="AF51" s="17" t="n">
        <v>1.47122786171116</v>
      </c>
      <c r="AG51" s="17" t="n">
        <v>1.94245572342233</v>
      </c>
      <c r="AH51" s="17" t="n">
        <v>1.94245572342233</v>
      </c>
      <c r="AI51" s="17" t="n">
        <v>1.47122786171116</v>
      </c>
      <c r="AJ51" s="17" t="n">
        <v>1.47122786171116</v>
      </c>
      <c r="AK51" s="17" t="n">
        <v>1</v>
      </c>
      <c r="AL51" s="17" t="n">
        <v>1.94245572342233</v>
      </c>
      <c r="AM51" s="17" t="n">
        <v>1.94245572342233</v>
      </c>
      <c r="AN51" s="17" t="n">
        <v>1.94245572342233</v>
      </c>
      <c r="AO51" s="17" t="n">
        <v>1.94245572342233</v>
      </c>
      <c r="AP51" s="17" t="n">
        <v>1.94245572342233</v>
      </c>
      <c r="AQ51" s="17" t="n">
        <v>1.47122786171116</v>
      </c>
      <c r="AR51" s="17" t="n">
        <v>1.47122786171116</v>
      </c>
      <c r="AS51" s="17" t="n">
        <v>1.47122786171116</v>
      </c>
      <c r="AT51" s="17" t="n">
        <v>1</v>
      </c>
      <c r="AU51" s="17" t="n">
        <v>1</v>
      </c>
      <c r="AV51" s="17" t="n">
        <v>1</v>
      </c>
      <c r="AW51" s="17" t="n">
        <v>1</v>
      </c>
      <c r="AX51" s="17" t="n">
        <v>1</v>
      </c>
      <c r="AY51" s="17" t="n">
        <v>1</v>
      </c>
      <c r="AZ51" s="17" t="n">
        <v>1</v>
      </c>
      <c r="BA51" s="17" t="n">
        <v>1</v>
      </c>
      <c r="BB51" s="17" t="n">
        <v>1</v>
      </c>
      <c r="BC51" s="17" t="n">
        <v>1</v>
      </c>
      <c r="BD51" s="17" t="n">
        <v>1</v>
      </c>
      <c r="BE51" s="17" t="n">
        <v>1</v>
      </c>
      <c r="BF51" s="17" t="n">
        <v>1.47122786171116</v>
      </c>
      <c r="BG51" s="17" t="n">
        <v>1.94245572342233</v>
      </c>
      <c r="BH51" s="17" t="n">
        <v>1.47122786171116</v>
      </c>
      <c r="BI51" s="17"/>
      <c r="BJ51" s="18"/>
    </row>
    <row r="52" customFormat="false" ht="15" hidden="false" customHeight="false" outlineLevel="0" collapsed="false">
      <c r="A52" s="2" t="n">
        <v>23</v>
      </c>
      <c r="B52" s="0" t="s">
        <v>74</v>
      </c>
      <c r="C52" s="0" t="n">
        <v>3</v>
      </c>
      <c r="D52" s="0" t="s">
        <v>117</v>
      </c>
      <c r="E52" s="0" t="str">
        <f aca="false">CONCATENATE("Als onderdeel van het programma 'Netwerk op zijn Best' omvat dit groot onderhoudsproject op de ",B52," een rijbaanverbreding van 3 naar 4 rijstroken op het knooppunt tussen de ",B52," en de M3.")</f>
        <v>Als onderdeel van het programma 'Netwerk op zijn Best' omvat dit groot onderhoudsproject op de B13-B een rijbaanverbreding van 3 naar 4 rijstroken op het knooppunt tussen de B13-B en de M3.</v>
      </c>
      <c r="F52" s="13" t="s">
        <v>118</v>
      </c>
      <c r="G52" s="1" t="s">
        <v>122</v>
      </c>
      <c r="H52" s="1" t="n">
        <v>3800</v>
      </c>
      <c r="I52" s="14" t="n">
        <v>4618350</v>
      </c>
      <c r="J52" s="1" t="n">
        <v>13</v>
      </c>
      <c r="K52" s="15" t="n">
        <f aca="false">1/3</f>
        <v>0.333333333333333</v>
      </c>
      <c r="L52" s="1" t="n">
        <v>0</v>
      </c>
      <c r="M52" s="10" t="n">
        <f aca="false">O52-I52</f>
        <v>2103650</v>
      </c>
      <c r="N52" s="10" t="n">
        <f aca="false">IF(P52=1,0,VLOOKUP($P$1,'TTL NORMAL'!$A$2:$B$46,2,0)*(J52+L52)*P52)+IF(Q52=1,0,VLOOKUP($Q$1,'TTL NORMAL'!$A$2:$B$46,2,0)*(J52+L52)*Q52)+IF(R52=1,0,VLOOKUP($R$1,'TTL NORMAL'!$A$2:$B$46,2,0)*(J52+L52)*R52)+IF(S52=1,0,VLOOKUP($S$1,'TTL NORMAL'!$A$2:$B$46,2,0)*(J52+L52)*S52)+IF(T52=1,0,VLOOKUP($T$1,'TTL NORMAL'!$A$2:$B$46,2,0)*(J52+L52)*T52)+IF(U52=1,0,VLOOKUP($U$1,'TTL NORMAL'!$A$2:$B$46,2,0)*(J52+L52)*U52)+IF(V52=1,0,VLOOKUP($V$1,'TTL NORMAL'!$A$2:$B$46,2,0)*(J52+L52)*V52)+IF(W52=1,0,VLOOKUP($W$1,'TTL NORMAL'!$A$2:$B$46,2,0)*(J52+L52)*W52)+IF(X52=1,0,VLOOKUP($X$1,'TTL NORMAL'!$A$2:$B$46,2,0)*(J52+L52)*X52)+IF(Y52=1,0,VLOOKUP($Y$1,'TTL NORMAL'!$A$2:$B$46,2,0)*(J52+L52)*Y52)+IF(Z52=1,0,VLOOKUP($Z$1,'TTL NORMAL'!$A$2:$B$46,2,0)*(J52+L52)*Z52)+IF(AA52=1,0,VLOOKUP($AA$1,'TTL NORMAL'!$A$2:$B$46,2,0)*(J52+L52)*AA52)+IF(AB52=1,0,VLOOKUP($AB$1,'TTL NORMAL'!$A$2:$B$46,2,0)*(J52+L52)*AB52)+IF(AC52=1,0,VLOOKUP($AC$1,'TTL NORMAL'!$A$2:$B$46,2,0)*(J52+L52)*AC52)+IF(AD52=1,0,VLOOKUP($AD$1,'TTL NORMAL'!$A$2:$B$46,2,0)*(J52+L52)*AD52)+IF(AE52=1,0,VLOOKUP($AE$1,'TTL NORMAL'!$A$2:$B$46,2,0)*(J52+L52)*AE52)+IF(AF52=1,0,VLOOKUP($AF$1,'TTL NORMAL'!$A$2:$B$46,2,0)*(J52+L52)*AF52)+IF(AG52=1,0,VLOOKUP($AG$1,'TTL NORMAL'!$A$2:$B$46,2,0)*(J52+L52)*AG52)+IF(AH52=1,0,VLOOKUP($AH$1,'TTL NORMAL'!$A$2:$B$46,2,0)*(J52+L52)*AH52)+IF(AI52=1,0,VLOOKUP($AI$1,'TTL NORMAL'!$A$2:$B$46,2,0)*(J52+L52)*AI52)+IF(AJ52=1,0,VLOOKUP($AJ$1,'TTL NORMAL'!$A$2:$B$46,2,0)*(J52+L52)*AJ52)+IF(AK52=1,0,VLOOKUP($AK$1,'TTL NORMAL'!$A$2:$B$46,2,0)*(J52+L52)*AK52)+IF(AL52=1,0,VLOOKUP($AL$1,'TTL NORMAL'!$A$2:$B$46,2,0)*(J52+L52)*AL52)+IF(AM52=1,0,VLOOKUP($AM$1,'TTL NORMAL'!$A$2:$B$46,2,0)*(J52+L52)*AM52)+IF(AN52=1,0,VLOOKUP($AN$1,'TTL NORMAL'!$A$2:$B$46,2,0)*(J52+L52)*AN52)+IF(AO52=1,0,VLOOKUP($AO$1,'TTL NORMAL'!$A$2:$B$46,2,0)*(J52+L52)*AO52)+IF(AP52=1,0,VLOOKUP($AP$1,'TTL NORMAL'!$A$2:$B$46,2,0)*(J52+L52)*AP52)+IF(AQ52=1,0,VLOOKUP($AQ$1,'TTL NORMAL'!$A$2:$B$46,2,0)*(J52+L52)*AQ52)+IF(AR52=1,0,VLOOKUP($AR$1,'TTL NORMAL'!$A$2:$B$46,2,0)*(J52+L52)*AR52)+IF(AS52=1,0,VLOOKUP($AS$1,'TTL NORMAL'!$A$2:$B$46,2,0)*(J52+L52)*AS52)+IF(AT52=1,0,VLOOKUP($AT$1,'TTL NORMAL'!$A$2:$B$46,2,0)*(J52+L52)*AT52)+IF(AU52=1,0,VLOOKUP($AU$1,'TTL NORMAL'!$A$2:$B$46,2,0)*(J52+L52)*AU52)+IF(AV52=1,0,VLOOKUP($AV$1,'TTL NORMAL'!$A$2:$B$46,2,0)*(J52+L52)*AV52)+IF(AW52=1,0,VLOOKUP($AW$1,'TTL NORMAL'!$A$2:$B$46,2,0)*(J52+L52)*AW52)+IF(AX52=1,0,VLOOKUP($AX$1,'TTL NORMAL'!$A$2:$B$46,2,0)*(J52+L52)*AX52)+IF(AY52=1,0,VLOOKUP($AY$1,'TTL NORMAL'!$A$2:$B$46,2,0)*(J52+L52)*AY52)+IF(AZ52=1,0,VLOOKUP($AZ$1,'TTL NORMAL'!$A$2:$B$46,2,0)*(J52+L52)*AZ52)+IF(BA52=1,0,VLOOKUP($BA$1,'TTL NORMAL'!$A$2:$B$46,2,0)*(J52+L52)*BA52)+IF(BB52=1,0,VLOOKUP($BB$1,'TTL NORMAL'!$A$2:$B$46,2,0)*(J52+L52)*BB52)+IF(BC52=1,0,VLOOKUP($BC$1,'TTL NORMAL'!$A$2:$B$46,2,0)*(J52+L52)*BC52)+IF(BD52=1,0,VLOOKUP($BD$1,'TTL NORMAL'!$A$2:$B$46,2,0)*(J52+L52)*BD52)+IF(BE52=1,0,VLOOKUP($BE$1,'TTL NORMAL'!$A$2:$B$46,2,0)*(J52+L52)*BE52)+IF(BF52=1,0,VLOOKUP($BF$1,'TTL NORMAL'!$A$2:$B$46,2,0)*(J52+L52)*BF52)+IF(BG52=1,0,VLOOKUP($BG$1,'TTL NORMAL'!$A$2:$B$46,2,0)*(J52+L52)*BG52)+IF(BH52=1,0,VLOOKUP($BH$1,'TTL NORMAL'!$A$2:$B$46,2,0)*(J52+L52)*BH52)</f>
        <v>1881530.17982221</v>
      </c>
      <c r="O52" s="10" t="n">
        <v>6722000</v>
      </c>
      <c r="P52" s="18" t="n">
        <v>1</v>
      </c>
      <c r="Q52" s="17" t="n">
        <v>1</v>
      </c>
      <c r="R52" s="17" t="n">
        <v>1.3926898847593</v>
      </c>
      <c r="S52" s="17" t="n">
        <v>1.3926898847593</v>
      </c>
      <c r="T52" s="17" t="n">
        <v>1</v>
      </c>
      <c r="U52" s="17" t="n">
        <v>1</v>
      </c>
      <c r="V52" s="17" t="n">
        <v>1</v>
      </c>
      <c r="W52" s="17" t="n">
        <v>1</v>
      </c>
      <c r="X52" s="17" t="n">
        <v>1</v>
      </c>
      <c r="Y52" s="17" t="n">
        <v>1.3926898847593</v>
      </c>
      <c r="Z52" s="17" t="n">
        <v>1</v>
      </c>
      <c r="AA52" s="17" t="n">
        <v>1.3926898847593</v>
      </c>
      <c r="AB52" s="17" t="n">
        <v>1</v>
      </c>
      <c r="AC52" s="17" t="n">
        <v>1.3926898847593</v>
      </c>
      <c r="AD52" s="17" t="n">
        <v>1</v>
      </c>
      <c r="AE52" s="17" t="n">
        <v>1</v>
      </c>
      <c r="AF52" s="17" t="n">
        <v>1.3926898847593</v>
      </c>
      <c r="AG52" s="17" t="n">
        <v>1.78537976951861</v>
      </c>
      <c r="AH52" s="17" t="n">
        <v>1.78537976951861</v>
      </c>
      <c r="AI52" s="17" t="n">
        <v>1.3926898847593</v>
      </c>
      <c r="AJ52" s="17" t="n">
        <v>1.3926898847593</v>
      </c>
      <c r="AK52" s="17" t="n">
        <v>1</v>
      </c>
      <c r="AL52" s="17" t="n">
        <v>1.78537976951861</v>
      </c>
      <c r="AM52" s="17" t="n">
        <v>1.3926898847593</v>
      </c>
      <c r="AN52" s="17" t="n">
        <v>1.78537976951861</v>
      </c>
      <c r="AO52" s="17" t="n">
        <v>1.78537976951861</v>
      </c>
      <c r="AP52" s="17" t="n">
        <v>1.78537976951861</v>
      </c>
      <c r="AQ52" s="17" t="n">
        <v>1.3926898847593</v>
      </c>
      <c r="AR52" s="17" t="n">
        <v>1.3926898847593</v>
      </c>
      <c r="AS52" s="17" t="n">
        <v>1.3926898847593</v>
      </c>
      <c r="AT52" s="17" t="n">
        <v>1</v>
      </c>
      <c r="AU52" s="17" t="n">
        <v>1</v>
      </c>
      <c r="AV52" s="17" t="n">
        <v>1</v>
      </c>
      <c r="AW52" s="17" t="n">
        <v>1</v>
      </c>
      <c r="AX52" s="17" t="n">
        <v>1</v>
      </c>
      <c r="AY52" s="17" t="n">
        <v>1</v>
      </c>
      <c r="AZ52" s="17" t="n">
        <v>1</v>
      </c>
      <c r="BA52" s="17" t="n">
        <v>1</v>
      </c>
      <c r="BB52" s="17" t="n">
        <v>1</v>
      </c>
      <c r="BC52" s="17" t="n">
        <v>1</v>
      </c>
      <c r="BD52" s="17" t="n">
        <v>1</v>
      </c>
      <c r="BE52" s="17" t="n">
        <v>1</v>
      </c>
      <c r="BF52" s="17" t="n">
        <v>1.3926898847593</v>
      </c>
      <c r="BG52" s="17" t="n">
        <v>1.78537976951861</v>
      </c>
      <c r="BH52" s="17" t="n">
        <v>1.3926898847593</v>
      </c>
      <c r="BI52" s="17"/>
      <c r="BJ52" s="18"/>
    </row>
    <row r="53" customFormat="false" ht="15" hidden="false" customHeight="false" outlineLevel="0" collapsed="false">
      <c r="A53" s="2" t="n">
        <v>23</v>
      </c>
      <c r="B53" s="0" t="s">
        <v>74</v>
      </c>
      <c r="C53" s="0" t="n">
        <v>4</v>
      </c>
      <c r="D53" s="0" t="s">
        <v>119</v>
      </c>
      <c r="E53" s="0" t="str">
        <f aca="false">CONCATENATE("Als onderdeel van het programma 'Netwerk op zijn Best' omvat dit groot onderhoudsproject op de ",B53," een rijbaanverbreding van 3 naar 4 rijstroken op het knooppunt tussen de ",B53," en de M3.")</f>
        <v>Als onderdeel van het programma 'Netwerk op zijn Best' omvat dit groot onderhoudsproject op de B13-B een rijbaanverbreding van 3 naar 4 rijstroken op het knooppunt tussen de B13-B en de M3.</v>
      </c>
      <c r="F53" s="13" t="s">
        <v>120</v>
      </c>
      <c r="G53" s="1" t="s">
        <v>122</v>
      </c>
      <c r="H53" s="1" t="n">
        <v>4560</v>
      </c>
      <c r="I53" s="14" t="n">
        <v>4198500</v>
      </c>
      <c r="J53" s="1" t="n">
        <v>9.1</v>
      </c>
      <c r="K53" s="15" t="n">
        <f aca="false">1/3</f>
        <v>0.333333333333333</v>
      </c>
      <c r="L53" s="1" t="n">
        <v>2</v>
      </c>
      <c r="M53" s="10" t="n">
        <f aca="false">O53-I53</f>
        <v>2523500</v>
      </c>
      <c r="N53" s="10" t="n">
        <f aca="false">IF(P53=1,0,VLOOKUP($P$1,'TTL NORMAL'!$A$2:$B$46,2,0)*(J53+L53)*P53)+IF(Q53=1,0,VLOOKUP($Q$1,'TTL NORMAL'!$A$2:$B$46,2,0)*(J53+L53)*Q53)+IF(R53=1,0,VLOOKUP($R$1,'TTL NORMAL'!$A$2:$B$46,2,0)*(J53+L53)*R53)+IF(S53=1,0,VLOOKUP($S$1,'TTL NORMAL'!$A$2:$B$46,2,0)*(J53+L53)*S53)+IF(T53=1,0,VLOOKUP($T$1,'TTL NORMAL'!$A$2:$B$46,2,0)*(J53+L53)*T53)+IF(U53=1,0,VLOOKUP($U$1,'TTL NORMAL'!$A$2:$B$46,2,0)*(J53+L53)*U53)+IF(V53=1,0,VLOOKUP($V$1,'TTL NORMAL'!$A$2:$B$46,2,0)*(J53+L53)*V53)+IF(W53=1,0,VLOOKUP($W$1,'TTL NORMAL'!$A$2:$B$46,2,0)*(J53+L53)*W53)+IF(X53=1,0,VLOOKUP($X$1,'TTL NORMAL'!$A$2:$B$46,2,0)*(J53+L53)*X53)+IF(Y53=1,0,VLOOKUP($Y$1,'TTL NORMAL'!$A$2:$B$46,2,0)*(J53+L53)*Y53)+IF(Z53=1,0,VLOOKUP($Z$1,'TTL NORMAL'!$A$2:$B$46,2,0)*(J53+L53)*Z53)+IF(AA53=1,0,VLOOKUP($AA$1,'TTL NORMAL'!$A$2:$B$46,2,0)*(J53+L53)*AA53)+IF(AB53=1,0,VLOOKUP($AB$1,'TTL NORMAL'!$A$2:$B$46,2,0)*(J53+L53)*AB53)+IF(AC53=1,0,VLOOKUP($AC$1,'TTL NORMAL'!$A$2:$B$46,2,0)*(J53+L53)*AC53)+IF(AD53=1,0,VLOOKUP($AD$1,'TTL NORMAL'!$A$2:$B$46,2,0)*(J53+L53)*AD53)+IF(AE53=1,0,VLOOKUP($AE$1,'TTL NORMAL'!$A$2:$B$46,2,0)*(J53+L53)*AE53)+IF(AF53=1,0,VLOOKUP($AF$1,'TTL NORMAL'!$A$2:$B$46,2,0)*(J53+L53)*AF53)+IF(AG53=1,0,VLOOKUP($AG$1,'TTL NORMAL'!$A$2:$B$46,2,0)*(J53+L53)*AG53)+IF(AH53=1,0,VLOOKUP($AH$1,'TTL NORMAL'!$A$2:$B$46,2,0)*(J53+L53)*AH53)+IF(AI53=1,0,VLOOKUP($AI$1,'TTL NORMAL'!$A$2:$B$46,2,0)*(J53+L53)*AI53)+IF(AJ53=1,0,VLOOKUP($AJ$1,'TTL NORMAL'!$A$2:$B$46,2,0)*(J53+L53)*AJ53)+IF(AK53=1,0,VLOOKUP($AK$1,'TTL NORMAL'!$A$2:$B$46,2,0)*(J53+L53)*AK53)+IF(AL53=1,0,VLOOKUP($AL$1,'TTL NORMAL'!$A$2:$B$46,2,0)*(J53+L53)*AL53)+IF(AM53=1,0,VLOOKUP($AM$1,'TTL NORMAL'!$A$2:$B$46,2,0)*(J53+L53)*AM53)+IF(AN53=1,0,VLOOKUP($AN$1,'TTL NORMAL'!$A$2:$B$46,2,0)*(J53+L53)*AN53)+IF(AO53=1,0,VLOOKUP($AO$1,'TTL NORMAL'!$A$2:$B$46,2,0)*(J53+L53)*AO53)+IF(AP53=1,0,VLOOKUP($AP$1,'TTL NORMAL'!$A$2:$B$46,2,0)*(J53+L53)*AP53)+IF(AQ53=1,0,VLOOKUP($AQ$1,'TTL NORMAL'!$A$2:$B$46,2,0)*(J53+L53)*AQ53)+IF(AR53=1,0,VLOOKUP($AR$1,'TTL NORMAL'!$A$2:$B$46,2,0)*(J53+L53)*AR53)+IF(AS53=1,0,VLOOKUP($AS$1,'TTL NORMAL'!$A$2:$B$46,2,0)*(J53+L53)*AS53)+IF(AT53=1,0,VLOOKUP($AT$1,'TTL NORMAL'!$A$2:$B$46,2,0)*(J53+L53)*AT53)+IF(AU53=1,0,VLOOKUP($AU$1,'TTL NORMAL'!$A$2:$B$46,2,0)*(J53+L53)*AU53)+IF(AV53=1,0,VLOOKUP($AV$1,'TTL NORMAL'!$A$2:$B$46,2,0)*(J53+L53)*AV53)+IF(AW53=1,0,VLOOKUP($AW$1,'TTL NORMAL'!$A$2:$B$46,2,0)*(J53+L53)*AW53)+IF(AX53=1,0,VLOOKUP($AX$1,'TTL NORMAL'!$A$2:$B$46,2,0)*(J53+L53)*AX53)+IF(AY53=1,0,VLOOKUP($AY$1,'TTL NORMAL'!$A$2:$B$46,2,0)*(J53+L53)*AY53)+IF(AZ53=1,0,VLOOKUP($AZ$1,'TTL NORMAL'!$A$2:$B$46,2,0)*(J53+L53)*AZ53)+IF(BA53=1,0,VLOOKUP($BA$1,'TTL NORMAL'!$A$2:$B$46,2,0)*(J53+L53)*BA53)+IF(BB53=1,0,VLOOKUP($BB$1,'TTL NORMAL'!$A$2:$B$46,2,0)*(J53+L53)*BB53)+IF(BC53=1,0,VLOOKUP($BC$1,'TTL NORMAL'!$A$2:$B$46,2,0)*(J53+L53)*BC53)+IF(BD53=1,0,VLOOKUP($BD$1,'TTL NORMAL'!$A$2:$B$46,2,0)*(J53+L53)*BD53)+IF(BE53=1,0,VLOOKUP($BE$1,'TTL NORMAL'!$A$2:$B$46,2,0)*(J53+L53)*BE53)+IF(BF53=1,0,VLOOKUP($BF$1,'TTL NORMAL'!$A$2:$B$46,2,0)*(J53+L53)*BF53)+IF(BG53=1,0,VLOOKUP($BG$1,'TTL NORMAL'!$A$2:$B$46,2,0)*(J53+L53)*BG53)+IF(BH53=1,0,VLOOKUP($BH$1,'TTL NORMAL'!$A$2:$B$46,2,0)*(J53+L53)*BH53)</f>
        <v>1727473.73762917</v>
      </c>
      <c r="O53" s="5" t="n">
        <v>6722000</v>
      </c>
      <c r="P53" s="18" t="n">
        <v>1</v>
      </c>
      <c r="Q53" s="17" t="n">
        <v>1</v>
      </c>
      <c r="R53" s="17" t="n">
        <v>1.47122786171116</v>
      </c>
      <c r="S53" s="17" t="n">
        <v>1.47122786171116</v>
      </c>
      <c r="T53" s="17" t="n">
        <v>1</v>
      </c>
      <c r="U53" s="17" t="n">
        <v>1</v>
      </c>
      <c r="V53" s="17" t="n">
        <v>1</v>
      </c>
      <c r="W53" s="17" t="n">
        <v>1</v>
      </c>
      <c r="X53" s="17" t="n">
        <v>1</v>
      </c>
      <c r="Y53" s="17" t="n">
        <v>1.47122786171116</v>
      </c>
      <c r="Z53" s="17" t="n">
        <v>1</v>
      </c>
      <c r="AA53" s="17" t="n">
        <v>1.47122786171116</v>
      </c>
      <c r="AB53" s="17" t="n">
        <v>1</v>
      </c>
      <c r="AC53" s="17" t="n">
        <v>1.47122786171116</v>
      </c>
      <c r="AD53" s="17" t="n">
        <v>1</v>
      </c>
      <c r="AE53" s="17" t="n">
        <v>1</v>
      </c>
      <c r="AF53" s="17" t="n">
        <v>1.47122786171116</v>
      </c>
      <c r="AG53" s="17" t="n">
        <v>1.94245572342233</v>
      </c>
      <c r="AH53" s="17" t="n">
        <v>1.94245572342233</v>
      </c>
      <c r="AI53" s="17" t="n">
        <v>1.47122786171116</v>
      </c>
      <c r="AJ53" s="17" t="n">
        <v>1.47122786171116</v>
      </c>
      <c r="AK53" s="17" t="n">
        <v>1</v>
      </c>
      <c r="AL53" s="17" t="n">
        <v>1.94245572342233</v>
      </c>
      <c r="AM53" s="17" t="n">
        <v>1.94245572342233</v>
      </c>
      <c r="AN53" s="17" t="n">
        <v>1.94245572342233</v>
      </c>
      <c r="AO53" s="17" t="n">
        <v>1.94245572342233</v>
      </c>
      <c r="AP53" s="17" t="n">
        <v>1.94245572342233</v>
      </c>
      <c r="AQ53" s="17" t="n">
        <v>1.47122786171116</v>
      </c>
      <c r="AR53" s="17" t="n">
        <v>1.47122786171116</v>
      </c>
      <c r="AS53" s="17" t="n">
        <v>1.47122786171116</v>
      </c>
      <c r="AT53" s="17" t="n">
        <v>1</v>
      </c>
      <c r="AU53" s="17" t="n">
        <v>1</v>
      </c>
      <c r="AV53" s="17" t="n">
        <v>1</v>
      </c>
      <c r="AW53" s="17" t="n">
        <v>1</v>
      </c>
      <c r="AX53" s="17" t="n">
        <v>1</v>
      </c>
      <c r="AY53" s="17" t="n">
        <v>1</v>
      </c>
      <c r="AZ53" s="17" t="n">
        <v>1</v>
      </c>
      <c r="BA53" s="17" t="n">
        <v>1</v>
      </c>
      <c r="BB53" s="17" t="n">
        <v>1</v>
      </c>
      <c r="BC53" s="17" t="n">
        <v>1</v>
      </c>
      <c r="BD53" s="17" t="n">
        <v>1</v>
      </c>
      <c r="BE53" s="17" t="n">
        <v>1</v>
      </c>
      <c r="BF53" s="17" t="n">
        <v>1.47122786171116</v>
      </c>
      <c r="BG53" s="17" t="n">
        <v>1.94245572342233</v>
      </c>
      <c r="BH53" s="17" t="n">
        <v>1.47122786171116</v>
      </c>
      <c r="BI53" s="17"/>
      <c r="BJ53" s="18"/>
    </row>
    <row r="54" customFormat="false" ht="15" hidden="false" customHeight="false" outlineLevel="0" collapsed="false">
      <c r="A54" s="2" t="n">
        <v>24</v>
      </c>
      <c r="B54" s="9" t="s">
        <v>75</v>
      </c>
      <c r="C54" s="0" t="n">
        <v>1</v>
      </c>
      <c r="D54" s="0" t="s">
        <v>112</v>
      </c>
      <c r="E54" s="0" t="str">
        <f aca="false">CONCATENATE("Als onderdeel van het programma 'Netwerk op zijn Best' omvat dit groot onderhoudsproject op de ",B54," een grootschalige vernieuwing van het asfalt.")</f>
        <v>Als onderdeel van het programma 'Netwerk op zijn Best' omvat dit groot onderhoudsproject op de B13-C een grootschalige vernieuwing van het asfalt.</v>
      </c>
      <c r="F54" s="13" t="s">
        <v>113</v>
      </c>
      <c r="G54" s="1" t="s">
        <v>121</v>
      </c>
      <c r="H54" s="1" t="n">
        <v>1120</v>
      </c>
      <c r="I54" s="14" t="n">
        <v>1848000</v>
      </c>
      <c r="J54" s="1" t="n">
        <v>5.5</v>
      </c>
      <c r="K54" s="15" t="n">
        <f aca="false">1/3</f>
        <v>0.333333333333333</v>
      </c>
      <c r="L54" s="1" t="n">
        <v>1</v>
      </c>
      <c r="M54" s="10" t="n">
        <f aca="false">O54-I54</f>
        <v>840000</v>
      </c>
      <c r="N54" s="10" t="n">
        <f aca="false">IF(P54=1,0,VLOOKUP($P$1,'TTL NORMAL'!$A$2:$B$46,2,0)*(J54+L54)*P54)+IF(Q54=1,0,VLOOKUP($Q$1,'TTL NORMAL'!$A$2:$B$46,2,0)*(J54+L54)*Q54)+IF(R54=1,0,VLOOKUP($R$1,'TTL NORMAL'!$A$2:$B$46,2,0)*(J54+L54)*R54)+IF(S54=1,0,VLOOKUP($S$1,'TTL NORMAL'!$A$2:$B$46,2,0)*(J54+L54)*S54)+IF(T54=1,0,VLOOKUP($T$1,'TTL NORMAL'!$A$2:$B$46,2,0)*(J54+L54)*T54)+IF(U54=1,0,VLOOKUP($U$1,'TTL NORMAL'!$A$2:$B$46,2,0)*(J54+L54)*U54)+IF(V54=1,0,VLOOKUP($V$1,'TTL NORMAL'!$A$2:$B$46,2,0)*(J54+L54)*V54)+IF(W54=1,0,VLOOKUP($W$1,'TTL NORMAL'!$A$2:$B$46,2,0)*(J54+L54)*W54)+IF(X54=1,0,VLOOKUP($X$1,'TTL NORMAL'!$A$2:$B$46,2,0)*(J54+L54)*X54)+IF(Y54=1,0,VLOOKUP($Y$1,'TTL NORMAL'!$A$2:$B$46,2,0)*(J54+L54)*Y54)+IF(Z54=1,0,VLOOKUP($Z$1,'TTL NORMAL'!$A$2:$B$46,2,0)*(J54+L54)*Z54)+IF(AA54=1,0,VLOOKUP($AA$1,'TTL NORMAL'!$A$2:$B$46,2,0)*(J54+L54)*AA54)+IF(AB54=1,0,VLOOKUP($AB$1,'TTL NORMAL'!$A$2:$B$46,2,0)*(J54+L54)*AB54)+IF(AC54=1,0,VLOOKUP($AC$1,'TTL NORMAL'!$A$2:$B$46,2,0)*(J54+L54)*AC54)+IF(AD54=1,0,VLOOKUP($AD$1,'TTL NORMAL'!$A$2:$B$46,2,0)*(J54+L54)*AD54)+IF(AE54=1,0,VLOOKUP($AE$1,'TTL NORMAL'!$A$2:$B$46,2,0)*(J54+L54)*AE54)+IF(AF54=1,0,VLOOKUP($AF$1,'TTL NORMAL'!$A$2:$B$46,2,0)*(J54+L54)*AF54)+IF(AG54=1,0,VLOOKUP($AG$1,'TTL NORMAL'!$A$2:$B$46,2,0)*(J54+L54)*AG54)+IF(AH54=1,0,VLOOKUP($AH$1,'TTL NORMAL'!$A$2:$B$46,2,0)*(J54+L54)*AH54)+IF(AI54=1,0,VLOOKUP($AI$1,'TTL NORMAL'!$A$2:$B$46,2,0)*(J54+L54)*AI54)+IF(AJ54=1,0,VLOOKUP($AJ$1,'TTL NORMAL'!$A$2:$B$46,2,0)*(J54+L54)*AJ54)+IF(AK54=1,0,VLOOKUP($AK$1,'TTL NORMAL'!$A$2:$B$46,2,0)*(J54+L54)*AK54)+IF(AL54=1,0,VLOOKUP($AL$1,'TTL NORMAL'!$A$2:$B$46,2,0)*(J54+L54)*AL54)+IF(AM54=1,0,VLOOKUP($AM$1,'TTL NORMAL'!$A$2:$B$46,2,0)*(J54+L54)*AM54)+IF(AN54=1,0,VLOOKUP($AN$1,'TTL NORMAL'!$A$2:$B$46,2,0)*(J54+L54)*AN54)+IF(AO54=1,0,VLOOKUP($AO$1,'TTL NORMAL'!$A$2:$B$46,2,0)*(J54+L54)*AO54)+IF(AP54=1,0,VLOOKUP($AP$1,'TTL NORMAL'!$A$2:$B$46,2,0)*(J54+L54)*AP54)+IF(AQ54=1,0,VLOOKUP($AQ$1,'TTL NORMAL'!$A$2:$B$46,2,0)*(J54+L54)*AQ54)+IF(AR54=1,0,VLOOKUP($AR$1,'TTL NORMAL'!$A$2:$B$46,2,0)*(J54+L54)*AR54)+IF(AS54=1,0,VLOOKUP($AS$1,'TTL NORMAL'!$A$2:$B$46,2,0)*(J54+L54)*AS54)+IF(AT54=1,0,VLOOKUP($AT$1,'TTL NORMAL'!$A$2:$B$46,2,0)*(J54+L54)*AT54)+IF(AU54=1,0,VLOOKUP($AU$1,'TTL NORMAL'!$A$2:$B$46,2,0)*(J54+L54)*AU54)+IF(AV54=1,0,VLOOKUP($AV$1,'TTL NORMAL'!$A$2:$B$46,2,0)*(J54+L54)*AV54)+IF(AW54=1,0,VLOOKUP($AW$1,'TTL NORMAL'!$A$2:$B$46,2,0)*(J54+L54)*AW54)+IF(AX54=1,0,VLOOKUP($AX$1,'TTL NORMAL'!$A$2:$B$46,2,0)*(J54+L54)*AX54)+IF(AY54=1,0,VLOOKUP($AY$1,'TTL NORMAL'!$A$2:$B$46,2,0)*(J54+L54)*AY54)+IF(AZ54=1,0,VLOOKUP($AZ$1,'TTL NORMAL'!$A$2:$B$46,2,0)*(J54+L54)*AZ54)+IF(BA54=1,0,VLOOKUP($BA$1,'TTL NORMAL'!$A$2:$B$46,2,0)*(J54+L54)*BA54)+IF(BB54=1,0,VLOOKUP($BB$1,'TTL NORMAL'!$A$2:$B$46,2,0)*(J54+L54)*BB54)+IF(BC54=1,0,VLOOKUP($BC$1,'TTL NORMAL'!$A$2:$B$46,2,0)*(J54+L54)*BC54)+IF(BD54=1,0,VLOOKUP($BD$1,'TTL NORMAL'!$A$2:$B$46,2,0)*(J54+L54)*BD54)+IF(BE54=1,0,VLOOKUP($BE$1,'TTL NORMAL'!$A$2:$B$46,2,0)*(J54+L54)*BE54)+IF(BF54=1,0,VLOOKUP($BF$1,'TTL NORMAL'!$A$2:$B$46,2,0)*(J54+L54)*BF54)+IF(BG54=1,0,VLOOKUP($BG$1,'TTL NORMAL'!$A$2:$B$46,2,0)*(J54+L54)*BG54)+IF(BH54=1,0,VLOOKUP($BH$1,'TTL NORMAL'!$A$2:$B$46,2,0)*(J54+L54)*BH54)</f>
        <v>579641.714170412</v>
      </c>
      <c r="O54" s="5" t="n">
        <v>2688000</v>
      </c>
      <c r="P54" s="18" t="n">
        <v>1</v>
      </c>
      <c r="Q54" s="17" t="n">
        <v>1</v>
      </c>
      <c r="R54" s="17" t="n">
        <v>1</v>
      </c>
      <c r="S54" s="17" t="n">
        <v>1</v>
      </c>
      <c r="T54" s="17" t="n">
        <v>1</v>
      </c>
      <c r="U54" s="17" t="n">
        <v>1</v>
      </c>
      <c r="V54" s="17" t="n">
        <v>1</v>
      </c>
      <c r="W54" s="17" t="n">
        <v>1</v>
      </c>
      <c r="X54" s="17" t="n">
        <v>1</v>
      </c>
      <c r="Y54" s="17" t="n">
        <v>1</v>
      </c>
      <c r="Z54" s="17" t="n">
        <v>1</v>
      </c>
      <c r="AA54" s="17" t="n">
        <v>1.20998335457443</v>
      </c>
      <c r="AB54" s="17" t="n">
        <v>1.20998335457443</v>
      </c>
      <c r="AC54" s="17" t="n">
        <v>1.41996670914887</v>
      </c>
      <c r="AD54" s="17" t="n">
        <v>1</v>
      </c>
      <c r="AE54" s="17" t="n">
        <v>1</v>
      </c>
      <c r="AF54" s="17" t="n">
        <v>1</v>
      </c>
      <c r="AG54" s="17" t="n">
        <v>1.20998335457443</v>
      </c>
      <c r="AH54" s="17" t="n">
        <v>1.20998335457443</v>
      </c>
      <c r="AI54" s="17" t="n">
        <v>1</v>
      </c>
      <c r="AJ54" s="17" t="n">
        <v>1</v>
      </c>
      <c r="AK54" s="17" t="n">
        <v>1</v>
      </c>
      <c r="AL54" s="17" t="n">
        <v>1.20998335457443</v>
      </c>
      <c r="AM54" s="17" t="n">
        <v>1.41996670914887</v>
      </c>
      <c r="AN54" s="17" t="n">
        <v>1</v>
      </c>
      <c r="AO54" s="17" t="n">
        <v>1.41996670914887</v>
      </c>
      <c r="AP54" s="17" t="n">
        <v>1.41996670914887</v>
      </c>
      <c r="AQ54" s="17" t="n">
        <v>1.20998335457443</v>
      </c>
      <c r="AR54" s="17" t="n">
        <v>1.20998335457443</v>
      </c>
      <c r="AS54" s="17" t="n">
        <v>1.20998335457443</v>
      </c>
      <c r="AT54" s="17" t="n">
        <v>1</v>
      </c>
      <c r="AU54" s="17" t="n">
        <v>1</v>
      </c>
      <c r="AV54" s="17" t="n">
        <v>1</v>
      </c>
      <c r="AW54" s="17" t="n">
        <v>1</v>
      </c>
      <c r="AX54" s="17" t="n">
        <v>1</v>
      </c>
      <c r="AY54" s="17" t="n">
        <v>1</v>
      </c>
      <c r="AZ54" s="17" t="n">
        <v>1.20998335457443</v>
      </c>
      <c r="BA54" s="17" t="n">
        <v>1.20998335457443</v>
      </c>
      <c r="BB54" s="17" t="n">
        <v>1</v>
      </c>
      <c r="BC54" s="17" t="n">
        <v>1</v>
      </c>
      <c r="BD54" s="17" t="n">
        <v>1</v>
      </c>
      <c r="BE54" s="17" t="n">
        <v>1</v>
      </c>
      <c r="BF54" s="17" t="n">
        <v>1</v>
      </c>
      <c r="BG54" s="17" t="n">
        <v>1.20998335457443</v>
      </c>
      <c r="BH54" s="17" t="n">
        <v>1.20998335457443</v>
      </c>
      <c r="BI54" s="17"/>
      <c r="BJ54" s="18"/>
    </row>
    <row r="55" customFormat="false" ht="15" hidden="false" customHeight="false" outlineLevel="0" collapsed="false">
      <c r="A55" s="2" t="n">
        <v>24</v>
      </c>
      <c r="B55" s="9" t="s">
        <v>75</v>
      </c>
      <c r="C55" s="0" t="n">
        <v>2</v>
      </c>
      <c r="D55" s="0" t="s">
        <v>115</v>
      </c>
      <c r="E55" s="0" t="str">
        <f aca="false">CONCATENATE("Als onderdeel van het programma 'Netwerk op zijn Best' omvat dit groot onderhoudsproject op de ",B55," een grootschalige vernieuwing van het asfalt.")</f>
        <v>Als onderdeel van het programma 'Netwerk op zijn Best' omvat dit groot onderhoudsproject op de B13-C een grootschalige vernieuwing van het asfalt.</v>
      </c>
      <c r="F55" s="13" t="s">
        <v>116</v>
      </c>
      <c r="G55" s="1" t="s">
        <v>121</v>
      </c>
      <c r="H55" s="1" t="n">
        <v>1680</v>
      </c>
      <c r="I55" s="14" t="n">
        <v>1176000</v>
      </c>
      <c r="J55" s="1" t="n">
        <v>5</v>
      </c>
      <c r="K55" s="15" t="n">
        <f aca="false">1/3</f>
        <v>0.333333333333333</v>
      </c>
      <c r="L55" s="1" t="n">
        <v>2</v>
      </c>
      <c r="M55" s="10" t="n">
        <f aca="false">O55-I55</f>
        <v>1512000</v>
      </c>
      <c r="N55" s="10" t="n">
        <f aca="false">IF(P55=1,0,VLOOKUP($P$1,'TTL NORMAL'!$A$2:$B$46,2,0)*(J55+L55)*P55)+IF(Q55=1,0,VLOOKUP($Q$1,'TTL NORMAL'!$A$2:$B$46,2,0)*(J55+L55)*Q55)+IF(R55=1,0,VLOOKUP($R$1,'TTL NORMAL'!$A$2:$B$46,2,0)*(J55+L55)*R55)+IF(S55=1,0,VLOOKUP($S$1,'TTL NORMAL'!$A$2:$B$46,2,0)*(J55+L55)*S55)+IF(T55=1,0,VLOOKUP($T$1,'TTL NORMAL'!$A$2:$B$46,2,0)*(J55+L55)*T55)+IF(U55=1,0,VLOOKUP($U$1,'TTL NORMAL'!$A$2:$B$46,2,0)*(J55+L55)*U55)+IF(V55=1,0,VLOOKUP($V$1,'TTL NORMAL'!$A$2:$B$46,2,0)*(J55+L55)*V55)+IF(W55=1,0,VLOOKUP($W$1,'TTL NORMAL'!$A$2:$B$46,2,0)*(J55+L55)*W55)+IF(X55=1,0,VLOOKUP($X$1,'TTL NORMAL'!$A$2:$B$46,2,0)*(J55+L55)*X55)+IF(Y55=1,0,VLOOKUP($Y$1,'TTL NORMAL'!$A$2:$B$46,2,0)*(J55+L55)*Y55)+IF(Z55=1,0,VLOOKUP($Z$1,'TTL NORMAL'!$A$2:$B$46,2,0)*(J55+L55)*Z55)+IF(AA55=1,0,VLOOKUP($AA$1,'TTL NORMAL'!$A$2:$B$46,2,0)*(J55+L55)*AA55)+IF(AB55=1,0,VLOOKUP($AB$1,'TTL NORMAL'!$A$2:$B$46,2,0)*(J55+L55)*AB55)+IF(AC55=1,0,VLOOKUP($AC$1,'TTL NORMAL'!$A$2:$B$46,2,0)*(J55+L55)*AC55)+IF(AD55=1,0,VLOOKUP($AD$1,'TTL NORMAL'!$A$2:$B$46,2,0)*(J55+L55)*AD55)+IF(AE55=1,0,VLOOKUP($AE$1,'TTL NORMAL'!$A$2:$B$46,2,0)*(J55+L55)*AE55)+IF(AF55=1,0,VLOOKUP($AF$1,'TTL NORMAL'!$A$2:$B$46,2,0)*(J55+L55)*AF55)+IF(AG55=1,0,VLOOKUP($AG$1,'TTL NORMAL'!$A$2:$B$46,2,0)*(J55+L55)*AG55)+IF(AH55=1,0,VLOOKUP($AH$1,'TTL NORMAL'!$A$2:$B$46,2,0)*(J55+L55)*AH55)+IF(AI55=1,0,VLOOKUP($AI$1,'TTL NORMAL'!$A$2:$B$46,2,0)*(J55+L55)*AI55)+IF(AJ55=1,0,VLOOKUP($AJ$1,'TTL NORMAL'!$A$2:$B$46,2,0)*(J55+L55)*AJ55)+IF(AK55=1,0,VLOOKUP($AK$1,'TTL NORMAL'!$A$2:$B$46,2,0)*(J55+L55)*AK55)+IF(AL55=1,0,VLOOKUP($AL$1,'TTL NORMAL'!$A$2:$B$46,2,0)*(J55+L55)*AL55)+IF(AM55=1,0,VLOOKUP($AM$1,'TTL NORMAL'!$A$2:$B$46,2,0)*(J55+L55)*AM55)+IF(AN55=1,0,VLOOKUP($AN$1,'TTL NORMAL'!$A$2:$B$46,2,0)*(J55+L55)*AN55)+IF(AO55=1,0,VLOOKUP($AO$1,'TTL NORMAL'!$A$2:$B$46,2,0)*(J55+L55)*AO55)+IF(AP55=1,0,VLOOKUP($AP$1,'TTL NORMAL'!$A$2:$B$46,2,0)*(J55+L55)*AP55)+IF(AQ55=1,0,VLOOKUP($AQ$1,'TTL NORMAL'!$A$2:$B$46,2,0)*(J55+L55)*AQ55)+IF(AR55=1,0,VLOOKUP($AR$1,'TTL NORMAL'!$A$2:$B$46,2,0)*(J55+L55)*AR55)+IF(AS55=1,0,VLOOKUP($AS$1,'TTL NORMAL'!$A$2:$B$46,2,0)*(J55+L55)*AS55)+IF(AT55=1,0,VLOOKUP($AT$1,'TTL NORMAL'!$A$2:$B$46,2,0)*(J55+L55)*AT55)+IF(AU55=1,0,VLOOKUP($AU$1,'TTL NORMAL'!$A$2:$B$46,2,0)*(J55+L55)*AU55)+IF(AV55=1,0,VLOOKUP($AV$1,'TTL NORMAL'!$A$2:$B$46,2,0)*(J55+L55)*AV55)+IF(AW55=1,0,VLOOKUP($AW$1,'TTL NORMAL'!$A$2:$B$46,2,0)*(J55+L55)*AW55)+IF(AX55=1,0,VLOOKUP($AX$1,'TTL NORMAL'!$A$2:$B$46,2,0)*(J55+L55)*AX55)+IF(AY55=1,0,VLOOKUP($AY$1,'TTL NORMAL'!$A$2:$B$46,2,0)*(J55+L55)*AY55)+IF(AZ55=1,0,VLOOKUP($AZ$1,'TTL NORMAL'!$A$2:$B$46,2,0)*(J55+L55)*AZ55)+IF(BA55=1,0,VLOOKUP($BA$1,'TTL NORMAL'!$A$2:$B$46,2,0)*(J55+L55)*BA55)+IF(BB55=1,0,VLOOKUP($BB$1,'TTL NORMAL'!$A$2:$B$46,2,0)*(J55+L55)*BB55)+IF(BC55=1,0,VLOOKUP($BC$1,'TTL NORMAL'!$A$2:$B$46,2,0)*(J55+L55)*BC55)+IF(BD55=1,0,VLOOKUP($BD$1,'TTL NORMAL'!$A$2:$B$46,2,0)*(J55+L55)*BD55)+IF(BE55=1,0,VLOOKUP($BE$1,'TTL NORMAL'!$A$2:$B$46,2,0)*(J55+L55)*BE55)+IF(BF55=1,0,VLOOKUP($BF$1,'TTL NORMAL'!$A$2:$B$46,2,0)*(J55+L55)*BF55)+IF(BG55=1,0,VLOOKUP($BG$1,'TTL NORMAL'!$A$2:$B$46,2,0)*(J55+L55)*BG55)+IF(BH55=1,0,VLOOKUP($BH$1,'TTL NORMAL'!$A$2:$B$46,2,0)*(J55+L55)*BH55)</f>
        <v>716411.542760931</v>
      </c>
      <c r="O55" s="5" t="n">
        <v>2688000</v>
      </c>
      <c r="P55" s="18" t="n">
        <v>1</v>
      </c>
      <c r="Q55" s="17" t="n">
        <v>1</v>
      </c>
      <c r="R55" s="17" t="n">
        <v>1</v>
      </c>
      <c r="S55" s="17" t="n">
        <v>1</v>
      </c>
      <c r="T55" s="17" t="n">
        <v>1</v>
      </c>
      <c r="U55" s="17" t="n">
        <v>1</v>
      </c>
      <c r="V55" s="17" t="n">
        <v>1</v>
      </c>
      <c r="W55" s="17" t="n">
        <v>1</v>
      </c>
      <c r="X55" s="17" t="n">
        <v>1</v>
      </c>
      <c r="Y55" s="17" t="n">
        <v>1</v>
      </c>
      <c r="Z55" s="17" t="n">
        <v>1</v>
      </c>
      <c r="AA55" s="17" t="n">
        <v>1.31497503186165</v>
      </c>
      <c r="AB55" s="17" t="n">
        <v>1.31497503186165</v>
      </c>
      <c r="AC55" s="17" t="n">
        <v>1.6299500637233</v>
      </c>
      <c r="AD55" s="17" t="n">
        <v>1</v>
      </c>
      <c r="AE55" s="17" t="n">
        <v>1</v>
      </c>
      <c r="AF55" s="17" t="n">
        <v>1</v>
      </c>
      <c r="AG55" s="17" t="n">
        <v>1.31497503186165</v>
      </c>
      <c r="AH55" s="17" t="n">
        <v>1.31497503186165</v>
      </c>
      <c r="AI55" s="17" t="n">
        <v>1</v>
      </c>
      <c r="AJ55" s="17" t="n">
        <v>1</v>
      </c>
      <c r="AK55" s="17" t="n">
        <v>1</v>
      </c>
      <c r="AL55" s="17" t="n">
        <v>1.31497503186165</v>
      </c>
      <c r="AM55" s="17" t="n">
        <v>1.6299500637233</v>
      </c>
      <c r="AN55" s="17" t="n">
        <v>1.6299500637233</v>
      </c>
      <c r="AO55" s="17" t="n">
        <v>1.6299500637233</v>
      </c>
      <c r="AP55" s="17" t="n">
        <v>1.6299500637233</v>
      </c>
      <c r="AQ55" s="17" t="n">
        <v>1.31497503186165</v>
      </c>
      <c r="AR55" s="17" t="n">
        <v>1.31497503186165</v>
      </c>
      <c r="AS55" s="17" t="n">
        <v>1.31497503186165</v>
      </c>
      <c r="AT55" s="17" t="n">
        <v>1</v>
      </c>
      <c r="AU55" s="17" t="n">
        <v>1</v>
      </c>
      <c r="AV55" s="17" t="n">
        <v>1</v>
      </c>
      <c r="AW55" s="17" t="n">
        <v>1</v>
      </c>
      <c r="AX55" s="17" t="n">
        <v>1</v>
      </c>
      <c r="AY55" s="17" t="n">
        <v>1</v>
      </c>
      <c r="AZ55" s="17" t="n">
        <v>1.31497503186165</v>
      </c>
      <c r="BA55" s="17" t="n">
        <v>1.31497503186165</v>
      </c>
      <c r="BB55" s="17" t="n">
        <v>1</v>
      </c>
      <c r="BC55" s="17" t="n">
        <v>1</v>
      </c>
      <c r="BD55" s="17" t="n">
        <v>1</v>
      </c>
      <c r="BE55" s="17" t="n">
        <v>1</v>
      </c>
      <c r="BF55" s="17" t="n">
        <v>1</v>
      </c>
      <c r="BG55" s="17" t="n">
        <v>1.31497503186165</v>
      </c>
      <c r="BH55" s="17" t="n">
        <v>1.31497503186165</v>
      </c>
      <c r="BI55" s="17"/>
      <c r="BJ55" s="18"/>
    </row>
    <row r="56" customFormat="false" ht="15" hidden="false" customHeight="false" outlineLevel="0" collapsed="false">
      <c r="A56" s="2" t="n">
        <v>24</v>
      </c>
      <c r="B56" s="9" t="s">
        <v>75</v>
      </c>
      <c r="C56" s="0" t="n">
        <v>3</v>
      </c>
      <c r="D56" s="0" t="s">
        <v>117</v>
      </c>
      <c r="E56" s="0" t="str">
        <f aca="false">CONCATENATE("Als onderdeel van het programma 'Netwerk op zijn Best' omvat dit groot onderhoudsproject op de ",B56," een grootschalige vernieuwing van het asfalt.")</f>
        <v>Als onderdeel van het programma 'Netwerk op zijn Best' omvat dit groot onderhoudsproject op de B13-C een grootschalige vernieuwing van het asfalt.</v>
      </c>
      <c r="F56" s="13" t="s">
        <v>118</v>
      </c>
      <c r="G56" s="1" t="s">
        <v>121</v>
      </c>
      <c r="H56" s="1" t="n">
        <v>1400</v>
      </c>
      <c r="I56" s="14" t="n">
        <v>1848000</v>
      </c>
      <c r="J56" s="1" t="n">
        <v>5</v>
      </c>
      <c r="K56" s="15" t="n">
        <f aca="false">1/3</f>
        <v>0.333333333333333</v>
      </c>
      <c r="L56" s="1" t="n">
        <v>0</v>
      </c>
      <c r="M56" s="10" t="n">
        <f aca="false">O56-I56</f>
        <v>840000</v>
      </c>
      <c r="N56" s="10" t="n">
        <f aca="false">IF(P56=1,0,VLOOKUP($P$1,'TTL NORMAL'!$A$2:$B$46,2,0)*(J56+L56)*P56)+IF(Q56=1,0,VLOOKUP($Q$1,'TTL NORMAL'!$A$2:$B$46,2,0)*(J56+L56)*Q56)+IF(R56=1,0,VLOOKUP($R$1,'TTL NORMAL'!$A$2:$B$46,2,0)*(J56+L56)*R56)+IF(S56=1,0,VLOOKUP($S$1,'TTL NORMAL'!$A$2:$B$46,2,0)*(J56+L56)*S56)+IF(T56=1,0,VLOOKUP($T$1,'TTL NORMAL'!$A$2:$B$46,2,0)*(J56+L56)*T56)+IF(U56=1,0,VLOOKUP($U$1,'TTL NORMAL'!$A$2:$B$46,2,0)*(J56+L56)*U56)+IF(V56=1,0,VLOOKUP($V$1,'TTL NORMAL'!$A$2:$B$46,2,0)*(J56+L56)*V56)+IF(W56=1,0,VLOOKUP($W$1,'TTL NORMAL'!$A$2:$B$46,2,0)*(J56+L56)*W56)+IF(X56=1,0,VLOOKUP($X$1,'TTL NORMAL'!$A$2:$B$46,2,0)*(J56+L56)*X56)+IF(Y56=1,0,VLOOKUP($Y$1,'TTL NORMAL'!$A$2:$B$46,2,0)*(J56+L56)*Y56)+IF(Z56=1,0,VLOOKUP($Z$1,'TTL NORMAL'!$A$2:$B$46,2,0)*(J56+L56)*Z56)+IF(AA56=1,0,VLOOKUP($AA$1,'TTL NORMAL'!$A$2:$B$46,2,0)*(J56+L56)*AA56)+IF(AB56=1,0,VLOOKUP($AB$1,'TTL NORMAL'!$A$2:$B$46,2,0)*(J56+L56)*AB56)+IF(AC56=1,0,VLOOKUP($AC$1,'TTL NORMAL'!$A$2:$B$46,2,0)*(J56+L56)*AC56)+IF(AD56=1,0,VLOOKUP($AD$1,'TTL NORMAL'!$A$2:$B$46,2,0)*(J56+L56)*AD56)+IF(AE56=1,0,VLOOKUP($AE$1,'TTL NORMAL'!$A$2:$B$46,2,0)*(J56+L56)*AE56)+IF(AF56=1,0,VLOOKUP($AF$1,'TTL NORMAL'!$A$2:$B$46,2,0)*(J56+L56)*AF56)+IF(AG56=1,0,VLOOKUP($AG$1,'TTL NORMAL'!$A$2:$B$46,2,0)*(J56+L56)*AG56)+IF(AH56=1,0,VLOOKUP($AH$1,'TTL NORMAL'!$A$2:$B$46,2,0)*(J56+L56)*AH56)+IF(AI56=1,0,VLOOKUP($AI$1,'TTL NORMAL'!$A$2:$B$46,2,0)*(J56+L56)*AI56)+IF(AJ56=1,0,VLOOKUP($AJ$1,'TTL NORMAL'!$A$2:$B$46,2,0)*(J56+L56)*AJ56)+IF(AK56=1,0,VLOOKUP($AK$1,'TTL NORMAL'!$A$2:$B$46,2,0)*(J56+L56)*AK56)+IF(AL56=1,0,VLOOKUP($AL$1,'TTL NORMAL'!$A$2:$B$46,2,0)*(J56+L56)*AL56)+IF(AM56=1,0,VLOOKUP($AM$1,'TTL NORMAL'!$A$2:$B$46,2,0)*(J56+L56)*AM56)+IF(AN56=1,0,VLOOKUP($AN$1,'TTL NORMAL'!$A$2:$B$46,2,0)*(J56+L56)*AN56)+IF(AO56=1,0,VLOOKUP($AO$1,'TTL NORMAL'!$A$2:$B$46,2,0)*(J56+L56)*AO56)+IF(AP56=1,0,VLOOKUP($AP$1,'TTL NORMAL'!$A$2:$B$46,2,0)*(J56+L56)*AP56)+IF(AQ56=1,0,VLOOKUP($AQ$1,'TTL NORMAL'!$A$2:$B$46,2,0)*(J56+L56)*AQ56)+IF(AR56=1,0,VLOOKUP($AR$1,'TTL NORMAL'!$A$2:$B$46,2,0)*(J56+L56)*AR56)+IF(AS56=1,0,VLOOKUP($AS$1,'TTL NORMAL'!$A$2:$B$46,2,0)*(J56+L56)*AS56)+IF(AT56=1,0,VLOOKUP($AT$1,'TTL NORMAL'!$A$2:$B$46,2,0)*(J56+L56)*AT56)+IF(AU56=1,0,VLOOKUP($AU$1,'TTL NORMAL'!$A$2:$B$46,2,0)*(J56+L56)*AU56)+IF(AV56=1,0,VLOOKUP($AV$1,'TTL NORMAL'!$A$2:$B$46,2,0)*(J56+L56)*AV56)+IF(AW56=1,0,VLOOKUP($AW$1,'TTL NORMAL'!$A$2:$B$46,2,0)*(J56+L56)*AW56)+IF(AX56=1,0,VLOOKUP($AX$1,'TTL NORMAL'!$A$2:$B$46,2,0)*(J56+L56)*AX56)+IF(AY56=1,0,VLOOKUP($AY$1,'TTL NORMAL'!$A$2:$B$46,2,0)*(J56+L56)*AY56)+IF(AZ56=1,0,VLOOKUP($AZ$1,'TTL NORMAL'!$A$2:$B$46,2,0)*(J56+L56)*AZ56)+IF(BA56=1,0,VLOOKUP($BA$1,'TTL NORMAL'!$A$2:$B$46,2,0)*(J56+L56)*BA56)+IF(BB56=1,0,VLOOKUP($BB$1,'TTL NORMAL'!$A$2:$B$46,2,0)*(J56+L56)*BB56)+IF(BC56=1,0,VLOOKUP($BC$1,'TTL NORMAL'!$A$2:$B$46,2,0)*(J56+L56)*BC56)+IF(BD56=1,0,VLOOKUP($BD$1,'TTL NORMAL'!$A$2:$B$46,2,0)*(J56+L56)*BD56)+IF(BE56=1,0,VLOOKUP($BE$1,'TTL NORMAL'!$A$2:$B$46,2,0)*(J56+L56)*BE56)+IF(BF56=1,0,VLOOKUP($BF$1,'TTL NORMAL'!$A$2:$B$46,2,0)*(J56+L56)*BF56)+IF(BG56=1,0,VLOOKUP($BG$1,'TTL NORMAL'!$A$2:$B$46,2,0)*(J56+L56)*BG56)+IF(BH56=1,0,VLOOKUP($BH$1,'TTL NORMAL'!$A$2:$B$46,2,0)*(J56+L56)*BH56)</f>
        <v>484767.581241299</v>
      </c>
      <c r="O56" s="5" t="n">
        <v>2688000</v>
      </c>
      <c r="P56" s="18" t="n">
        <v>1</v>
      </c>
      <c r="Q56" s="17" t="n">
        <v>1</v>
      </c>
      <c r="R56" s="17" t="n">
        <v>1</v>
      </c>
      <c r="S56" s="17" t="n">
        <v>1</v>
      </c>
      <c r="T56" s="17" t="n">
        <v>1</v>
      </c>
      <c r="U56" s="17" t="n">
        <v>1</v>
      </c>
      <c r="V56" s="17" t="n">
        <v>1</v>
      </c>
      <c r="W56" s="17" t="n">
        <v>1</v>
      </c>
      <c r="X56" s="17" t="n">
        <v>1</v>
      </c>
      <c r="Y56" s="17" t="n">
        <v>1</v>
      </c>
      <c r="Z56" s="17" t="n">
        <v>1</v>
      </c>
      <c r="AA56" s="17" t="n">
        <v>1.26247919321804</v>
      </c>
      <c r="AB56" s="17" t="n">
        <v>1.26247919321804</v>
      </c>
      <c r="AC56" s="17" t="n">
        <v>1.52495838643608</v>
      </c>
      <c r="AD56" s="17" t="n">
        <v>1</v>
      </c>
      <c r="AE56" s="17" t="n">
        <v>1</v>
      </c>
      <c r="AF56" s="17" t="n">
        <v>1</v>
      </c>
      <c r="AG56" s="17" t="n">
        <v>1.26247919321804</v>
      </c>
      <c r="AH56" s="17" t="n">
        <v>1.26247919321804</v>
      </c>
      <c r="AI56" s="17" t="n">
        <v>1</v>
      </c>
      <c r="AJ56" s="17" t="n">
        <v>1</v>
      </c>
      <c r="AK56" s="17" t="n">
        <v>1</v>
      </c>
      <c r="AL56" s="17" t="n">
        <v>1.26247919321804</v>
      </c>
      <c r="AM56" s="17" t="n">
        <v>1.52495838643608</v>
      </c>
      <c r="AN56" s="17" t="n">
        <v>1.26247919321804</v>
      </c>
      <c r="AO56" s="17" t="n">
        <v>1.52495838643608</v>
      </c>
      <c r="AP56" s="17" t="n">
        <v>1.52495838643608</v>
      </c>
      <c r="AQ56" s="17" t="n">
        <v>1.26247919321804</v>
      </c>
      <c r="AR56" s="17" t="n">
        <v>1.26247919321804</v>
      </c>
      <c r="AS56" s="17" t="n">
        <v>1.26247919321804</v>
      </c>
      <c r="AT56" s="17" t="n">
        <v>1</v>
      </c>
      <c r="AU56" s="17" t="n">
        <v>1</v>
      </c>
      <c r="AV56" s="17" t="n">
        <v>1</v>
      </c>
      <c r="AW56" s="17" t="n">
        <v>1</v>
      </c>
      <c r="AX56" s="17" t="n">
        <v>1</v>
      </c>
      <c r="AY56" s="17" t="n">
        <v>1</v>
      </c>
      <c r="AZ56" s="17" t="n">
        <v>1.26247919321804</v>
      </c>
      <c r="BA56" s="17" t="n">
        <v>1.26247919321804</v>
      </c>
      <c r="BB56" s="17" t="n">
        <v>1</v>
      </c>
      <c r="BC56" s="17" t="n">
        <v>1</v>
      </c>
      <c r="BD56" s="17" t="n">
        <v>1</v>
      </c>
      <c r="BE56" s="17" t="n">
        <v>1</v>
      </c>
      <c r="BF56" s="17" t="n">
        <v>1</v>
      </c>
      <c r="BG56" s="17" t="n">
        <v>1.26247919321804</v>
      </c>
      <c r="BH56" s="17" t="n">
        <v>1.26247919321804</v>
      </c>
      <c r="BI56" s="17"/>
      <c r="BJ56" s="18"/>
    </row>
    <row r="57" customFormat="false" ht="15" hidden="false" customHeight="false" outlineLevel="0" collapsed="false">
      <c r="A57" s="2" t="n">
        <v>24</v>
      </c>
      <c r="B57" s="9" t="s">
        <v>75</v>
      </c>
      <c r="C57" s="0" t="n">
        <v>4</v>
      </c>
      <c r="D57" s="0" t="s">
        <v>119</v>
      </c>
      <c r="E57" s="0" t="str">
        <f aca="false">CONCATENATE("Als onderdeel van het programma 'Netwerk op zijn Best' omvat dit groot onderhoudsproject op de ",B57," een grootschalige vernieuwing van het asfalt.")</f>
        <v>Als onderdeel van het programma 'Netwerk op zijn Best' omvat dit groot onderhoudsproject op de B13-C een grootschalige vernieuwing van het asfalt.</v>
      </c>
      <c r="F57" s="13" t="s">
        <v>120</v>
      </c>
      <c r="G57" s="1" t="s">
        <v>121</v>
      </c>
      <c r="H57" s="1" t="n">
        <v>1680</v>
      </c>
      <c r="I57" s="14" t="n">
        <v>1680000</v>
      </c>
      <c r="J57" s="1" t="n">
        <v>3.5</v>
      </c>
      <c r="K57" s="15" t="n">
        <f aca="false">1/3</f>
        <v>0.333333333333333</v>
      </c>
      <c r="L57" s="1" t="n">
        <v>1</v>
      </c>
      <c r="M57" s="10" t="n">
        <f aca="false">O57-I57</f>
        <v>1008000</v>
      </c>
      <c r="N57" s="10" t="n">
        <f aca="false">IF(P57=1,0,VLOOKUP($P$1,'TTL NORMAL'!$A$2:$B$46,2,0)*(J57+L57)*P57)+IF(Q57=1,0,VLOOKUP($Q$1,'TTL NORMAL'!$A$2:$B$46,2,0)*(J57+L57)*Q57)+IF(R57=1,0,VLOOKUP($R$1,'TTL NORMAL'!$A$2:$B$46,2,0)*(J57+L57)*R57)+IF(S57=1,0,VLOOKUP($S$1,'TTL NORMAL'!$A$2:$B$46,2,0)*(J57+L57)*S57)+IF(T57=1,0,VLOOKUP($T$1,'TTL NORMAL'!$A$2:$B$46,2,0)*(J57+L57)*T57)+IF(U57=1,0,VLOOKUP($U$1,'TTL NORMAL'!$A$2:$B$46,2,0)*(J57+L57)*U57)+IF(V57=1,0,VLOOKUP($V$1,'TTL NORMAL'!$A$2:$B$46,2,0)*(J57+L57)*V57)+IF(W57=1,0,VLOOKUP($W$1,'TTL NORMAL'!$A$2:$B$46,2,0)*(J57+L57)*W57)+IF(X57=1,0,VLOOKUP($X$1,'TTL NORMAL'!$A$2:$B$46,2,0)*(J57+L57)*X57)+IF(Y57=1,0,VLOOKUP($Y$1,'TTL NORMAL'!$A$2:$B$46,2,0)*(J57+L57)*Y57)+IF(Z57=1,0,VLOOKUP($Z$1,'TTL NORMAL'!$A$2:$B$46,2,0)*(J57+L57)*Z57)+IF(AA57=1,0,VLOOKUP($AA$1,'TTL NORMAL'!$A$2:$B$46,2,0)*(J57+L57)*AA57)+IF(AB57=1,0,VLOOKUP($AB$1,'TTL NORMAL'!$A$2:$B$46,2,0)*(J57+L57)*AB57)+IF(AC57=1,0,VLOOKUP($AC$1,'TTL NORMAL'!$A$2:$B$46,2,0)*(J57+L57)*AC57)+IF(AD57=1,0,VLOOKUP($AD$1,'TTL NORMAL'!$A$2:$B$46,2,0)*(J57+L57)*AD57)+IF(AE57=1,0,VLOOKUP($AE$1,'TTL NORMAL'!$A$2:$B$46,2,0)*(J57+L57)*AE57)+IF(AF57=1,0,VLOOKUP($AF$1,'TTL NORMAL'!$A$2:$B$46,2,0)*(J57+L57)*AF57)+IF(AG57=1,0,VLOOKUP($AG$1,'TTL NORMAL'!$A$2:$B$46,2,0)*(J57+L57)*AG57)+IF(AH57=1,0,VLOOKUP($AH$1,'TTL NORMAL'!$A$2:$B$46,2,0)*(J57+L57)*AH57)+IF(AI57=1,0,VLOOKUP($AI$1,'TTL NORMAL'!$A$2:$B$46,2,0)*(J57+L57)*AI57)+IF(AJ57=1,0,VLOOKUP($AJ$1,'TTL NORMAL'!$A$2:$B$46,2,0)*(J57+L57)*AJ57)+IF(AK57=1,0,VLOOKUP($AK$1,'TTL NORMAL'!$A$2:$B$46,2,0)*(J57+L57)*AK57)+IF(AL57=1,0,VLOOKUP($AL$1,'TTL NORMAL'!$A$2:$B$46,2,0)*(J57+L57)*AL57)+IF(AM57=1,0,VLOOKUP($AM$1,'TTL NORMAL'!$A$2:$B$46,2,0)*(J57+L57)*AM57)+IF(AN57=1,0,VLOOKUP($AN$1,'TTL NORMAL'!$A$2:$B$46,2,0)*(J57+L57)*AN57)+IF(AO57=1,0,VLOOKUP($AO$1,'TTL NORMAL'!$A$2:$B$46,2,0)*(J57+L57)*AO57)+IF(AP57=1,0,VLOOKUP($AP$1,'TTL NORMAL'!$A$2:$B$46,2,0)*(J57+L57)*AP57)+IF(AQ57=1,0,VLOOKUP($AQ$1,'TTL NORMAL'!$A$2:$B$46,2,0)*(J57+L57)*AQ57)+IF(AR57=1,0,VLOOKUP($AR$1,'TTL NORMAL'!$A$2:$B$46,2,0)*(J57+L57)*AR57)+IF(AS57=1,0,VLOOKUP($AS$1,'TTL NORMAL'!$A$2:$B$46,2,0)*(J57+L57)*AS57)+IF(AT57=1,0,VLOOKUP($AT$1,'TTL NORMAL'!$A$2:$B$46,2,0)*(J57+L57)*AT57)+IF(AU57=1,0,VLOOKUP($AU$1,'TTL NORMAL'!$A$2:$B$46,2,0)*(J57+L57)*AU57)+IF(AV57=1,0,VLOOKUP($AV$1,'TTL NORMAL'!$A$2:$B$46,2,0)*(J57+L57)*AV57)+IF(AW57=1,0,VLOOKUP($AW$1,'TTL NORMAL'!$A$2:$B$46,2,0)*(J57+L57)*AW57)+IF(AX57=1,0,VLOOKUP($AX$1,'TTL NORMAL'!$A$2:$B$46,2,0)*(J57+L57)*AX57)+IF(AY57=1,0,VLOOKUP($AY$1,'TTL NORMAL'!$A$2:$B$46,2,0)*(J57+L57)*AY57)+IF(AZ57=1,0,VLOOKUP($AZ$1,'TTL NORMAL'!$A$2:$B$46,2,0)*(J57+L57)*AZ57)+IF(BA57=1,0,VLOOKUP($BA$1,'TTL NORMAL'!$A$2:$B$46,2,0)*(J57+L57)*BA57)+IF(BB57=1,0,VLOOKUP($BB$1,'TTL NORMAL'!$A$2:$B$46,2,0)*(J57+L57)*BB57)+IF(BC57=1,0,VLOOKUP($BC$1,'TTL NORMAL'!$A$2:$B$46,2,0)*(J57+L57)*BC57)+IF(BD57=1,0,VLOOKUP($BD$1,'TTL NORMAL'!$A$2:$B$46,2,0)*(J57+L57)*BD57)+IF(BE57=1,0,VLOOKUP($BE$1,'TTL NORMAL'!$A$2:$B$46,2,0)*(J57+L57)*BE57)+IF(BF57=1,0,VLOOKUP($BF$1,'TTL NORMAL'!$A$2:$B$46,2,0)*(J57+L57)*BF57)+IF(BG57=1,0,VLOOKUP($BG$1,'TTL NORMAL'!$A$2:$B$46,2,0)*(J57+L57)*BG57)+IF(BH57=1,0,VLOOKUP($BH$1,'TTL NORMAL'!$A$2:$B$46,2,0)*(J57+L57)*BH57)</f>
        <v>460550.27748917</v>
      </c>
      <c r="O57" s="5" t="n">
        <v>2688000</v>
      </c>
      <c r="P57" s="18" t="n">
        <v>1</v>
      </c>
      <c r="Q57" s="17" t="n">
        <v>1</v>
      </c>
      <c r="R57" s="17" t="n">
        <v>1</v>
      </c>
      <c r="S57" s="17" t="n">
        <v>1</v>
      </c>
      <c r="T57" s="17" t="n">
        <v>1</v>
      </c>
      <c r="U57" s="17" t="n">
        <v>1</v>
      </c>
      <c r="V57" s="17" t="n">
        <v>1</v>
      </c>
      <c r="W57" s="17" t="n">
        <v>1</v>
      </c>
      <c r="X57" s="17" t="n">
        <v>1</v>
      </c>
      <c r="Y57" s="17" t="n">
        <v>1</v>
      </c>
      <c r="Z57" s="17" t="n">
        <v>1</v>
      </c>
      <c r="AA57" s="17" t="n">
        <v>1.31497503186165</v>
      </c>
      <c r="AB57" s="17" t="n">
        <v>1.31497503186165</v>
      </c>
      <c r="AC57" s="17" t="n">
        <v>1.6299500637233</v>
      </c>
      <c r="AD57" s="17" t="n">
        <v>1</v>
      </c>
      <c r="AE57" s="17" t="n">
        <v>1</v>
      </c>
      <c r="AF57" s="17" t="n">
        <v>1</v>
      </c>
      <c r="AG57" s="17" t="n">
        <v>1.31497503186165</v>
      </c>
      <c r="AH57" s="17" t="n">
        <v>1.31497503186165</v>
      </c>
      <c r="AI57" s="17" t="n">
        <v>1</v>
      </c>
      <c r="AJ57" s="17" t="n">
        <v>1</v>
      </c>
      <c r="AK57" s="17" t="n">
        <v>1</v>
      </c>
      <c r="AL57" s="17" t="n">
        <v>1.31497503186165</v>
      </c>
      <c r="AM57" s="17" t="n">
        <v>1.6299500637233</v>
      </c>
      <c r="AN57" s="17" t="n">
        <v>1.6299500637233</v>
      </c>
      <c r="AO57" s="17" t="n">
        <v>1.6299500637233</v>
      </c>
      <c r="AP57" s="17" t="n">
        <v>1.6299500637233</v>
      </c>
      <c r="AQ57" s="17" t="n">
        <v>1.31497503186165</v>
      </c>
      <c r="AR57" s="17" t="n">
        <v>1.31497503186165</v>
      </c>
      <c r="AS57" s="17" t="n">
        <v>1.31497503186165</v>
      </c>
      <c r="AT57" s="17" t="n">
        <v>1</v>
      </c>
      <c r="AU57" s="17" t="n">
        <v>1</v>
      </c>
      <c r="AV57" s="17" t="n">
        <v>1</v>
      </c>
      <c r="AW57" s="17" t="n">
        <v>1</v>
      </c>
      <c r="AX57" s="17" t="n">
        <v>1</v>
      </c>
      <c r="AY57" s="17" t="n">
        <v>1</v>
      </c>
      <c r="AZ57" s="17" t="n">
        <v>1.31497503186165</v>
      </c>
      <c r="BA57" s="17" t="n">
        <v>1.31497503186165</v>
      </c>
      <c r="BB57" s="17" t="n">
        <v>1</v>
      </c>
      <c r="BC57" s="17" t="n">
        <v>1</v>
      </c>
      <c r="BD57" s="17" t="n">
        <v>1</v>
      </c>
      <c r="BE57" s="17" t="n">
        <v>1</v>
      </c>
      <c r="BF57" s="17" t="n">
        <v>1</v>
      </c>
      <c r="BG57" s="17" t="n">
        <v>1.31497503186165</v>
      </c>
      <c r="BH57" s="17" t="n">
        <v>1.31497503186165</v>
      </c>
      <c r="BI57" s="17"/>
      <c r="BJ57" s="18"/>
    </row>
    <row r="58" customFormat="false" ht="15" hidden="false" customHeight="false" outlineLevel="0" collapsed="false">
      <c r="A58" s="2" t="n">
        <v>25</v>
      </c>
      <c r="B58" s="19" t="s">
        <v>76</v>
      </c>
      <c r="C58" s="0" t="n">
        <v>1</v>
      </c>
      <c r="D58" s="0" t="s">
        <v>112</v>
      </c>
      <c r="E58" s="0" t="str">
        <f aca="false">CONCATENATE("Als onderdeel van het programma 'Netwerk op zijn Best' omvat dit groot onderhoudsproject op de ",B58," een grootschalige vernieuwing van het asfalt.")</f>
        <v>Als onderdeel van het programma 'Netwerk op zijn Best' omvat dit groot onderhoudsproject op de B14-A een grootschalige vernieuwing van het asfalt.</v>
      </c>
      <c r="F58" s="13" t="s">
        <v>113</v>
      </c>
      <c r="G58" s="1" t="s">
        <v>121</v>
      </c>
      <c r="H58" s="1" t="n">
        <v>1760</v>
      </c>
      <c r="I58" s="14" t="n">
        <v>5778000</v>
      </c>
      <c r="J58" s="1" t="n">
        <v>8.8</v>
      </c>
      <c r="K58" s="15" t="n">
        <f aca="false">1/3</f>
        <v>0.333333333333333</v>
      </c>
      <c r="L58" s="1" t="n">
        <v>2</v>
      </c>
      <c r="M58" s="10" t="n">
        <f aca="false">O58-I58</f>
        <v>2630000</v>
      </c>
      <c r="N58" s="10" t="n">
        <f aca="false">IF(P58=1,0,VLOOKUP($P$1,'TTL NORMAL'!$A$2:$B$46,2,0)*(J58+L58)*P58)+IF(Q58=1,0,VLOOKUP($Q$1,'TTL NORMAL'!$A$2:$B$46,2,0)*(J58+L58)*Q58)+IF(R58=1,0,VLOOKUP($R$1,'TTL NORMAL'!$A$2:$B$46,2,0)*(J58+L58)*R58)+IF(S58=1,0,VLOOKUP($S$1,'TTL NORMAL'!$A$2:$B$46,2,0)*(J58+L58)*S58)+IF(T58=1,0,VLOOKUP($T$1,'TTL NORMAL'!$A$2:$B$46,2,0)*(J58+L58)*T58)+IF(U58=1,0,VLOOKUP($U$1,'TTL NORMAL'!$A$2:$B$46,2,0)*(J58+L58)*U58)+IF(V58=1,0,VLOOKUP($V$1,'TTL NORMAL'!$A$2:$B$46,2,0)*(J58+L58)*V58)+IF(W58=1,0,VLOOKUP($W$1,'TTL NORMAL'!$A$2:$B$46,2,0)*(J58+L58)*W58)+IF(X58=1,0,VLOOKUP($X$1,'TTL NORMAL'!$A$2:$B$46,2,0)*(J58+L58)*X58)+IF(Y58=1,0,VLOOKUP($Y$1,'TTL NORMAL'!$A$2:$B$46,2,0)*(J58+L58)*Y58)+IF(Z58=1,0,VLOOKUP($Z$1,'TTL NORMAL'!$A$2:$B$46,2,0)*(J58+L58)*Z58)+IF(AA58=1,0,VLOOKUP($AA$1,'TTL NORMAL'!$A$2:$B$46,2,0)*(J58+L58)*AA58)+IF(AB58=1,0,VLOOKUP($AB$1,'TTL NORMAL'!$A$2:$B$46,2,0)*(J58+L58)*AB58)+IF(AC58=1,0,VLOOKUP($AC$1,'TTL NORMAL'!$A$2:$B$46,2,0)*(J58+L58)*AC58)+IF(AD58=1,0,VLOOKUP($AD$1,'TTL NORMAL'!$A$2:$B$46,2,0)*(J58+L58)*AD58)+IF(AE58=1,0,VLOOKUP($AE$1,'TTL NORMAL'!$A$2:$B$46,2,0)*(J58+L58)*AE58)+IF(AF58=1,0,VLOOKUP($AF$1,'TTL NORMAL'!$A$2:$B$46,2,0)*(J58+L58)*AF58)+IF(AG58=1,0,VLOOKUP($AG$1,'TTL NORMAL'!$A$2:$B$46,2,0)*(J58+L58)*AG58)+IF(AH58=1,0,VLOOKUP($AH$1,'TTL NORMAL'!$A$2:$B$46,2,0)*(J58+L58)*AH58)+IF(AI58=1,0,VLOOKUP($AI$1,'TTL NORMAL'!$A$2:$B$46,2,0)*(J58+L58)*AI58)+IF(AJ58=1,0,VLOOKUP($AJ$1,'TTL NORMAL'!$A$2:$B$46,2,0)*(J58+L58)*AJ58)+IF(AK58=1,0,VLOOKUP($AK$1,'TTL NORMAL'!$A$2:$B$46,2,0)*(J58+L58)*AK58)+IF(AL58=1,0,VLOOKUP($AL$1,'TTL NORMAL'!$A$2:$B$46,2,0)*(J58+L58)*AL58)+IF(AM58=1,0,VLOOKUP($AM$1,'TTL NORMAL'!$A$2:$B$46,2,0)*(J58+L58)*AM58)+IF(AN58=1,0,VLOOKUP($AN$1,'TTL NORMAL'!$A$2:$B$46,2,0)*(J58+L58)*AN58)+IF(AO58=1,0,VLOOKUP($AO$1,'TTL NORMAL'!$A$2:$B$46,2,0)*(J58+L58)*AO58)+IF(AP58=1,0,VLOOKUP($AP$1,'TTL NORMAL'!$A$2:$B$46,2,0)*(J58+L58)*AP58)+IF(AQ58=1,0,VLOOKUP($AQ$1,'TTL NORMAL'!$A$2:$B$46,2,0)*(J58+L58)*AQ58)+IF(AR58=1,0,VLOOKUP($AR$1,'TTL NORMAL'!$A$2:$B$46,2,0)*(J58+L58)*AR58)+IF(AS58=1,0,VLOOKUP($AS$1,'TTL NORMAL'!$A$2:$B$46,2,0)*(J58+L58)*AS58)+IF(AT58=1,0,VLOOKUP($AT$1,'TTL NORMAL'!$A$2:$B$46,2,0)*(J58+L58)*AT58)+IF(AU58=1,0,VLOOKUP($AU$1,'TTL NORMAL'!$A$2:$B$46,2,0)*(J58+L58)*AU58)+IF(AV58=1,0,VLOOKUP($AV$1,'TTL NORMAL'!$A$2:$B$46,2,0)*(J58+L58)*AV58)+IF(AW58=1,0,VLOOKUP($AW$1,'TTL NORMAL'!$A$2:$B$46,2,0)*(J58+L58)*AW58)+IF(AX58=1,0,VLOOKUP($AX$1,'TTL NORMAL'!$A$2:$B$46,2,0)*(J58+L58)*AX58)+IF(AY58=1,0,VLOOKUP($AY$1,'TTL NORMAL'!$A$2:$B$46,2,0)*(J58+L58)*AY58)+IF(AZ58=1,0,VLOOKUP($AZ$1,'TTL NORMAL'!$A$2:$B$46,2,0)*(J58+L58)*AZ58)+IF(BA58=1,0,VLOOKUP($BA$1,'TTL NORMAL'!$A$2:$B$46,2,0)*(J58+L58)*BA58)+IF(BB58=1,0,VLOOKUP($BB$1,'TTL NORMAL'!$A$2:$B$46,2,0)*(J58+L58)*BB58)+IF(BC58=1,0,VLOOKUP($BC$1,'TTL NORMAL'!$A$2:$B$46,2,0)*(J58+L58)*BC58)+IF(BD58=1,0,VLOOKUP($BD$1,'TTL NORMAL'!$A$2:$B$46,2,0)*(J58+L58)*BD58)+IF(BE58=1,0,VLOOKUP($BE$1,'TTL NORMAL'!$A$2:$B$46,2,0)*(J58+L58)*BE58)+IF(BF58=1,0,VLOOKUP($BF$1,'TTL NORMAL'!$A$2:$B$46,2,0)*(J58+L58)*BF58)+IF(BG58=1,0,VLOOKUP($BG$1,'TTL NORMAL'!$A$2:$B$46,2,0)*(J58+L58)*BG58)+IF(BH58=1,0,VLOOKUP($BH$1,'TTL NORMAL'!$A$2:$B$46,2,0)*(J58+L58)*BH58)</f>
        <v>1033055.19604603</v>
      </c>
      <c r="O58" s="5" t="n">
        <v>8408000</v>
      </c>
      <c r="P58" s="18" t="n">
        <v>1</v>
      </c>
      <c r="Q58" s="17" t="n">
        <v>1</v>
      </c>
      <c r="R58" s="17" t="n">
        <v>1</v>
      </c>
      <c r="S58" s="17" t="n">
        <v>1</v>
      </c>
      <c r="T58" s="17" t="n">
        <v>1</v>
      </c>
      <c r="U58" s="17" t="n">
        <v>1</v>
      </c>
      <c r="V58" s="17" t="n">
        <v>1</v>
      </c>
      <c r="W58" s="17" t="n">
        <v>1</v>
      </c>
      <c r="X58" s="17" t="n">
        <v>1</v>
      </c>
      <c r="Y58" s="17" t="n">
        <v>1</v>
      </c>
      <c r="Z58" s="17" t="n">
        <v>1.32997384290268</v>
      </c>
      <c r="AA58" s="17" t="n">
        <v>1.65994768580536</v>
      </c>
      <c r="AB58" s="17" t="n">
        <v>1</v>
      </c>
      <c r="AC58" s="17" t="n">
        <v>1.32997384290268</v>
      </c>
      <c r="AD58" s="17" t="n">
        <v>1</v>
      </c>
      <c r="AE58" s="17" t="n">
        <v>1</v>
      </c>
      <c r="AF58" s="17" t="n">
        <v>1</v>
      </c>
      <c r="AG58" s="17" t="n">
        <v>1.32997384290268</v>
      </c>
      <c r="AH58" s="17" t="n">
        <v>1.32997384290268</v>
      </c>
      <c r="AI58" s="17" t="n">
        <v>1</v>
      </c>
      <c r="AJ58" s="17" t="n">
        <v>1</v>
      </c>
      <c r="AK58" s="17" t="n">
        <v>1</v>
      </c>
      <c r="AL58" s="17" t="n">
        <v>1.32997384290268</v>
      </c>
      <c r="AM58" s="17" t="n">
        <v>1.65994768580536</v>
      </c>
      <c r="AN58" s="17" t="n">
        <v>1.65994768580536</v>
      </c>
      <c r="AO58" s="17" t="n">
        <v>1</v>
      </c>
      <c r="AP58" s="17" t="n">
        <v>1.65994768580536</v>
      </c>
      <c r="AQ58" s="17" t="n">
        <v>1.32997384290268</v>
      </c>
      <c r="AR58" s="17" t="n">
        <v>1.32997384290268</v>
      </c>
      <c r="AS58" s="17" t="n">
        <v>1.32997384290268</v>
      </c>
      <c r="AT58" s="17" t="n">
        <v>1</v>
      </c>
      <c r="AU58" s="17" t="n">
        <v>1</v>
      </c>
      <c r="AV58" s="17" t="n">
        <v>1</v>
      </c>
      <c r="AW58" s="17" t="n">
        <v>1</v>
      </c>
      <c r="AX58" s="17" t="n">
        <v>1.32997384290268</v>
      </c>
      <c r="AY58" s="17" t="n">
        <v>1.32997384290268</v>
      </c>
      <c r="AZ58" s="17" t="n">
        <v>1</v>
      </c>
      <c r="BA58" s="17" t="n">
        <v>1</v>
      </c>
      <c r="BB58" s="17" t="n">
        <v>1</v>
      </c>
      <c r="BC58" s="17" t="n">
        <v>1</v>
      </c>
      <c r="BD58" s="17" t="n">
        <v>1</v>
      </c>
      <c r="BE58" s="17" t="n">
        <v>1</v>
      </c>
      <c r="BF58" s="17" t="n">
        <v>1</v>
      </c>
      <c r="BG58" s="17" t="n">
        <v>1.32997384290268</v>
      </c>
      <c r="BH58" s="17" t="n">
        <v>1.32997384290268</v>
      </c>
      <c r="BI58" s="17"/>
      <c r="BJ58" s="17"/>
    </row>
    <row r="59" customFormat="false" ht="15" hidden="false" customHeight="false" outlineLevel="0" collapsed="false">
      <c r="A59" s="2" t="n">
        <v>25</v>
      </c>
      <c r="B59" s="19" t="s">
        <v>76</v>
      </c>
      <c r="C59" s="0" t="n">
        <v>2</v>
      </c>
      <c r="D59" s="0" t="s">
        <v>115</v>
      </c>
      <c r="E59" s="0" t="str">
        <f aca="false">CONCATENATE("Als onderdeel van het programma 'Netwerk op zijn Best' omvat dit groot onderhoudsproject op de ",B59," een grootschalige vernieuwing van het asfalt.")</f>
        <v>Als onderdeel van het programma 'Netwerk op zijn Best' omvat dit groot onderhoudsproject op de B14-A een grootschalige vernieuwing van het asfalt.</v>
      </c>
      <c r="F59" s="13" t="s">
        <v>116</v>
      </c>
      <c r="G59" s="1" t="s">
        <v>121</v>
      </c>
      <c r="H59" s="1" t="n">
        <v>2640</v>
      </c>
      <c r="I59" s="14" t="n">
        <v>3676500</v>
      </c>
      <c r="J59" s="1" t="n">
        <v>8</v>
      </c>
      <c r="K59" s="15" t="n">
        <f aca="false">1/3</f>
        <v>0.333333333333333</v>
      </c>
      <c r="L59" s="1" t="n">
        <v>4</v>
      </c>
      <c r="M59" s="10" t="n">
        <f aca="false">O59-I59</f>
        <v>4731500</v>
      </c>
      <c r="N59" s="10" t="n">
        <f aca="false">IF(P59=1,0,VLOOKUP($P$1,'TTL NORMAL'!$A$2:$B$46,2,0)*(J59+L59)*P59)+IF(Q59=1,0,VLOOKUP($Q$1,'TTL NORMAL'!$A$2:$B$46,2,0)*(J59+L59)*Q59)+IF(R59=1,0,VLOOKUP($R$1,'TTL NORMAL'!$A$2:$B$46,2,0)*(J59+L59)*R59)+IF(S59=1,0,VLOOKUP($S$1,'TTL NORMAL'!$A$2:$B$46,2,0)*(J59+L59)*S59)+IF(T59=1,0,VLOOKUP($T$1,'TTL NORMAL'!$A$2:$B$46,2,0)*(J59+L59)*T59)+IF(U59=1,0,VLOOKUP($U$1,'TTL NORMAL'!$A$2:$B$46,2,0)*(J59+L59)*U59)+IF(V59=1,0,VLOOKUP($V$1,'TTL NORMAL'!$A$2:$B$46,2,0)*(J59+L59)*V59)+IF(W59=1,0,VLOOKUP($W$1,'TTL NORMAL'!$A$2:$B$46,2,0)*(J59+L59)*W59)+IF(X59=1,0,VLOOKUP($X$1,'TTL NORMAL'!$A$2:$B$46,2,0)*(J59+L59)*X59)+IF(Y59=1,0,VLOOKUP($Y$1,'TTL NORMAL'!$A$2:$B$46,2,0)*(J59+L59)*Y59)+IF(Z59=1,0,VLOOKUP($Z$1,'TTL NORMAL'!$A$2:$B$46,2,0)*(J59+L59)*Z59)+IF(AA59=1,0,VLOOKUP($AA$1,'TTL NORMAL'!$A$2:$B$46,2,0)*(J59+L59)*AA59)+IF(AB59=1,0,VLOOKUP($AB$1,'TTL NORMAL'!$A$2:$B$46,2,0)*(J59+L59)*AB59)+IF(AC59=1,0,VLOOKUP($AC$1,'TTL NORMAL'!$A$2:$B$46,2,0)*(J59+L59)*AC59)+IF(AD59=1,0,VLOOKUP($AD$1,'TTL NORMAL'!$A$2:$B$46,2,0)*(J59+L59)*AD59)+IF(AE59=1,0,VLOOKUP($AE$1,'TTL NORMAL'!$A$2:$B$46,2,0)*(J59+L59)*AE59)+IF(AF59=1,0,VLOOKUP($AF$1,'TTL NORMAL'!$A$2:$B$46,2,0)*(J59+L59)*AF59)+IF(AG59=1,0,VLOOKUP($AG$1,'TTL NORMAL'!$A$2:$B$46,2,0)*(J59+L59)*AG59)+IF(AH59=1,0,VLOOKUP($AH$1,'TTL NORMAL'!$A$2:$B$46,2,0)*(J59+L59)*AH59)+IF(AI59=1,0,VLOOKUP($AI$1,'TTL NORMAL'!$A$2:$B$46,2,0)*(J59+L59)*AI59)+IF(AJ59=1,0,VLOOKUP($AJ$1,'TTL NORMAL'!$A$2:$B$46,2,0)*(J59+L59)*AJ59)+IF(AK59=1,0,VLOOKUP($AK$1,'TTL NORMAL'!$A$2:$B$46,2,0)*(J59+L59)*AK59)+IF(AL59=1,0,VLOOKUP($AL$1,'TTL NORMAL'!$A$2:$B$46,2,0)*(J59+L59)*AL59)+IF(AM59=1,0,VLOOKUP($AM$1,'TTL NORMAL'!$A$2:$B$46,2,0)*(J59+L59)*AM59)+IF(AN59=1,0,VLOOKUP($AN$1,'TTL NORMAL'!$A$2:$B$46,2,0)*(J59+L59)*AN59)+IF(AO59=1,0,VLOOKUP($AO$1,'TTL NORMAL'!$A$2:$B$46,2,0)*(J59+L59)*AO59)+IF(AP59=1,0,VLOOKUP($AP$1,'TTL NORMAL'!$A$2:$B$46,2,0)*(J59+L59)*AP59)+IF(AQ59=1,0,VLOOKUP($AQ$1,'TTL NORMAL'!$A$2:$B$46,2,0)*(J59+L59)*AQ59)+IF(AR59=1,0,VLOOKUP($AR$1,'TTL NORMAL'!$A$2:$B$46,2,0)*(J59+L59)*AR59)+IF(AS59=1,0,VLOOKUP($AS$1,'TTL NORMAL'!$A$2:$B$46,2,0)*(J59+L59)*AS59)+IF(AT59=1,0,VLOOKUP($AT$1,'TTL NORMAL'!$A$2:$B$46,2,0)*(J59+L59)*AT59)+IF(AU59=1,0,VLOOKUP($AU$1,'TTL NORMAL'!$A$2:$B$46,2,0)*(J59+L59)*AU59)+IF(AV59=1,0,VLOOKUP($AV$1,'TTL NORMAL'!$A$2:$B$46,2,0)*(J59+L59)*AV59)+IF(AW59=1,0,VLOOKUP($AW$1,'TTL NORMAL'!$A$2:$B$46,2,0)*(J59+L59)*AW59)+IF(AX59=1,0,VLOOKUP($AX$1,'TTL NORMAL'!$A$2:$B$46,2,0)*(J59+L59)*AX59)+IF(AY59=1,0,VLOOKUP($AY$1,'TTL NORMAL'!$A$2:$B$46,2,0)*(J59+L59)*AY59)+IF(AZ59=1,0,VLOOKUP($AZ$1,'TTL NORMAL'!$A$2:$B$46,2,0)*(J59+L59)*AZ59)+IF(BA59=1,0,VLOOKUP($BA$1,'TTL NORMAL'!$A$2:$B$46,2,0)*(J59+L59)*BA59)+IF(BB59=1,0,VLOOKUP($BB$1,'TTL NORMAL'!$A$2:$B$46,2,0)*(J59+L59)*BB59)+IF(BC59=1,0,VLOOKUP($BC$1,'TTL NORMAL'!$A$2:$B$46,2,0)*(J59+L59)*BC59)+IF(BD59=1,0,VLOOKUP($BD$1,'TTL NORMAL'!$A$2:$B$46,2,0)*(J59+L59)*BD59)+IF(BE59=1,0,VLOOKUP($BE$1,'TTL NORMAL'!$A$2:$B$46,2,0)*(J59+L59)*BE59)+IF(BF59=1,0,VLOOKUP($BF$1,'TTL NORMAL'!$A$2:$B$46,2,0)*(J59+L59)*BF59)+IF(BG59=1,0,VLOOKUP($BG$1,'TTL NORMAL'!$A$2:$B$46,2,0)*(J59+L59)*BG59)+IF(BH59=1,0,VLOOKUP($BH$1,'TTL NORMAL'!$A$2:$B$46,2,0)*(J59+L59)*BH59)</f>
        <v>1421134.79899132</v>
      </c>
      <c r="O59" s="5" t="n">
        <v>8408000</v>
      </c>
      <c r="P59" s="18" t="n">
        <v>1</v>
      </c>
      <c r="Q59" s="17" t="n">
        <v>1</v>
      </c>
      <c r="R59" s="17" t="n">
        <v>1</v>
      </c>
      <c r="S59" s="17" t="n">
        <v>1</v>
      </c>
      <c r="T59" s="17" t="n">
        <v>1</v>
      </c>
      <c r="U59" s="17" t="n">
        <v>1</v>
      </c>
      <c r="V59" s="17" t="n">
        <v>1</v>
      </c>
      <c r="W59" s="17" t="n">
        <v>1</v>
      </c>
      <c r="X59" s="17" t="n">
        <v>1</v>
      </c>
      <c r="Y59" s="17" t="n">
        <v>1</v>
      </c>
      <c r="Z59" s="17" t="n">
        <v>1.49496076435402</v>
      </c>
      <c r="AA59" s="17" t="n">
        <v>1.98992152870804</v>
      </c>
      <c r="AB59" s="17" t="n">
        <v>1</v>
      </c>
      <c r="AC59" s="17" t="n">
        <v>1.49496076435402</v>
      </c>
      <c r="AD59" s="17" t="n">
        <v>1</v>
      </c>
      <c r="AE59" s="17" t="n">
        <v>1</v>
      </c>
      <c r="AF59" s="17" t="n">
        <v>1</v>
      </c>
      <c r="AG59" s="17" t="n">
        <v>1.49496076435402</v>
      </c>
      <c r="AH59" s="17" t="n">
        <v>1.49496076435402</v>
      </c>
      <c r="AI59" s="17" t="n">
        <v>1</v>
      </c>
      <c r="AJ59" s="17" t="n">
        <v>1</v>
      </c>
      <c r="AK59" s="17" t="n">
        <v>1</v>
      </c>
      <c r="AL59" s="17" t="n">
        <v>1.49496076435402</v>
      </c>
      <c r="AM59" s="17" t="n">
        <v>1.98992152870804</v>
      </c>
      <c r="AN59" s="17" t="n">
        <v>1.98992152870804</v>
      </c>
      <c r="AO59" s="17" t="n">
        <v>1.98992152870804</v>
      </c>
      <c r="AP59" s="17" t="n">
        <v>1.98992152870804</v>
      </c>
      <c r="AQ59" s="17" t="n">
        <v>1.49496076435402</v>
      </c>
      <c r="AR59" s="17" t="n">
        <v>1.49496076435402</v>
      </c>
      <c r="AS59" s="17" t="n">
        <v>1.49496076435402</v>
      </c>
      <c r="AT59" s="17" t="n">
        <v>1</v>
      </c>
      <c r="AU59" s="17" t="n">
        <v>1</v>
      </c>
      <c r="AV59" s="17" t="n">
        <v>1</v>
      </c>
      <c r="AW59" s="17" t="n">
        <v>1</v>
      </c>
      <c r="AX59" s="17" t="n">
        <v>1.49496076435402</v>
      </c>
      <c r="AY59" s="17" t="n">
        <v>1.49496076435402</v>
      </c>
      <c r="AZ59" s="17" t="n">
        <v>1</v>
      </c>
      <c r="BA59" s="17" t="n">
        <v>1</v>
      </c>
      <c r="BB59" s="17" t="n">
        <v>1</v>
      </c>
      <c r="BC59" s="17" t="n">
        <v>1</v>
      </c>
      <c r="BD59" s="17" t="n">
        <v>1</v>
      </c>
      <c r="BE59" s="17" t="n">
        <v>1</v>
      </c>
      <c r="BF59" s="17" t="n">
        <v>1</v>
      </c>
      <c r="BG59" s="17" t="n">
        <v>1.49496076435402</v>
      </c>
      <c r="BH59" s="17" t="n">
        <v>1.49496076435402</v>
      </c>
      <c r="BI59" s="17"/>
      <c r="BJ59" s="17"/>
    </row>
    <row r="60" customFormat="false" ht="15" hidden="false" customHeight="false" outlineLevel="0" collapsed="false">
      <c r="A60" s="2" t="n">
        <v>25</v>
      </c>
      <c r="B60" s="19" t="s">
        <v>76</v>
      </c>
      <c r="C60" s="0" t="n">
        <v>3</v>
      </c>
      <c r="D60" s="0" t="s">
        <v>117</v>
      </c>
      <c r="E60" s="0" t="str">
        <f aca="false">CONCATENATE("Als onderdeel van het programma 'Netwerk op zijn Best' omvat dit groot onderhoudsproject op de ",B60," een grootschalige vernieuwing van het asfalt.")</f>
        <v>Als onderdeel van het programma 'Netwerk op zijn Best' omvat dit groot onderhoudsproject op de B14-A een grootschalige vernieuwing van het asfalt.</v>
      </c>
      <c r="F60" s="13" t="s">
        <v>118</v>
      </c>
      <c r="G60" s="1" t="s">
        <v>121</v>
      </c>
      <c r="H60" s="1" t="n">
        <v>2200</v>
      </c>
      <c r="I60" s="14" t="n">
        <v>5778300</v>
      </c>
      <c r="J60" s="1" t="n">
        <v>8</v>
      </c>
      <c r="K60" s="15" t="n">
        <f aca="false">1/3</f>
        <v>0.333333333333333</v>
      </c>
      <c r="L60" s="1" t="n">
        <v>0</v>
      </c>
      <c r="M60" s="10" t="n">
        <f aca="false">O60-I60</f>
        <v>2629700</v>
      </c>
      <c r="N60" s="10" t="n">
        <f aca="false">IF(P60=1,0,VLOOKUP($P$1,'TTL NORMAL'!$A$2:$B$46,2,0)*(J60+L60)*P60)+IF(Q60=1,0,VLOOKUP($Q$1,'TTL NORMAL'!$A$2:$B$46,2,0)*(J60+L60)*Q60)+IF(R60=1,0,VLOOKUP($R$1,'TTL NORMAL'!$A$2:$B$46,2,0)*(J60+L60)*R60)+IF(S60=1,0,VLOOKUP($S$1,'TTL NORMAL'!$A$2:$B$46,2,0)*(J60+L60)*S60)+IF(T60=1,0,VLOOKUP($T$1,'TTL NORMAL'!$A$2:$B$46,2,0)*(J60+L60)*T60)+IF(U60=1,0,VLOOKUP($U$1,'TTL NORMAL'!$A$2:$B$46,2,0)*(J60+L60)*U60)+IF(V60=1,0,VLOOKUP($V$1,'TTL NORMAL'!$A$2:$B$46,2,0)*(J60+L60)*V60)+IF(W60=1,0,VLOOKUP($W$1,'TTL NORMAL'!$A$2:$B$46,2,0)*(J60+L60)*W60)+IF(X60=1,0,VLOOKUP($X$1,'TTL NORMAL'!$A$2:$B$46,2,0)*(J60+L60)*X60)+IF(Y60=1,0,VLOOKUP($Y$1,'TTL NORMAL'!$A$2:$B$46,2,0)*(J60+L60)*Y60)+IF(Z60=1,0,VLOOKUP($Z$1,'TTL NORMAL'!$A$2:$B$46,2,0)*(J60+L60)*Z60)+IF(AA60=1,0,VLOOKUP($AA$1,'TTL NORMAL'!$A$2:$B$46,2,0)*(J60+L60)*AA60)+IF(AB60=1,0,VLOOKUP($AB$1,'TTL NORMAL'!$A$2:$B$46,2,0)*(J60+L60)*AB60)+IF(AC60=1,0,VLOOKUP($AC$1,'TTL NORMAL'!$A$2:$B$46,2,0)*(J60+L60)*AC60)+IF(AD60=1,0,VLOOKUP($AD$1,'TTL NORMAL'!$A$2:$B$46,2,0)*(J60+L60)*AD60)+IF(AE60=1,0,VLOOKUP($AE$1,'TTL NORMAL'!$A$2:$B$46,2,0)*(J60+L60)*AE60)+IF(AF60=1,0,VLOOKUP($AF$1,'TTL NORMAL'!$A$2:$B$46,2,0)*(J60+L60)*AF60)+IF(AG60=1,0,VLOOKUP($AG$1,'TTL NORMAL'!$A$2:$B$46,2,0)*(J60+L60)*AG60)+IF(AH60=1,0,VLOOKUP($AH$1,'TTL NORMAL'!$A$2:$B$46,2,0)*(J60+L60)*AH60)+IF(AI60=1,0,VLOOKUP($AI$1,'TTL NORMAL'!$A$2:$B$46,2,0)*(J60+L60)*AI60)+IF(AJ60=1,0,VLOOKUP($AJ$1,'TTL NORMAL'!$A$2:$B$46,2,0)*(J60+L60)*AJ60)+IF(AK60=1,0,VLOOKUP($AK$1,'TTL NORMAL'!$A$2:$B$46,2,0)*(J60+L60)*AK60)+IF(AL60=1,0,VLOOKUP($AL$1,'TTL NORMAL'!$A$2:$B$46,2,0)*(J60+L60)*AL60)+IF(AM60=1,0,VLOOKUP($AM$1,'TTL NORMAL'!$A$2:$B$46,2,0)*(J60+L60)*AM60)+IF(AN60=1,0,VLOOKUP($AN$1,'TTL NORMAL'!$A$2:$B$46,2,0)*(J60+L60)*AN60)+IF(AO60=1,0,VLOOKUP($AO$1,'TTL NORMAL'!$A$2:$B$46,2,0)*(J60+L60)*AO60)+IF(AP60=1,0,VLOOKUP($AP$1,'TTL NORMAL'!$A$2:$B$46,2,0)*(J60+L60)*AP60)+IF(AQ60=1,0,VLOOKUP($AQ$1,'TTL NORMAL'!$A$2:$B$46,2,0)*(J60+L60)*AQ60)+IF(AR60=1,0,VLOOKUP($AR$1,'TTL NORMAL'!$A$2:$B$46,2,0)*(J60+L60)*AR60)+IF(AS60=1,0,VLOOKUP($AS$1,'TTL NORMAL'!$A$2:$B$46,2,0)*(J60+L60)*AS60)+IF(AT60=1,0,VLOOKUP($AT$1,'TTL NORMAL'!$A$2:$B$46,2,0)*(J60+L60)*AT60)+IF(AU60=1,0,VLOOKUP($AU$1,'TTL NORMAL'!$A$2:$B$46,2,0)*(J60+L60)*AU60)+IF(AV60=1,0,VLOOKUP($AV$1,'TTL NORMAL'!$A$2:$B$46,2,0)*(J60+L60)*AV60)+IF(AW60=1,0,VLOOKUP($AW$1,'TTL NORMAL'!$A$2:$B$46,2,0)*(J60+L60)*AW60)+IF(AX60=1,0,VLOOKUP($AX$1,'TTL NORMAL'!$A$2:$B$46,2,0)*(J60+L60)*AX60)+IF(AY60=1,0,VLOOKUP($AY$1,'TTL NORMAL'!$A$2:$B$46,2,0)*(J60+L60)*AY60)+IF(AZ60=1,0,VLOOKUP($AZ$1,'TTL NORMAL'!$A$2:$B$46,2,0)*(J60+L60)*AZ60)+IF(BA60=1,0,VLOOKUP($BA$1,'TTL NORMAL'!$A$2:$B$46,2,0)*(J60+L60)*BA60)+IF(BB60=1,0,VLOOKUP($BB$1,'TTL NORMAL'!$A$2:$B$46,2,0)*(J60+L60)*BB60)+IF(BC60=1,0,VLOOKUP($BC$1,'TTL NORMAL'!$A$2:$B$46,2,0)*(J60+L60)*BC60)+IF(BD60=1,0,VLOOKUP($BD$1,'TTL NORMAL'!$A$2:$B$46,2,0)*(J60+L60)*BD60)+IF(BE60=1,0,VLOOKUP($BE$1,'TTL NORMAL'!$A$2:$B$46,2,0)*(J60+L60)*BE60)+IF(BF60=1,0,VLOOKUP($BF$1,'TTL NORMAL'!$A$2:$B$46,2,0)*(J60+L60)*BF60)+IF(BG60=1,0,VLOOKUP($BG$1,'TTL NORMAL'!$A$2:$B$46,2,0)*(J60+L60)*BG60)+IF(BH60=1,0,VLOOKUP($BH$1,'TTL NORMAL'!$A$2:$B$46,2,0)*(J60+L60)*BH60)</f>
        <v>872485.223128424</v>
      </c>
      <c r="O60" s="10" t="n">
        <v>8408000</v>
      </c>
      <c r="P60" s="18" t="n">
        <v>1</v>
      </c>
      <c r="Q60" s="17" t="n">
        <v>1</v>
      </c>
      <c r="R60" s="17" t="n">
        <v>1</v>
      </c>
      <c r="S60" s="17" t="n">
        <v>1</v>
      </c>
      <c r="T60" s="17" t="n">
        <v>1</v>
      </c>
      <c r="U60" s="17" t="n">
        <v>1</v>
      </c>
      <c r="V60" s="17" t="n">
        <v>1</v>
      </c>
      <c r="W60" s="17" t="n">
        <v>1</v>
      </c>
      <c r="X60" s="17" t="n">
        <v>1</v>
      </c>
      <c r="Y60" s="17" t="n">
        <v>1</v>
      </c>
      <c r="Z60" s="17" t="n">
        <v>1.41246730362835</v>
      </c>
      <c r="AA60" s="17" t="n">
        <v>1.8249346072567</v>
      </c>
      <c r="AB60" s="17" t="n">
        <v>1</v>
      </c>
      <c r="AC60" s="17" t="n">
        <v>1.41246730362835</v>
      </c>
      <c r="AD60" s="17" t="n">
        <v>1</v>
      </c>
      <c r="AE60" s="17" t="n">
        <v>1</v>
      </c>
      <c r="AF60" s="17" t="n">
        <v>1</v>
      </c>
      <c r="AG60" s="17" t="n">
        <v>1.41246730362835</v>
      </c>
      <c r="AH60" s="17" t="n">
        <v>1.41246730362835</v>
      </c>
      <c r="AI60" s="17" t="n">
        <v>1</v>
      </c>
      <c r="AJ60" s="17" t="n">
        <v>1</v>
      </c>
      <c r="AK60" s="17" t="n">
        <v>1</v>
      </c>
      <c r="AL60" s="17" t="n">
        <v>1.41246730362835</v>
      </c>
      <c r="AM60" s="17" t="n">
        <v>1.8249346072567</v>
      </c>
      <c r="AN60" s="17" t="n">
        <v>1.8249346072567</v>
      </c>
      <c r="AO60" s="17" t="n">
        <v>1.41246730362835</v>
      </c>
      <c r="AP60" s="17" t="n">
        <v>1.8249346072567</v>
      </c>
      <c r="AQ60" s="17" t="n">
        <v>1.41246730362835</v>
      </c>
      <c r="AR60" s="17" t="n">
        <v>1.41246730362835</v>
      </c>
      <c r="AS60" s="17" t="n">
        <v>1.41246730362835</v>
      </c>
      <c r="AT60" s="17" t="n">
        <v>1</v>
      </c>
      <c r="AU60" s="17" t="n">
        <v>1</v>
      </c>
      <c r="AV60" s="17" t="n">
        <v>1</v>
      </c>
      <c r="AW60" s="17" t="n">
        <v>1</v>
      </c>
      <c r="AX60" s="17" t="n">
        <v>1.41246730362835</v>
      </c>
      <c r="AY60" s="17" t="n">
        <v>1.41246730362835</v>
      </c>
      <c r="AZ60" s="17" t="n">
        <v>1</v>
      </c>
      <c r="BA60" s="17" t="n">
        <v>1</v>
      </c>
      <c r="BB60" s="17" t="n">
        <v>1</v>
      </c>
      <c r="BC60" s="17" t="n">
        <v>1</v>
      </c>
      <c r="BD60" s="17" t="n">
        <v>1</v>
      </c>
      <c r="BE60" s="17" t="n">
        <v>1</v>
      </c>
      <c r="BF60" s="17" t="n">
        <v>1</v>
      </c>
      <c r="BG60" s="17" t="n">
        <v>1.41246730362835</v>
      </c>
      <c r="BH60" s="17" t="n">
        <v>1.41246730362835</v>
      </c>
      <c r="BI60" s="17"/>
      <c r="BJ60" s="17"/>
    </row>
    <row r="61" customFormat="false" ht="15" hidden="false" customHeight="false" outlineLevel="0" collapsed="false">
      <c r="A61" s="2" t="n">
        <v>25</v>
      </c>
      <c r="B61" s="19" t="s">
        <v>76</v>
      </c>
      <c r="C61" s="0" t="n">
        <v>4</v>
      </c>
      <c r="D61" s="0" t="s">
        <v>119</v>
      </c>
      <c r="E61" s="0" t="str">
        <f aca="false">CONCATENATE("Als onderdeel van het programma 'Netwerk op zijn Best' omvat dit groot onderhoudsproject op de ",B61," een grootschalige vernieuwing van het asfalt.")</f>
        <v>Als onderdeel van het programma 'Netwerk op zijn Best' omvat dit groot onderhoudsproject op de B14-A een grootschalige vernieuwing van het asfalt.</v>
      </c>
      <c r="F61" s="13" t="s">
        <v>120</v>
      </c>
      <c r="G61" s="1" t="s">
        <v>121</v>
      </c>
      <c r="H61" s="1" t="n">
        <v>2640</v>
      </c>
      <c r="I61" s="14" t="n">
        <v>5253000</v>
      </c>
      <c r="J61" s="1" t="n">
        <v>5.6</v>
      </c>
      <c r="K61" s="15" t="n">
        <f aca="false">1/3</f>
        <v>0.333333333333333</v>
      </c>
      <c r="L61" s="1" t="n">
        <v>2</v>
      </c>
      <c r="M61" s="10" t="n">
        <f aca="false">O61-I61</f>
        <v>3155000</v>
      </c>
      <c r="N61" s="10" t="n">
        <f aca="false">IF(P61=1,0,VLOOKUP($P$1,'TTL NORMAL'!$A$2:$B$46,2,0)*(J61+L61)*P61)+IF(Q61=1,0,VLOOKUP($Q$1,'TTL NORMAL'!$A$2:$B$46,2,0)*(J61+L61)*Q61)+IF(R61=1,0,VLOOKUP($R$1,'TTL NORMAL'!$A$2:$B$46,2,0)*(J61+L61)*R61)+IF(S61=1,0,VLOOKUP($S$1,'TTL NORMAL'!$A$2:$B$46,2,0)*(J61+L61)*S61)+IF(T61=1,0,VLOOKUP($T$1,'TTL NORMAL'!$A$2:$B$46,2,0)*(J61+L61)*T61)+IF(U61=1,0,VLOOKUP($U$1,'TTL NORMAL'!$A$2:$B$46,2,0)*(J61+L61)*U61)+IF(V61=1,0,VLOOKUP($V$1,'TTL NORMAL'!$A$2:$B$46,2,0)*(J61+L61)*V61)+IF(W61=1,0,VLOOKUP($W$1,'TTL NORMAL'!$A$2:$B$46,2,0)*(J61+L61)*W61)+IF(X61=1,0,VLOOKUP($X$1,'TTL NORMAL'!$A$2:$B$46,2,0)*(J61+L61)*X61)+IF(Y61=1,0,VLOOKUP($Y$1,'TTL NORMAL'!$A$2:$B$46,2,0)*(J61+L61)*Y61)+IF(Z61=1,0,VLOOKUP($Z$1,'TTL NORMAL'!$A$2:$B$46,2,0)*(J61+L61)*Z61)+IF(AA61=1,0,VLOOKUP($AA$1,'TTL NORMAL'!$A$2:$B$46,2,0)*(J61+L61)*AA61)+IF(AB61=1,0,VLOOKUP($AB$1,'TTL NORMAL'!$A$2:$B$46,2,0)*(J61+L61)*AB61)+IF(AC61=1,0,VLOOKUP($AC$1,'TTL NORMAL'!$A$2:$B$46,2,0)*(J61+L61)*AC61)+IF(AD61=1,0,VLOOKUP($AD$1,'TTL NORMAL'!$A$2:$B$46,2,0)*(J61+L61)*AD61)+IF(AE61=1,0,VLOOKUP($AE$1,'TTL NORMAL'!$A$2:$B$46,2,0)*(J61+L61)*AE61)+IF(AF61=1,0,VLOOKUP($AF$1,'TTL NORMAL'!$A$2:$B$46,2,0)*(J61+L61)*AF61)+IF(AG61=1,0,VLOOKUP($AG$1,'TTL NORMAL'!$A$2:$B$46,2,0)*(J61+L61)*AG61)+IF(AH61=1,0,VLOOKUP($AH$1,'TTL NORMAL'!$A$2:$B$46,2,0)*(J61+L61)*AH61)+IF(AI61=1,0,VLOOKUP($AI$1,'TTL NORMAL'!$A$2:$B$46,2,0)*(J61+L61)*AI61)+IF(AJ61=1,0,VLOOKUP($AJ$1,'TTL NORMAL'!$A$2:$B$46,2,0)*(J61+L61)*AJ61)+IF(AK61=1,0,VLOOKUP($AK$1,'TTL NORMAL'!$A$2:$B$46,2,0)*(J61+L61)*AK61)+IF(AL61=1,0,VLOOKUP($AL$1,'TTL NORMAL'!$A$2:$B$46,2,0)*(J61+L61)*AL61)+IF(AM61=1,0,VLOOKUP($AM$1,'TTL NORMAL'!$A$2:$B$46,2,0)*(J61+L61)*AM61)+IF(AN61=1,0,VLOOKUP($AN$1,'TTL NORMAL'!$A$2:$B$46,2,0)*(J61+L61)*AN61)+IF(AO61=1,0,VLOOKUP($AO$1,'TTL NORMAL'!$A$2:$B$46,2,0)*(J61+L61)*AO61)+IF(AP61=1,0,VLOOKUP($AP$1,'TTL NORMAL'!$A$2:$B$46,2,0)*(J61+L61)*AP61)+IF(AQ61=1,0,VLOOKUP($AQ$1,'TTL NORMAL'!$A$2:$B$46,2,0)*(J61+L61)*AQ61)+IF(AR61=1,0,VLOOKUP($AR$1,'TTL NORMAL'!$A$2:$B$46,2,0)*(J61+L61)*AR61)+IF(AS61=1,0,VLOOKUP($AS$1,'TTL NORMAL'!$A$2:$B$46,2,0)*(J61+L61)*AS61)+IF(AT61=1,0,VLOOKUP($AT$1,'TTL NORMAL'!$A$2:$B$46,2,0)*(J61+L61)*AT61)+IF(AU61=1,0,VLOOKUP($AU$1,'TTL NORMAL'!$A$2:$B$46,2,0)*(J61+L61)*AU61)+IF(AV61=1,0,VLOOKUP($AV$1,'TTL NORMAL'!$A$2:$B$46,2,0)*(J61+L61)*AV61)+IF(AW61=1,0,VLOOKUP($AW$1,'TTL NORMAL'!$A$2:$B$46,2,0)*(J61+L61)*AW61)+IF(AX61=1,0,VLOOKUP($AX$1,'TTL NORMAL'!$A$2:$B$46,2,0)*(J61+L61)*AX61)+IF(AY61=1,0,VLOOKUP($AY$1,'TTL NORMAL'!$A$2:$B$46,2,0)*(J61+L61)*AY61)+IF(AZ61=1,0,VLOOKUP($AZ$1,'TTL NORMAL'!$A$2:$B$46,2,0)*(J61+L61)*AZ61)+IF(BA61=1,0,VLOOKUP($BA$1,'TTL NORMAL'!$A$2:$B$46,2,0)*(J61+L61)*BA61)+IF(BB61=1,0,VLOOKUP($BB$1,'TTL NORMAL'!$A$2:$B$46,2,0)*(J61+L61)*BB61)+IF(BC61=1,0,VLOOKUP($BC$1,'TTL NORMAL'!$A$2:$B$46,2,0)*(J61+L61)*BC61)+IF(BD61=1,0,VLOOKUP($BD$1,'TTL NORMAL'!$A$2:$B$46,2,0)*(J61+L61)*BD61)+IF(BE61=1,0,VLOOKUP($BE$1,'TTL NORMAL'!$A$2:$B$46,2,0)*(J61+L61)*BE61)+IF(BF61=1,0,VLOOKUP($BF$1,'TTL NORMAL'!$A$2:$B$46,2,0)*(J61+L61)*BF61)+IF(BG61=1,0,VLOOKUP($BG$1,'TTL NORMAL'!$A$2:$B$46,2,0)*(J61+L61)*BG61)+IF(BH61=1,0,VLOOKUP($BH$1,'TTL NORMAL'!$A$2:$B$46,2,0)*(J61+L61)*BH61)</f>
        <v>900052.039361171</v>
      </c>
      <c r="O61" s="5" t="n">
        <v>8408000</v>
      </c>
      <c r="P61" s="18" t="n">
        <v>1</v>
      </c>
      <c r="Q61" s="17" t="n">
        <v>1</v>
      </c>
      <c r="R61" s="17" t="n">
        <v>1</v>
      </c>
      <c r="S61" s="17" t="n">
        <v>1</v>
      </c>
      <c r="T61" s="17" t="n">
        <v>1</v>
      </c>
      <c r="U61" s="17" t="n">
        <v>1</v>
      </c>
      <c r="V61" s="17" t="n">
        <v>1</v>
      </c>
      <c r="W61" s="17" t="n">
        <v>1</v>
      </c>
      <c r="X61" s="17" t="n">
        <v>1</v>
      </c>
      <c r="Y61" s="17" t="n">
        <v>1</v>
      </c>
      <c r="Z61" s="17" t="n">
        <v>1.49496076435402</v>
      </c>
      <c r="AA61" s="17" t="n">
        <v>1.98992152870804</v>
      </c>
      <c r="AB61" s="17" t="n">
        <v>1</v>
      </c>
      <c r="AC61" s="17" t="n">
        <v>1.49496076435402</v>
      </c>
      <c r="AD61" s="17" t="n">
        <v>1</v>
      </c>
      <c r="AE61" s="17" t="n">
        <v>1</v>
      </c>
      <c r="AF61" s="17" t="n">
        <v>1</v>
      </c>
      <c r="AG61" s="17" t="n">
        <v>1.49496076435402</v>
      </c>
      <c r="AH61" s="17" t="n">
        <v>1.49496076435402</v>
      </c>
      <c r="AI61" s="17" t="n">
        <v>1</v>
      </c>
      <c r="AJ61" s="17" t="n">
        <v>1</v>
      </c>
      <c r="AK61" s="17" t="n">
        <v>1</v>
      </c>
      <c r="AL61" s="17" t="n">
        <v>1.49496076435402</v>
      </c>
      <c r="AM61" s="17" t="n">
        <v>1.98992152870804</v>
      </c>
      <c r="AN61" s="17" t="n">
        <v>1.98992152870804</v>
      </c>
      <c r="AO61" s="17" t="n">
        <v>1.98992152870804</v>
      </c>
      <c r="AP61" s="17" t="n">
        <v>1.98992152870804</v>
      </c>
      <c r="AQ61" s="17" t="n">
        <v>1.49496076435402</v>
      </c>
      <c r="AR61" s="17" t="n">
        <v>1.49496076435402</v>
      </c>
      <c r="AS61" s="17" t="n">
        <v>1.49496076435402</v>
      </c>
      <c r="AT61" s="17" t="n">
        <v>1</v>
      </c>
      <c r="AU61" s="17" t="n">
        <v>1</v>
      </c>
      <c r="AV61" s="17" t="n">
        <v>1</v>
      </c>
      <c r="AW61" s="17" t="n">
        <v>1</v>
      </c>
      <c r="AX61" s="17" t="n">
        <v>1.49496076435402</v>
      </c>
      <c r="AY61" s="17" t="n">
        <v>1.49496076435402</v>
      </c>
      <c r="AZ61" s="17" t="n">
        <v>1</v>
      </c>
      <c r="BA61" s="17" t="n">
        <v>1</v>
      </c>
      <c r="BB61" s="17" t="n">
        <v>1</v>
      </c>
      <c r="BC61" s="17" t="n">
        <v>1</v>
      </c>
      <c r="BD61" s="17" t="n">
        <v>1</v>
      </c>
      <c r="BE61" s="17" t="n">
        <v>1</v>
      </c>
      <c r="BF61" s="17" t="n">
        <v>1</v>
      </c>
      <c r="BG61" s="17" t="n">
        <v>1.49496076435402</v>
      </c>
      <c r="BH61" s="17" t="n">
        <v>1.49496076435402</v>
      </c>
      <c r="BI61" s="17"/>
      <c r="BJ61" s="17"/>
    </row>
    <row r="62" customFormat="false" ht="15" hidden="false" customHeight="false" outlineLevel="0" collapsed="false">
      <c r="A62" s="2" t="n">
        <v>26</v>
      </c>
      <c r="B62" s="0" t="s">
        <v>77</v>
      </c>
      <c r="C62" s="0" t="n">
        <v>1</v>
      </c>
      <c r="D62" s="0" t="s">
        <v>112</v>
      </c>
      <c r="E62" s="0" t="str">
        <f aca="false">CONCATENATE("Als onderdeel van het programma 'Netwerk op zijn Best' omvat dit groot onderhoudsproject op de ",B62," een rijbaanverbreding van 3 naar 4 rijstroken op het knooppunt tussen de ",B62," en de M4.")</f>
        <v>Als onderdeel van het programma 'Netwerk op zijn Best' omvat dit groot onderhoudsproject op de B14-B een rijbaanverbreding van 3 naar 4 rijstroken op het knooppunt tussen de B14-B en de M4.</v>
      </c>
      <c r="F62" s="13" t="s">
        <v>113</v>
      </c>
      <c r="G62" s="1" t="s">
        <v>122</v>
      </c>
      <c r="H62" s="1" t="n">
        <v>3040</v>
      </c>
      <c r="I62" s="14" t="n">
        <v>4618500</v>
      </c>
      <c r="J62" s="1" t="n">
        <v>14.3</v>
      </c>
      <c r="K62" s="15" t="n">
        <f aca="false">1/3</f>
        <v>0.333333333333333</v>
      </c>
      <c r="L62" s="1" t="n">
        <v>2</v>
      </c>
      <c r="M62" s="10" t="n">
        <f aca="false">O62-I62</f>
        <v>2103500</v>
      </c>
      <c r="N62" s="10" t="n">
        <f aca="false">IF(P62=1,0,VLOOKUP($P$1,'TTL NORMAL'!$A$2:$B$46,2,0)*(J62+L62)*P62)+IF(Q62=1,0,VLOOKUP($Q$1,'TTL NORMAL'!$A$2:$B$46,2,0)*(J62+L62)*Q62)+IF(R62=1,0,VLOOKUP($R$1,'TTL NORMAL'!$A$2:$B$46,2,0)*(J62+L62)*R62)+IF(S62=1,0,VLOOKUP($S$1,'TTL NORMAL'!$A$2:$B$46,2,0)*(J62+L62)*S62)+IF(T62=1,0,VLOOKUP($T$1,'TTL NORMAL'!$A$2:$B$46,2,0)*(J62+L62)*T62)+IF(U62=1,0,VLOOKUP($U$1,'TTL NORMAL'!$A$2:$B$46,2,0)*(J62+L62)*U62)+IF(V62=1,0,VLOOKUP($V$1,'TTL NORMAL'!$A$2:$B$46,2,0)*(J62+L62)*V62)+IF(W62=1,0,VLOOKUP($W$1,'TTL NORMAL'!$A$2:$B$46,2,0)*(J62+L62)*W62)+IF(X62=1,0,VLOOKUP($X$1,'TTL NORMAL'!$A$2:$B$46,2,0)*(J62+L62)*X62)+IF(Y62=1,0,VLOOKUP($Y$1,'TTL NORMAL'!$A$2:$B$46,2,0)*(J62+L62)*Y62)+IF(Z62=1,0,VLOOKUP($Z$1,'TTL NORMAL'!$A$2:$B$46,2,0)*(J62+L62)*Z62)+IF(AA62=1,0,VLOOKUP($AA$1,'TTL NORMAL'!$A$2:$B$46,2,0)*(J62+L62)*AA62)+IF(AB62=1,0,VLOOKUP($AB$1,'TTL NORMAL'!$A$2:$B$46,2,0)*(J62+L62)*AB62)+IF(AC62=1,0,VLOOKUP($AC$1,'TTL NORMAL'!$A$2:$B$46,2,0)*(J62+L62)*AC62)+IF(AD62=1,0,VLOOKUP($AD$1,'TTL NORMAL'!$A$2:$B$46,2,0)*(J62+L62)*AD62)+IF(AE62=1,0,VLOOKUP($AE$1,'TTL NORMAL'!$A$2:$B$46,2,0)*(J62+L62)*AE62)+IF(AF62=1,0,VLOOKUP($AF$1,'TTL NORMAL'!$A$2:$B$46,2,0)*(J62+L62)*AF62)+IF(AG62=1,0,VLOOKUP($AG$1,'TTL NORMAL'!$A$2:$B$46,2,0)*(J62+L62)*AG62)+IF(AH62=1,0,VLOOKUP($AH$1,'TTL NORMAL'!$A$2:$B$46,2,0)*(J62+L62)*AH62)+IF(AI62=1,0,VLOOKUP($AI$1,'TTL NORMAL'!$A$2:$B$46,2,0)*(J62+L62)*AI62)+IF(AJ62=1,0,VLOOKUP($AJ$1,'TTL NORMAL'!$A$2:$B$46,2,0)*(J62+L62)*AJ62)+IF(AK62=1,0,VLOOKUP($AK$1,'TTL NORMAL'!$A$2:$B$46,2,0)*(J62+L62)*AK62)+IF(AL62=1,0,VLOOKUP($AL$1,'TTL NORMAL'!$A$2:$B$46,2,0)*(J62+L62)*AL62)+IF(AM62=1,0,VLOOKUP($AM$1,'TTL NORMAL'!$A$2:$B$46,2,0)*(J62+L62)*AM62)+IF(AN62=1,0,VLOOKUP($AN$1,'TTL NORMAL'!$A$2:$B$46,2,0)*(J62+L62)*AN62)+IF(AO62=1,0,VLOOKUP($AO$1,'TTL NORMAL'!$A$2:$B$46,2,0)*(J62+L62)*AO62)+IF(AP62=1,0,VLOOKUP($AP$1,'TTL NORMAL'!$A$2:$B$46,2,0)*(J62+L62)*AP62)+IF(AQ62=1,0,VLOOKUP($AQ$1,'TTL NORMAL'!$A$2:$B$46,2,0)*(J62+L62)*AQ62)+IF(AR62=1,0,VLOOKUP($AR$1,'TTL NORMAL'!$A$2:$B$46,2,0)*(J62+L62)*AR62)+IF(AS62=1,0,VLOOKUP($AS$1,'TTL NORMAL'!$A$2:$B$46,2,0)*(J62+L62)*AS62)+IF(AT62=1,0,VLOOKUP($AT$1,'TTL NORMAL'!$A$2:$B$46,2,0)*(J62+L62)*AT62)+IF(AU62=1,0,VLOOKUP($AU$1,'TTL NORMAL'!$A$2:$B$46,2,0)*(J62+L62)*AU62)+IF(AV62=1,0,VLOOKUP($AV$1,'TTL NORMAL'!$A$2:$B$46,2,0)*(J62+L62)*AV62)+IF(AW62=1,0,VLOOKUP($AW$1,'TTL NORMAL'!$A$2:$B$46,2,0)*(J62+L62)*AW62)+IF(AX62=1,0,VLOOKUP($AX$1,'TTL NORMAL'!$A$2:$B$46,2,0)*(J62+L62)*AX62)+IF(AY62=1,0,VLOOKUP($AY$1,'TTL NORMAL'!$A$2:$B$46,2,0)*(J62+L62)*AY62)+IF(AZ62=1,0,VLOOKUP($AZ$1,'TTL NORMAL'!$A$2:$B$46,2,0)*(J62+L62)*AZ62)+IF(BA62=1,0,VLOOKUP($BA$1,'TTL NORMAL'!$A$2:$B$46,2,0)*(J62+L62)*BA62)+IF(BB62=1,0,VLOOKUP($BB$1,'TTL NORMAL'!$A$2:$B$46,2,0)*(J62+L62)*BB62)+IF(BC62=1,0,VLOOKUP($BC$1,'TTL NORMAL'!$A$2:$B$46,2,0)*(J62+L62)*BC62)+IF(BD62=1,0,VLOOKUP($BD$1,'TTL NORMAL'!$A$2:$B$46,2,0)*(J62+L62)*BD62)+IF(BE62=1,0,VLOOKUP($BE$1,'TTL NORMAL'!$A$2:$B$46,2,0)*(J62+L62)*BE62)+IF(BF62=1,0,VLOOKUP($BF$1,'TTL NORMAL'!$A$2:$B$46,2,0)*(J62+L62)*BF62)+IF(BG62=1,0,VLOOKUP($BG$1,'TTL NORMAL'!$A$2:$B$46,2,0)*(J62+L62)*BG62)+IF(BH62=1,0,VLOOKUP($BH$1,'TTL NORMAL'!$A$2:$B$46,2,0)*(J62+L62)*BH62)</f>
        <v>1942989.45792241</v>
      </c>
      <c r="O62" s="5" t="n">
        <v>6722000</v>
      </c>
      <c r="P62" s="18" t="n">
        <v>1</v>
      </c>
      <c r="Q62" s="17" t="n">
        <v>1</v>
      </c>
      <c r="R62" s="17" t="n">
        <v>1</v>
      </c>
      <c r="S62" s="17" t="n">
        <v>1.31415190780744</v>
      </c>
      <c r="T62" s="17" t="n">
        <v>1.31415190780744</v>
      </c>
      <c r="U62" s="17" t="n">
        <v>1</v>
      </c>
      <c r="V62" s="17" t="n">
        <v>1</v>
      </c>
      <c r="W62" s="17" t="n">
        <v>1</v>
      </c>
      <c r="X62" s="17" t="n">
        <v>1</v>
      </c>
      <c r="Y62" s="17" t="n">
        <v>1</v>
      </c>
      <c r="Z62" s="17" t="n">
        <v>1</v>
      </c>
      <c r="AA62" s="17" t="n">
        <v>1.31415190780744</v>
      </c>
      <c r="AB62" s="17" t="n">
        <v>1</v>
      </c>
      <c r="AC62" s="17" t="n">
        <v>1.31415190780744</v>
      </c>
      <c r="AD62" s="17" t="n">
        <v>1</v>
      </c>
      <c r="AE62" s="17" t="n">
        <v>1.31415190780744</v>
      </c>
      <c r="AF62" s="17" t="n">
        <v>1.31415190780744</v>
      </c>
      <c r="AG62" s="17" t="n">
        <v>1.31415190780744</v>
      </c>
      <c r="AH62" s="17" t="n">
        <v>1.31415190780744</v>
      </c>
      <c r="AI62" s="17" t="n">
        <v>1</v>
      </c>
      <c r="AJ62" s="17" t="n">
        <v>1</v>
      </c>
      <c r="AK62" s="17" t="n">
        <v>1.31415190780744</v>
      </c>
      <c r="AL62" s="17" t="n">
        <v>1.31415190780744</v>
      </c>
      <c r="AM62" s="17" t="n">
        <v>1.62830381561489</v>
      </c>
      <c r="AN62" s="17" t="n">
        <v>1.62830381561489</v>
      </c>
      <c r="AO62" s="17" t="n">
        <v>1.62830381561489</v>
      </c>
      <c r="AP62" s="17" t="n">
        <v>1</v>
      </c>
      <c r="AQ62" s="17" t="n">
        <v>1.62830381561489</v>
      </c>
      <c r="AR62" s="17" t="n">
        <v>1.62830381561489</v>
      </c>
      <c r="AS62" s="17" t="n">
        <v>1.62830381561489</v>
      </c>
      <c r="AT62" s="17" t="n">
        <v>1.31415190780744</v>
      </c>
      <c r="AU62" s="17" t="n">
        <v>1</v>
      </c>
      <c r="AV62" s="17" t="n">
        <v>1</v>
      </c>
      <c r="AW62" s="17" t="n">
        <v>1</v>
      </c>
      <c r="AX62" s="17" t="n">
        <v>1</v>
      </c>
      <c r="AY62" s="17" t="n">
        <v>1</v>
      </c>
      <c r="AZ62" s="17" t="n">
        <v>1</v>
      </c>
      <c r="BA62" s="17" t="n">
        <v>1</v>
      </c>
      <c r="BB62" s="17" t="n">
        <v>1</v>
      </c>
      <c r="BC62" s="17" t="n">
        <v>1</v>
      </c>
      <c r="BD62" s="17" t="n">
        <v>1</v>
      </c>
      <c r="BE62" s="17" t="n">
        <v>1</v>
      </c>
      <c r="BF62" s="17" t="n">
        <v>1</v>
      </c>
      <c r="BG62" s="17" t="n">
        <v>1.31415190780744</v>
      </c>
      <c r="BH62" s="17" t="n">
        <v>1.62830381561489</v>
      </c>
      <c r="BI62" s="17"/>
      <c r="BJ62" s="18"/>
    </row>
    <row r="63" customFormat="false" ht="15" hidden="false" customHeight="false" outlineLevel="0" collapsed="false">
      <c r="A63" s="2" t="n">
        <v>26</v>
      </c>
      <c r="B63" s="0" t="s">
        <v>77</v>
      </c>
      <c r="C63" s="0" t="n">
        <v>2</v>
      </c>
      <c r="D63" s="0" t="s">
        <v>115</v>
      </c>
      <c r="E63" s="0" t="str">
        <f aca="false">CONCATENATE("Als onderdeel van het programma 'Netwerk op zijn Best' omvat dit groot onderhoudsproject op de ",B63," een rijbaanverbreding van 3 naar 4 rijstroken op het knooppunt tussen de ",B63," en de M4.")</f>
        <v>Als onderdeel van het programma 'Netwerk op zijn Best' omvat dit groot onderhoudsproject op de B14-B een rijbaanverbreding van 3 naar 4 rijstroken op het knooppunt tussen de B14-B en de M4.</v>
      </c>
      <c r="F63" s="13" t="s">
        <v>116</v>
      </c>
      <c r="G63" s="1" t="s">
        <v>122</v>
      </c>
      <c r="H63" s="1" t="n">
        <v>4560</v>
      </c>
      <c r="I63" s="14" t="n">
        <v>2938500</v>
      </c>
      <c r="J63" s="1" t="n">
        <v>13</v>
      </c>
      <c r="K63" s="15" t="n">
        <f aca="false">1/3</f>
        <v>0.333333333333333</v>
      </c>
      <c r="L63" s="1" t="n">
        <v>4</v>
      </c>
      <c r="M63" s="10" t="n">
        <f aca="false">O63-I63</f>
        <v>3783500</v>
      </c>
      <c r="N63" s="10" t="n">
        <f aca="false">IF(P63=1,0,VLOOKUP($P$1,'TTL NORMAL'!$A$2:$B$46,2,0)*(J63+L63)*P63)+IF(Q63=1,0,VLOOKUP($Q$1,'TTL NORMAL'!$A$2:$B$46,2,0)*(J63+L63)*Q63)+IF(R63=1,0,VLOOKUP($R$1,'TTL NORMAL'!$A$2:$B$46,2,0)*(J63+L63)*R63)+IF(S63=1,0,VLOOKUP($S$1,'TTL NORMAL'!$A$2:$B$46,2,0)*(J63+L63)*S63)+IF(T63=1,0,VLOOKUP($T$1,'TTL NORMAL'!$A$2:$B$46,2,0)*(J63+L63)*T63)+IF(U63=1,0,VLOOKUP($U$1,'TTL NORMAL'!$A$2:$B$46,2,0)*(J63+L63)*U63)+IF(V63=1,0,VLOOKUP($V$1,'TTL NORMAL'!$A$2:$B$46,2,0)*(J63+L63)*V63)+IF(W63=1,0,VLOOKUP($W$1,'TTL NORMAL'!$A$2:$B$46,2,0)*(J63+L63)*W63)+IF(X63=1,0,VLOOKUP($X$1,'TTL NORMAL'!$A$2:$B$46,2,0)*(J63+L63)*X63)+IF(Y63=1,0,VLOOKUP($Y$1,'TTL NORMAL'!$A$2:$B$46,2,0)*(J63+L63)*Y63)+IF(Z63=1,0,VLOOKUP($Z$1,'TTL NORMAL'!$A$2:$B$46,2,0)*(J63+L63)*Z63)+IF(AA63=1,0,VLOOKUP($AA$1,'TTL NORMAL'!$A$2:$B$46,2,0)*(J63+L63)*AA63)+IF(AB63=1,0,VLOOKUP($AB$1,'TTL NORMAL'!$A$2:$B$46,2,0)*(J63+L63)*AB63)+IF(AC63=1,0,VLOOKUP($AC$1,'TTL NORMAL'!$A$2:$B$46,2,0)*(J63+L63)*AC63)+IF(AD63=1,0,VLOOKUP($AD$1,'TTL NORMAL'!$A$2:$B$46,2,0)*(J63+L63)*AD63)+IF(AE63=1,0,VLOOKUP($AE$1,'TTL NORMAL'!$A$2:$B$46,2,0)*(J63+L63)*AE63)+IF(AF63=1,0,VLOOKUP($AF$1,'TTL NORMAL'!$A$2:$B$46,2,0)*(J63+L63)*AF63)+IF(AG63=1,0,VLOOKUP($AG$1,'TTL NORMAL'!$A$2:$B$46,2,0)*(J63+L63)*AG63)+IF(AH63=1,0,VLOOKUP($AH$1,'TTL NORMAL'!$A$2:$B$46,2,0)*(J63+L63)*AH63)+IF(AI63=1,0,VLOOKUP($AI$1,'TTL NORMAL'!$A$2:$B$46,2,0)*(J63+L63)*AI63)+IF(AJ63=1,0,VLOOKUP($AJ$1,'TTL NORMAL'!$A$2:$B$46,2,0)*(J63+L63)*AJ63)+IF(AK63=1,0,VLOOKUP($AK$1,'TTL NORMAL'!$A$2:$B$46,2,0)*(J63+L63)*AK63)+IF(AL63=1,0,VLOOKUP($AL$1,'TTL NORMAL'!$A$2:$B$46,2,0)*(J63+L63)*AL63)+IF(AM63=1,0,VLOOKUP($AM$1,'TTL NORMAL'!$A$2:$B$46,2,0)*(J63+L63)*AM63)+IF(AN63=1,0,VLOOKUP($AN$1,'TTL NORMAL'!$A$2:$B$46,2,0)*(J63+L63)*AN63)+IF(AO63=1,0,VLOOKUP($AO$1,'TTL NORMAL'!$A$2:$B$46,2,0)*(J63+L63)*AO63)+IF(AP63=1,0,VLOOKUP($AP$1,'TTL NORMAL'!$A$2:$B$46,2,0)*(J63+L63)*AP63)+IF(AQ63=1,0,VLOOKUP($AQ$1,'TTL NORMAL'!$A$2:$B$46,2,0)*(J63+L63)*AQ63)+IF(AR63=1,0,VLOOKUP($AR$1,'TTL NORMAL'!$A$2:$B$46,2,0)*(J63+L63)*AR63)+IF(AS63=1,0,VLOOKUP($AS$1,'TTL NORMAL'!$A$2:$B$46,2,0)*(J63+L63)*AS63)+IF(AT63=1,0,VLOOKUP($AT$1,'TTL NORMAL'!$A$2:$B$46,2,0)*(J63+L63)*AT63)+IF(AU63=1,0,VLOOKUP($AU$1,'TTL NORMAL'!$A$2:$B$46,2,0)*(J63+L63)*AU63)+IF(AV63=1,0,VLOOKUP($AV$1,'TTL NORMAL'!$A$2:$B$46,2,0)*(J63+L63)*AV63)+IF(AW63=1,0,VLOOKUP($AW$1,'TTL NORMAL'!$A$2:$B$46,2,0)*(J63+L63)*AW63)+IF(AX63=1,0,VLOOKUP($AX$1,'TTL NORMAL'!$A$2:$B$46,2,0)*(J63+L63)*AX63)+IF(AY63=1,0,VLOOKUP($AY$1,'TTL NORMAL'!$A$2:$B$46,2,0)*(J63+L63)*AY63)+IF(AZ63=1,0,VLOOKUP($AZ$1,'TTL NORMAL'!$A$2:$B$46,2,0)*(J63+L63)*AZ63)+IF(BA63=1,0,VLOOKUP($BA$1,'TTL NORMAL'!$A$2:$B$46,2,0)*(J63+L63)*BA63)+IF(BB63=1,0,VLOOKUP($BB$1,'TTL NORMAL'!$A$2:$B$46,2,0)*(J63+L63)*BB63)+IF(BC63=1,0,VLOOKUP($BC$1,'TTL NORMAL'!$A$2:$B$46,2,0)*(J63+L63)*BC63)+IF(BD63=1,0,VLOOKUP($BD$1,'TTL NORMAL'!$A$2:$B$46,2,0)*(J63+L63)*BD63)+IF(BE63=1,0,VLOOKUP($BE$1,'TTL NORMAL'!$A$2:$B$46,2,0)*(J63+L63)*BE63)+IF(BF63=1,0,VLOOKUP($BF$1,'TTL NORMAL'!$A$2:$B$46,2,0)*(J63+L63)*BF63)+IF(BG63=1,0,VLOOKUP($BG$1,'TTL NORMAL'!$A$2:$B$46,2,0)*(J63+L63)*BG63)+IF(BH63=1,0,VLOOKUP($BH$1,'TTL NORMAL'!$A$2:$B$46,2,0)*(J63+L63)*BH63)</f>
        <v>2409910.15013166</v>
      </c>
      <c r="O63" s="5" t="n">
        <v>6722000</v>
      </c>
      <c r="P63" s="18" t="n">
        <v>1</v>
      </c>
      <c r="Q63" s="17" t="n">
        <v>1</v>
      </c>
      <c r="R63" s="17" t="n">
        <v>1</v>
      </c>
      <c r="S63" s="17" t="n">
        <v>1.47122786171116</v>
      </c>
      <c r="T63" s="17" t="n">
        <v>1.47122786171116</v>
      </c>
      <c r="U63" s="17" t="n">
        <v>1</v>
      </c>
      <c r="V63" s="17" t="n">
        <v>1</v>
      </c>
      <c r="W63" s="17" t="n">
        <v>1</v>
      </c>
      <c r="X63" s="17" t="n">
        <v>1</v>
      </c>
      <c r="Y63" s="17" t="n">
        <v>1</v>
      </c>
      <c r="Z63" s="17" t="n">
        <v>1</v>
      </c>
      <c r="AA63" s="17" t="n">
        <v>1.47122786171116</v>
      </c>
      <c r="AB63" s="17" t="n">
        <v>1</v>
      </c>
      <c r="AC63" s="17" t="n">
        <v>1.47122786171116</v>
      </c>
      <c r="AD63" s="17" t="n">
        <v>1</v>
      </c>
      <c r="AE63" s="17" t="n">
        <v>1.47122786171116</v>
      </c>
      <c r="AF63" s="17" t="n">
        <v>1.47122786171116</v>
      </c>
      <c r="AG63" s="17" t="n">
        <v>1.47122786171116</v>
      </c>
      <c r="AH63" s="17" t="n">
        <v>1.47122786171116</v>
      </c>
      <c r="AI63" s="17" t="n">
        <v>1</v>
      </c>
      <c r="AJ63" s="17" t="n">
        <v>1</v>
      </c>
      <c r="AK63" s="17" t="n">
        <v>1.47122786171116</v>
      </c>
      <c r="AL63" s="17" t="n">
        <v>1.47122786171116</v>
      </c>
      <c r="AM63" s="17" t="n">
        <v>1.94245572342233</v>
      </c>
      <c r="AN63" s="17" t="n">
        <v>1.94245572342233</v>
      </c>
      <c r="AO63" s="17" t="n">
        <v>1.94245572342233</v>
      </c>
      <c r="AP63" s="17" t="n">
        <v>1.94245572342233</v>
      </c>
      <c r="AQ63" s="17" t="n">
        <v>1.94245572342233</v>
      </c>
      <c r="AR63" s="17" t="n">
        <v>1.94245572342233</v>
      </c>
      <c r="AS63" s="17" t="n">
        <v>1.94245572342233</v>
      </c>
      <c r="AT63" s="17" t="n">
        <v>1.47122786171116</v>
      </c>
      <c r="AU63" s="17" t="n">
        <v>1</v>
      </c>
      <c r="AV63" s="17" t="n">
        <v>1</v>
      </c>
      <c r="AW63" s="17" t="n">
        <v>1</v>
      </c>
      <c r="AX63" s="17" t="n">
        <v>1</v>
      </c>
      <c r="AY63" s="17" t="n">
        <v>1</v>
      </c>
      <c r="AZ63" s="17" t="n">
        <v>1</v>
      </c>
      <c r="BA63" s="17" t="n">
        <v>1</v>
      </c>
      <c r="BB63" s="17" t="n">
        <v>1</v>
      </c>
      <c r="BC63" s="17" t="n">
        <v>1</v>
      </c>
      <c r="BD63" s="17" t="n">
        <v>1</v>
      </c>
      <c r="BE63" s="17" t="n">
        <v>1</v>
      </c>
      <c r="BF63" s="17" t="n">
        <v>1</v>
      </c>
      <c r="BG63" s="17" t="n">
        <v>1.47122786171116</v>
      </c>
      <c r="BH63" s="17" t="n">
        <v>1.94245572342233</v>
      </c>
      <c r="BI63" s="17"/>
      <c r="BJ63" s="18"/>
    </row>
    <row r="64" customFormat="false" ht="15" hidden="false" customHeight="false" outlineLevel="0" collapsed="false">
      <c r="A64" s="2" t="n">
        <v>26</v>
      </c>
      <c r="B64" s="0" t="s">
        <v>77</v>
      </c>
      <c r="C64" s="0" t="n">
        <v>3</v>
      </c>
      <c r="D64" s="0" t="s">
        <v>117</v>
      </c>
      <c r="E64" s="0" t="str">
        <f aca="false">CONCATENATE("Als onderdeel van het programma 'Netwerk op zijn Best' omvat dit groot onderhoudsproject op de ",B64," een rijbaanverbreding van 3 naar 4 rijstroken op het knooppunt tussen de ",B64," en de M4.")</f>
        <v>Als onderdeel van het programma 'Netwerk op zijn Best' omvat dit groot onderhoudsproject op de B14-B een rijbaanverbreding van 3 naar 4 rijstroken op het knooppunt tussen de B14-B en de M4.</v>
      </c>
      <c r="F64" s="13" t="s">
        <v>118</v>
      </c>
      <c r="G64" s="1" t="s">
        <v>122</v>
      </c>
      <c r="H64" s="1" t="n">
        <v>3800</v>
      </c>
      <c r="I64" s="14" t="n">
        <v>4618350</v>
      </c>
      <c r="J64" s="1" t="n">
        <v>13</v>
      </c>
      <c r="K64" s="15" t="n">
        <f aca="false">1/3</f>
        <v>0.333333333333333</v>
      </c>
      <c r="L64" s="1" t="n">
        <v>0</v>
      </c>
      <c r="M64" s="10" t="n">
        <f aca="false">O64-I64</f>
        <v>2103650</v>
      </c>
      <c r="N64" s="10" t="n">
        <f aca="false">IF(P64=1,0,VLOOKUP($P$1,'TTL NORMAL'!$A$2:$B$46,2,0)*(J64+L64)*P64)+IF(Q64=1,0,VLOOKUP($Q$1,'TTL NORMAL'!$A$2:$B$46,2,0)*(J64+L64)*Q64)+IF(R64=1,0,VLOOKUP($R$1,'TTL NORMAL'!$A$2:$B$46,2,0)*(J64+L64)*R64)+IF(S64=1,0,VLOOKUP($S$1,'TTL NORMAL'!$A$2:$B$46,2,0)*(J64+L64)*S64)+IF(T64=1,0,VLOOKUP($T$1,'TTL NORMAL'!$A$2:$B$46,2,0)*(J64+L64)*T64)+IF(U64=1,0,VLOOKUP($U$1,'TTL NORMAL'!$A$2:$B$46,2,0)*(J64+L64)*U64)+IF(V64=1,0,VLOOKUP($V$1,'TTL NORMAL'!$A$2:$B$46,2,0)*(J64+L64)*V64)+IF(W64=1,0,VLOOKUP($W$1,'TTL NORMAL'!$A$2:$B$46,2,0)*(J64+L64)*W64)+IF(X64=1,0,VLOOKUP($X$1,'TTL NORMAL'!$A$2:$B$46,2,0)*(J64+L64)*X64)+IF(Y64=1,0,VLOOKUP($Y$1,'TTL NORMAL'!$A$2:$B$46,2,0)*(J64+L64)*Y64)+IF(Z64=1,0,VLOOKUP($Z$1,'TTL NORMAL'!$A$2:$B$46,2,0)*(J64+L64)*Z64)+IF(AA64=1,0,VLOOKUP($AA$1,'TTL NORMAL'!$A$2:$B$46,2,0)*(J64+L64)*AA64)+IF(AB64=1,0,VLOOKUP($AB$1,'TTL NORMAL'!$A$2:$B$46,2,0)*(J64+L64)*AB64)+IF(AC64=1,0,VLOOKUP($AC$1,'TTL NORMAL'!$A$2:$B$46,2,0)*(J64+L64)*AC64)+IF(AD64=1,0,VLOOKUP($AD$1,'TTL NORMAL'!$A$2:$B$46,2,0)*(J64+L64)*AD64)+IF(AE64=1,0,VLOOKUP($AE$1,'TTL NORMAL'!$A$2:$B$46,2,0)*(J64+L64)*AE64)+IF(AF64=1,0,VLOOKUP($AF$1,'TTL NORMAL'!$A$2:$B$46,2,0)*(J64+L64)*AF64)+IF(AG64=1,0,VLOOKUP($AG$1,'TTL NORMAL'!$A$2:$B$46,2,0)*(J64+L64)*AG64)+IF(AH64=1,0,VLOOKUP($AH$1,'TTL NORMAL'!$A$2:$B$46,2,0)*(J64+L64)*AH64)+IF(AI64=1,0,VLOOKUP($AI$1,'TTL NORMAL'!$A$2:$B$46,2,0)*(J64+L64)*AI64)+IF(AJ64=1,0,VLOOKUP($AJ$1,'TTL NORMAL'!$A$2:$B$46,2,0)*(J64+L64)*AJ64)+IF(AK64=1,0,VLOOKUP($AK$1,'TTL NORMAL'!$A$2:$B$46,2,0)*(J64+L64)*AK64)+IF(AL64=1,0,VLOOKUP($AL$1,'TTL NORMAL'!$A$2:$B$46,2,0)*(J64+L64)*AL64)+IF(AM64=1,0,VLOOKUP($AM$1,'TTL NORMAL'!$A$2:$B$46,2,0)*(J64+L64)*AM64)+IF(AN64=1,0,VLOOKUP($AN$1,'TTL NORMAL'!$A$2:$B$46,2,0)*(J64+L64)*AN64)+IF(AO64=1,0,VLOOKUP($AO$1,'TTL NORMAL'!$A$2:$B$46,2,0)*(J64+L64)*AO64)+IF(AP64=1,0,VLOOKUP($AP$1,'TTL NORMAL'!$A$2:$B$46,2,0)*(J64+L64)*AP64)+IF(AQ64=1,0,VLOOKUP($AQ$1,'TTL NORMAL'!$A$2:$B$46,2,0)*(J64+L64)*AQ64)+IF(AR64=1,0,VLOOKUP($AR$1,'TTL NORMAL'!$A$2:$B$46,2,0)*(J64+L64)*AR64)+IF(AS64=1,0,VLOOKUP($AS$1,'TTL NORMAL'!$A$2:$B$46,2,0)*(J64+L64)*AS64)+IF(AT64=1,0,VLOOKUP($AT$1,'TTL NORMAL'!$A$2:$B$46,2,0)*(J64+L64)*AT64)+IF(AU64=1,0,VLOOKUP($AU$1,'TTL NORMAL'!$A$2:$B$46,2,0)*(J64+L64)*AU64)+IF(AV64=1,0,VLOOKUP($AV$1,'TTL NORMAL'!$A$2:$B$46,2,0)*(J64+L64)*AV64)+IF(AW64=1,0,VLOOKUP($AW$1,'TTL NORMAL'!$A$2:$B$46,2,0)*(J64+L64)*AW64)+IF(AX64=1,0,VLOOKUP($AX$1,'TTL NORMAL'!$A$2:$B$46,2,0)*(J64+L64)*AX64)+IF(AY64=1,0,VLOOKUP($AY$1,'TTL NORMAL'!$A$2:$B$46,2,0)*(J64+L64)*AY64)+IF(AZ64=1,0,VLOOKUP($AZ$1,'TTL NORMAL'!$A$2:$B$46,2,0)*(J64+L64)*AZ64)+IF(BA64=1,0,VLOOKUP($BA$1,'TTL NORMAL'!$A$2:$B$46,2,0)*(J64+L64)*BA64)+IF(BB64=1,0,VLOOKUP($BB$1,'TTL NORMAL'!$A$2:$B$46,2,0)*(J64+L64)*BB64)+IF(BC64=1,0,VLOOKUP($BC$1,'TTL NORMAL'!$A$2:$B$46,2,0)*(J64+L64)*BC64)+IF(BD64=1,0,VLOOKUP($BD$1,'TTL NORMAL'!$A$2:$B$46,2,0)*(J64+L64)*BD64)+IF(BE64=1,0,VLOOKUP($BE$1,'TTL NORMAL'!$A$2:$B$46,2,0)*(J64+L64)*BE64)+IF(BF64=1,0,VLOOKUP($BF$1,'TTL NORMAL'!$A$2:$B$46,2,0)*(J64+L64)*BF64)+IF(BG64=1,0,VLOOKUP($BG$1,'TTL NORMAL'!$A$2:$B$46,2,0)*(J64+L64)*BG64)+IF(BH64=1,0,VLOOKUP($BH$1,'TTL NORMAL'!$A$2:$B$46,2,0)*(J64+L64)*BH64)</f>
        <v>1710859.82255583</v>
      </c>
      <c r="O64" s="10" t="n">
        <v>6722000</v>
      </c>
      <c r="P64" s="18" t="n">
        <v>1</v>
      </c>
      <c r="Q64" s="17" t="n">
        <v>1</v>
      </c>
      <c r="R64" s="17" t="n">
        <v>1</v>
      </c>
      <c r="S64" s="17" t="n">
        <v>1.3926898847593</v>
      </c>
      <c r="T64" s="17" t="n">
        <v>1.3926898847593</v>
      </c>
      <c r="U64" s="17" t="n">
        <v>1</v>
      </c>
      <c r="V64" s="17" t="n">
        <v>1</v>
      </c>
      <c r="W64" s="17" t="n">
        <v>1</v>
      </c>
      <c r="X64" s="17" t="n">
        <v>1</v>
      </c>
      <c r="Y64" s="17" t="n">
        <v>1</v>
      </c>
      <c r="Z64" s="17" t="n">
        <v>1</v>
      </c>
      <c r="AA64" s="17" t="n">
        <v>1.3926898847593</v>
      </c>
      <c r="AB64" s="17" t="n">
        <v>1</v>
      </c>
      <c r="AC64" s="17" t="n">
        <v>1.3926898847593</v>
      </c>
      <c r="AD64" s="17" t="n">
        <v>1</v>
      </c>
      <c r="AE64" s="17" t="n">
        <v>1.3926898847593</v>
      </c>
      <c r="AF64" s="17" t="n">
        <v>1.3926898847593</v>
      </c>
      <c r="AG64" s="17" t="n">
        <v>1.3926898847593</v>
      </c>
      <c r="AH64" s="17" t="n">
        <v>1.3926898847593</v>
      </c>
      <c r="AI64" s="17" t="n">
        <v>1</v>
      </c>
      <c r="AJ64" s="17" t="n">
        <v>1</v>
      </c>
      <c r="AK64" s="17" t="n">
        <v>1.3926898847593</v>
      </c>
      <c r="AL64" s="17" t="n">
        <v>1.3926898847593</v>
      </c>
      <c r="AM64" s="17" t="n">
        <v>1.78537976951861</v>
      </c>
      <c r="AN64" s="17" t="n">
        <v>1.78537976951861</v>
      </c>
      <c r="AO64" s="17" t="n">
        <v>1.78537976951861</v>
      </c>
      <c r="AP64" s="17" t="n">
        <v>1.3926898847593</v>
      </c>
      <c r="AQ64" s="17" t="n">
        <v>1.78537976951861</v>
      </c>
      <c r="AR64" s="17" t="n">
        <v>1.78537976951861</v>
      </c>
      <c r="AS64" s="17" t="n">
        <v>1.78537976951861</v>
      </c>
      <c r="AT64" s="17" t="n">
        <v>1.3926898847593</v>
      </c>
      <c r="AU64" s="17" t="n">
        <v>1</v>
      </c>
      <c r="AV64" s="17" t="n">
        <v>1</v>
      </c>
      <c r="AW64" s="17" t="n">
        <v>1</v>
      </c>
      <c r="AX64" s="17" t="n">
        <v>1</v>
      </c>
      <c r="AY64" s="17" t="n">
        <v>1</v>
      </c>
      <c r="AZ64" s="17" t="n">
        <v>1</v>
      </c>
      <c r="BA64" s="17" t="n">
        <v>1</v>
      </c>
      <c r="BB64" s="17" t="n">
        <v>1</v>
      </c>
      <c r="BC64" s="17" t="n">
        <v>1</v>
      </c>
      <c r="BD64" s="17" t="n">
        <v>1</v>
      </c>
      <c r="BE64" s="17" t="n">
        <v>1</v>
      </c>
      <c r="BF64" s="17" t="n">
        <v>1</v>
      </c>
      <c r="BG64" s="17" t="n">
        <v>1.3926898847593</v>
      </c>
      <c r="BH64" s="17" t="n">
        <v>1.78537976951861</v>
      </c>
      <c r="BI64" s="17"/>
      <c r="BJ64" s="18"/>
    </row>
    <row r="65" customFormat="false" ht="15" hidden="false" customHeight="false" outlineLevel="0" collapsed="false">
      <c r="A65" s="2" t="n">
        <v>26</v>
      </c>
      <c r="B65" s="0" t="s">
        <v>77</v>
      </c>
      <c r="C65" s="0" t="n">
        <v>4</v>
      </c>
      <c r="D65" s="0" t="s">
        <v>119</v>
      </c>
      <c r="E65" s="0" t="str">
        <f aca="false">CONCATENATE("Als onderdeel van het programma 'Netwerk op zijn Best' omvat dit groot onderhoudsproject op de ",B65," een rijbaanverbreding van 3 naar 4 rijstroken op het knooppunt tussen de ",B65," en de M4.")</f>
        <v>Als onderdeel van het programma 'Netwerk op zijn Best' omvat dit groot onderhoudsproject op de B14-B een rijbaanverbreding van 3 naar 4 rijstroken op het knooppunt tussen de B14-B en de M4.</v>
      </c>
      <c r="F65" s="13" t="s">
        <v>120</v>
      </c>
      <c r="G65" s="1" t="s">
        <v>122</v>
      </c>
      <c r="H65" s="1" t="n">
        <v>4560</v>
      </c>
      <c r="I65" s="14" t="n">
        <v>4198500</v>
      </c>
      <c r="J65" s="1" t="n">
        <v>9.1</v>
      </c>
      <c r="K65" s="15" t="n">
        <f aca="false">1/3</f>
        <v>0.333333333333333</v>
      </c>
      <c r="L65" s="1" t="n">
        <v>2</v>
      </c>
      <c r="M65" s="10" t="n">
        <f aca="false">O65-I65</f>
        <v>2523500</v>
      </c>
      <c r="N65" s="10" t="n">
        <f aca="false">IF(P65=1,0,VLOOKUP($P$1,'TTL NORMAL'!$A$2:$B$46,2,0)*(J65+L65)*P65)+IF(Q65=1,0,VLOOKUP($Q$1,'TTL NORMAL'!$A$2:$B$46,2,0)*(J65+L65)*Q65)+IF(R65=1,0,VLOOKUP($R$1,'TTL NORMAL'!$A$2:$B$46,2,0)*(J65+L65)*R65)+IF(S65=1,0,VLOOKUP($S$1,'TTL NORMAL'!$A$2:$B$46,2,0)*(J65+L65)*S65)+IF(T65=1,0,VLOOKUP($T$1,'TTL NORMAL'!$A$2:$B$46,2,0)*(J65+L65)*T65)+IF(U65=1,0,VLOOKUP($U$1,'TTL NORMAL'!$A$2:$B$46,2,0)*(J65+L65)*U65)+IF(V65=1,0,VLOOKUP($V$1,'TTL NORMAL'!$A$2:$B$46,2,0)*(J65+L65)*V65)+IF(W65=1,0,VLOOKUP($W$1,'TTL NORMAL'!$A$2:$B$46,2,0)*(J65+L65)*W65)+IF(X65=1,0,VLOOKUP($X$1,'TTL NORMAL'!$A$2:$B$46,2,0)*(J65+L65)*X65)+IF(Y65=1,0,VLOOKUP($Y$1,'TTL NORMAL'!$A$2:$B$46,2,0)*(J65+L65)*Y65)+IF(Z65=1,0,VLOOKUP($Z$1,'TTL NORMAL'!$A$2:$B$46,2,0)*(J65+L65)*Z65)+IF(AA65=1,0,VLOOKUP($AA$1,'TTL NORMAL'!$A$2:$B$46,2,0)*(J65+L65)*AA65)+IF(AB65=1,0,VLOOKUP($AB$1,'TTL NORMAL'!$A$2:$B$46,2,0)*(J65+L65)*AB65)+IF(AC65=1,0,VLOOKUP($AC$1,'TTL NORMAL'!$A$2:$B$46,2,0)*(J65+L65)*AC65)+IF(AD65=1,0,VLOOKUP($AD$1,'TTL NORMAL'!$A$2:$B$46,2,0)*(J65+L65)*AD65)+IF(AE65=1,0,VLOOKUP($AE$1,'TTL NORMAL'!$A$2:$B$46,2,0)*(J65+L65)*AE65)+IF(AF65=1,0,VLOOKUP($AF$1,'TTL NORMAL'!$A$2:$B$46,2,0)*(J65+L65)*AF65)+IF(AG65=1,0,VLOOKUP($AG$1,'TTL NORMAL'!$A$2:$B$46,2,0)*(J65+L65)*AG65)+IF(AH65=1,0,VLOOKUP($AH$1,'TTL NORMAL'!$A$2:$B$46,2,0)*(J65+L65)*AH65)+IF(AI65=1,0,VLOOKUP($AI$1,'TTL NORMAL'!$A$2:$B$46,2,0)*(J65+L65)*AI65)+IF(AJ65=1,0,VLOOKUP($AJ$1,'TTL NORMAL'!$A$2:$B$46,2,0)*(J65+L65)*AJ65)+IF(AK65=1,0,VLOOKUP($AK$1,'TTL NORMAL'!$A$2:$B$46,2,0)*(J65+L65)*AK65)+IF(AL65=1,0,VLOOKUP($AL$1,'TTL NORMAL'!$A$2:$B$46,2,0)*(J65+L65)*AL65)+IF(AM65=1,0,VLOOKUP($AM$1,'TTL NORMAL'!$A$2:$B$46,2,0)*(J65+L65)*AM65)+IF(AN65=1,0,VLOOKUP($AN$1,'TTL NORMAL'!$A$2:$B$46,2,0)*(J65+L65)*AN65)+IF(AO65=1,0,VLOOKUP($AO$1,'TTL NORMAL'!$A$2:$B$46,2,0)*(J65+L65)*AO65)+IF(AP65=1,0,VLOOKUP($AP$1,'TTL NORMAL'!$A$2:$B$46,2,0)*(J65+L65)*AP65)+IF(AQ65=1,0,VLOOKUP($AQ$1,'TTL NORMAL'!$A$2:$B$46,2,0)*(J65+L65)*AQ65)+IF(AR65=1,0,VLOOKUP($AR$1,'TTL NORMAL'!$A$2:$B$46,2,0)*(J65+L65)*AR65)+IF(AS65=1,0,VLOOKUP($AS$1,'TTL NORMAL'!$A$2:$B$46,2,0)*(J65+L65)*AS65)+IF(AT65=1,0,VLOOKUP($AT$1,'TTL NORMAL'!$A$2:$B$46,2,0)*(J65+L65)*AT65)+IF(AU65=1,0,VLOOKUP($AU$1,'TTL NORMAL'!$A$2:$B$46,2,0)*(J65+L65)*AU65)+IF(AV65=1,0,VLOOKUP($AV$1,'TTL NORMAL'!$A$2:$B$46,2,0)*(J65+L65)*AV65)+IF(AW65=1,0,VLOOKUP($AW$1,'TTL NORMAL'!$A$2:$B$46,2,0)*(J65+L65)*AW65)+IF(AX65=1,0,VLOOKUP($AX$1,'TTL NORMAL'!$A$2:$B$46,2,0)*(J65+L65)*AX65)+IF(AY65=1,0,VLOOKUP($AY$1,'TTL NORMAL'!$A$2:$B$46,2,0)*(J65+L65)*AY65)+IF(AZ65=1,0,VLOOKUP($AZ$1,'TTL NORMAL'!$A$2:$B$46,2,0)*(J65+L65)*AZ65)+IF(BA65=1,0,VLOOKUP($BA$1,'TTL NORMAL'!$A$2:$B$46,2,0)*(J65+L65)*BA65)+IF(BB65=1,0,VLOOKUP($BB$1,'TTL NORMAL'!$A$2:$B$46,2,0)*(J65+L65)*BB65)+IF(BC65=1,0,VLOOKUP($BC$1,'TTL NORMAL'!$A$2:$B$46,2,0)*(J65+L65)*BC65)+IF(BD65=1,0,VLOOKUP($BD$1,'TTL NORMAL'!$A$2:$B$46,2,0)*(J65+L65)*BD65)+IF(BE65=1,0,VLOOKUP($BE$1,'TTL NORMAL'!$A$2:$B$46,2,0)*(J65+L65)*BE65)+IF(BF65=1,0,VLOOKUP($BF$1,'TTL NORMAL'!$A$2:$B$46,2,0)*(J65+L65)*BF65)+IF(BG65=1,0,VLOOKUP($BG$1,'TTL NORMAL'!$A$2:$B$46,2,0)*(J65+L65)*BG65)+IF(BH65=1,0,VLOOKUP($BH$1,'TTL NORMAL'!$A$2:$B$46,2,0)*(J65+L65)*BH65)</f>
        <v>1573529.56861538</v>
      </c>
      <c r="O65" s="5" t="n">
        <v>6722000</v>
      </c>
      <c r="P65" s="18" t="n">
        <v>1</v>
      </c>
      <c r="Q65" s="17" t="n">
        <v>1</v>
      </c>
      <c r="R65" s="17" t="n">
        <v>1</v>
      </c>
      <c r="S65" s="17" t="n">
        <v>1.47122786171116</v>
      </c>
      <c r="T65" s="17" t="n">
        <v>1.47122786171116</v>
      </c>
      <c r="U65" s="17" t="n">
        <v>1</v>
      </c>
      <c r="V65" s="17" t="n">
        <v>1</v>
      </c>
      <c r="W65" s="17" t="n">
        <v>1</v>
      </c>
      <c r="X65" s="17" t="n">
        <v>1</v>
      </c>
      <c r="Y65" s="17" t="n">
        <v>1</v>
      </c>
      <c r="Z65" s="17" t="n">
        <v>1</v>
      </c>
      <c r="AA65" s="17" t="n">
        <v>1.47122786171116</v>
      </c>
      <c r="AB65" s="17" t="n">
        <v>1</v>
      </c>
      <c r="AC65" s="17" t="n">
        <v>1.47122786171116</v>
      </c>
      <c r="AD65" s="17" t="n">
        <v>1</v>
      </c>
      <c r="AE65" s="17" t="n">
        <v>1.47122786171116</v>
      </c>
      <c r="AF65" s="17" t="n">
        <v>1.47122786171116</v>
      </c>
      <c r="AG65" s="17" t="n">
        <v>1.47122786171116</v>
      </c>
      <c r="AH65" s="17" t="n">
        <v>1.47122786171116</v>
      </c>
      <c r="AI65" s="17" t="n">
        <v>1</v>
      </c>
      <c r="AJ65" s="17" t="n">
        <v>1</v>
      </c>
      <c r="AK65" s="17" t="n">
        <v>1.47122786171116</v>
      </c>
      <c r="AL65" s="17" t="n">
        <v>1.47122786171116</v>
      </c>
      <c r="AM65" s="17" t="n">
        <v>1.94245572342233</v>
      </c>
      <c r="AN65" s="17" t="n">
        <v>1.94245572342233</v>
      </c>
      <c r="AO65" s="17" t="n">
        <v>1.94245572342233</v>
      </c>
      <c r="AP65" s="17" t="n">
        <v>1.94245572342233</v>
      </c>
      <c r="AQ65" s="17" t="n">
        <v>1.94245572342233</v>
      </c>
      <c r="AR65" s="17" t="n">
        <v>1.94245572342233</v>
      </c>
      <c r="AS65" s="17" t="n">
        <v>1.94245572342233</v>
      </c>
      <c r="AT65" s="17" t="n">
        <v>1.47122786171116</v>
      </c>
      <c r="AU65" s="17" t="n">
        <v>1</v>
      </c>
      <c r="AV65" s="17" t="n">
        <v>1</v>
      </c>
      <c r="AW65" s="17" t="n">
        <v>1</v>
      </c>
      <c r="AX65" s="17" t="n">
        <v>1</v>
      </c>
      <c r="AY65" s="17" t="n">
        <v>1</v>
      </c>
      <c r="AZ65" s="17" t="n">
        <v>1</v>
      </c>
      <c r="BA65" s="17" t="n">
        <v>1</v>
      </c>
      <c r="BB65" s="17" t="n">
        <v>1</v>
      </c>
      <c r="BC65" s="17" t="n">
        <v>1</v>
      </c>
      <c r="BD65" s="17" t="n">
        <v>1</v>
      </c>
      <c r="BE65" s="17" t="n">
        <v>1</v>
      </c>
      <c r="BF65" s="17" t="n">
        <v>1</v>
      </c>
      <c r="BG65" s="17" t="n">
        <v>1.47122786171116</v>
      </c>
      <c r="BH65" s="17" t="n">
        <v>1.94245572342233</v>
      </c>
      <c r="BI65" s="17"/>
      <c r="BJ65" s="18"/>
    </row>
    <row r="66" customFormat="false" ht="15" hidden="false" customHeight="false" outlineLevel="0" collapsed="false">
      <c r="A66" s="2" t="n">
        <v>27</v>
      </c>
      <c r="B66" s="9" t="s">
        <v>78</v>
      </c>
      <c r="C66" s="0" t="n">
        <v>1</v>
      </c>
      <c r="D66" s="0" t="s">
        <v>112</v>
      </c>
      <c r="E66" s="0" t="str">
        <f aca="false">CONCATENATE("Als onderdeel van het programma 'Netwerk op zijn Best' omvat dit groot onderhoudsproject op de ",B66," een grootschalige vernieuwing van het asfalt.")</f>
        <v>Als onderdeel van het programma 'Netwerk op zijn Best' omvat dit groot onderhoudsproject op de B14-C een grootschalige vernieuwing van het asfalt.</v>
      </c>
      <c r="F66" s="13" t="s">
        <v>113</v>
      </c>
      <c r="G66" s="1" t="s">
        <v>121</v>
      </c>
      <c r="H66" s="1" t="n">
        <v>1120</v>
      </c>
      <c r="I66" s="14" t="n">
        <v>1848000</v>
      </c>
      <c r="J66" s="1" t="n">
        <v>5.5</v>
      </c>
      <c r="K66" s="15" t="n">
        <f aca="false">1/3</f>
        <v>0.333333333333333</v>
      </c>
      <c r="L66" s="1" t="n">
        <v>1</v>
      </c>
      <c r="M66" s="10" t="n">
        <f aca="false">O66-I66</f>
        <v>840000</v>
      </c>
      <c r="N66" s="10" t="n">
        <f aca="false">IF(P66=1,0,VLOOKUP($P$1,'TTL NORMAL'!$A$2:$B$46,2,0)*(J66+L66)*P66)+IF(Q66=1,0,VLOOKUP($Q$1,'TTL NORMAL'!$A$2:$B$46,2,0)*(J66+L66)*Q66)+IF(R66=1,0,VLOOKUP($R$1,'TTL NORMAL'!$A$2:$B$46,2,0)*(J66+L66)*R66)+IF(S66=1,0,VLOOKUP($S$1,'TTL NORMAL'!$A$2:$B$46,2,0)*(J66+L66)*S66)+IF(T66=1,0,VLOOKUP($T$1,'TTL NORMAL'!$A$2:$B$46,2,0)*(J66+L66)*T66)+IF(U66=1,0,VLOOKUP($U$1,'TTL NORMAL'!$A$2:$B$46,2,0)*(J66+L66)*U66)+IF(V66=1,0,VLOOKUP($V$1,'TTL NORMAL'!$A$2:$B$46,2,0)*(J66+L66)*V66)+IF(W66=1,0,VLOOKUP($W$1,'TTL NORMAL'!$A$2:$B$46,2,0)*(J66+L66)*W66)+IF(X66=1,0,VLOOKUP($X$1,'TTL NORMAL'!$A$2:$B$46,2,0)*(J66+L66)*X66)+IF(Y66=1,0,VLOOKUP($Y$1,'TTL NORMAL'!$A$2:$B$46,2,0)*(J66+L66)*Y66)+IF(Z66=1,0,VLOOKUP($Z$1,'TTL NORMAL'!$A$2:$B$46,2,0)*(J66+L66)*Z66)+IF(AA66=1,0,VLOOKUP($AA$1,'TTL NORMAL'!$A$2:$B$46,2,0)*(J66+L66)*AA66)+IF(AB66=1,0,VLOOKUP($AB$1,'TTL NORMAL'!$A$2:$B$46,2,0)*(J66+L66)*AB66)+IF(AC66=1,0,VLOOKUP($AC$1,'TTL NORMAL'!$A$2:$B$46,2,0)*(J66+L66)*AC66)+IF(AD66=1,0,VLOOKUP($AD$1,'TTL NORMAL'!$A$2:$B$46,2,0)*(J66+L66)*AD66)+IF(AE66=1,0,VLOOKUP($AE$1,'TTL NORMAL'!$A$2:$B$46,2,0)*(J66+L66)*AE66)+IF(AF66=1,0,VLOOKUP($AF$1,'TTL NORMAL'!$A$2:$B$46,2,0)*(J66+L66)*AF66)+IF(AG66=1,0,VLOOKUP($AG$1,'TTL NORMAL'!$A$2:$B$46,2,0)*(J66+L66)*AG66)+IF(AH66=1,0,VLOOKUP($AH$1,'TTL NORMAL'!$A$2:$B$46,2,0)*(J66+L66)*AH66)+IF(AI66=1,0,VLOOKUP($AI$1,'TTL NORMAL'!$A$2:$B$46,2,0)*(J66+L66)*AI66)+IF(AJ66=1,0,VLOOKUP($AJ$1,'TTL NORMAL'!$A$2:$B$46,2,0)*(J66+L66)*AJ66)+IF(AK66=1,0,VLOOKUP($AK$1,'TTL NORMAL'!$A$2:$B$46,2,0)*(J66+L66)*AK66)+IF(AL66=1,0,VLOOKUP($AL$1,'TTL NORMAL'!$A$2:$B$46,2,0)*(J66+L66)*AL66)+IF(AM66=1,0,VLOOKUP($AM$1,'TTL NORMAL'!$A$2:$B$46,2,0)*(J66+L66)*AM66)+IF(AN66=1,0,VLOOKUP($AN$1,'TTL NORMAL'!$A$2:$B$46,2,0)*(J66+L66)*AN66)+IF(AO66=1,0,VLOOKUP($AO$1,'TTL NORMAL'!$A$2:$B$46,2,0)*(J66+L66)*AO66)+IF(AP66=1,0,VLOOKUP($AP$1,'TTL NORMAL'!$A$2:$B$46,2,0)*(J66+L66)*AP66)+IF(AQ66=1,0,VLOOKUP($AQ$1,'TTL NORMAL'!$A$2:$B$46,2,0)*(J66+L66)*AQ66)+IF(AR66=1,0,VLOOKUP($AR$1,'TTL NORMAL'!$A$2:$B$46,2,0)*(J66+L66)*AR66)+IF(AS66=1,0,VLOOKUP($AS$1,'TTL NORMAL'!$A$2:$B$46,2,0)*(J66+L66)*AS66)+IF(AT66=1,0,VLOOKUP($AT$1,'TTL NORMAL'!$A$2:$B$46,2,0)*(J66+L66)*AT66)+IF(AU66=1,0,VLOOKUP($AU$1,'TTL NORMAL'!$A$2:$B$46,2,0)*(J66+L66)*AU66)+IF(AV66=1,0,VLOOKUP($AV$1,'TTL NORMAL'!$A$2:$B$46,2,0)*(J66+L66)*AV66)+IF(AW66=1,0,VLOOKUP($AW$1,'TTL NORMAL'!$A$2:$B$46,2,0)*(J66+L66)*AW66)+IF(AX66=1,0,VLOOKUP($AX$1,'TTL NORMAL'!$A$2:$B$46,2,0)*(J66+L66)*AX66)+IF(AY66=1,0,VLOOKUP($AY$1,'TTL NORMAL'!$A$2:$B$46,2,0)*(J66+L66)*AY66)+IF(AZ66=1,0,VLOOKUP($AZ$1,'TTL NORMAL'!$A$2:$B$46,2,0)*(J66+L66)*AZ66)+IF(BA66=1,0,VLOOKUP($BA$1,'TTL NORMAL'!$A$2:$B$46,2,0)*(J66+L66)*BA66)+IF(BB66=1,0,VLOOKUP($BB$1,'TTL NORMAL'!$A$2:$B$46,2,0)*(J66+L66)*BB66)+IF(BC66=1,0,VLOOKUP($BC$1,'TTL NORMAL'!$A$2:$B$46,2,0)*(J66+L66)*BC66)+IF(BD66=1,0,VLOOKUP($BD$1,'TTL NORMAL'!$A$2:$B$46,2,0)*(J66+L66)*BD66)+IF(BE66=1,0,VLOOKUP($BE$1,'TTL NORMAL'!$A$2:$B$46,2,0)*(J66+L66)*BE66)+IF(BF66=1,0,VLOOKUP($BF$1,'TTL NORMAL'!$A$2:$B$46,2,0)*(J66+L66)*BF66)+IF(BG66=1,0,VLOOKUP($BG$1,'TTL NORMAL'!$A$2:$B$46,2,0)*(J66+L66)*BG66)+IF(BH66=1,0,VLOOKUP($BH$1,'TTL NORMAL'!$A$2:$B$46,2,0)*(J66+L66)*BH66)</f>
        <v>523051.804619728</v>
      </c>
      <c r="O66" s="5" t="n">
        <v>2688000</v>
      </c>
      <c r="P66" s="18" t="n">
        <v>1</v>
      </c>
      <c r="Q66" s="17" t="n">
        <v>1</v>
      </c>
      <c r="R66" s="17" t="n">
        <v>1</v>
      </c>
      <c r="S66" s="17" t="n">
        <v>1</v>
      </c>
      <c r="T66" s="17" t="n">
        <v>1</v>
      </c>
      <c r="U66" s="17" t="n">
        <v>1</v>
      </c>
      <c r="V66" s="17" t="n">
        <v>1</v>
      </c>
      <c r="W66" s="17" t="n">
        <v>1</v>
      </c>
      <c r="X66" s="17" t="n">
        <v>1</v>
      </c>
      <c r="Y66" s="17" t="n">
        <v>1</v>
      </c>
      <c r="Z66" s="17" t="n">
        <v>1</v>
      </c>
      <c r="AA66" s="17" t="n">
        <v>1</v>
      </c>
      <c r="AB66" s="17" t="n">
        <v>1</v>
      </c>
      <c r="AC66" s="17" t="n">
        <v>1.20998335457443</v>
      </c>
      <c r="AD66" s="17" t="n">
        <v>1.20998335457443</v>
      </c>
      <c r="AE66" s="17" t="n">
        <v>1.41996670914887</v>
      </c>
      <c r="AF66" s="17" t="n">
        <v>1.20998335457443</v>
      </c>
      <c r="AG66" s="17" t="n">
        <v>1</v>
      </c>
      <c r="AH66" s="17" t="n">
        <v>1</v>
      </c>
      <c r="AI66" s="17" t="n">
        <v>1</v>
      </c>
      <c r="AJ66" s="17" t="n">
        <v>1</v>
      </c>
      <c r="AK66" s="17" t="n">
        <v>1.20998335457443</v>
      </c>
      <c r="AL66" s="17" t="n">
        <v>1</v>
      </c>
      <c r="AM66" s="17" t="n">
        <v>1.20998335457443</v>
      </c>
      <c r="AN66" s="17" t="n">
        <v>1.20998335457443</v>
      </c>
      <c r="AO66" s="17" t="n">
        <v>1.20998335457443</v>
      </c>
      <c r="AP66" s="17" t="n">
        <v>1.41996670914887</v>
      </c>
      <c r="AQ66" s="17" t="n">
        <v>1</v>
      </c>
      <c r="AR66" s="17" t="n">
        <v>1.41996670914887</v>
      </c>
      <c r="AS66" s="17" t="n">
        <v>1.41996670914887</v>
      </c>
      <c r="AT66" s="17" t="n">
        <v>1.20998335457443</v>
      </c>
      <c r="AU66" s="17" t="n">
        <v>1</v>
      </c>
      <c r="AV66" s="17" t="n">
        <v>1</v>
      </c>
      <c r="AW66" s="17" t="n">
        <v>1</v>
      </c>
      <c r="AX66" s="17" t="n">
        <v>1</v>
      </c>
      <c r="AY66" s="17" t="n">
        <v>1</v>
      </c>
      <c r="AZ66" s="17" t="n">
        <v>1</v>
      </c>
      <c r="BA66" s="17" t="n">
        <v>1</v>
      </c>
      <c r="BB66" s="17" t="n">
        <v>1.20998335457443</v>
      </c>
      <c r="BC66" s="17" t="n">
        <v>1.20998335457443</v>
      </c>
      <c r="BD66" s="17" t="n">
        <v>1</v>
      </c>
      <c r="BE66" s="17" t="n">
        <v>1</v>
      </c>
      <c r="BF66" s="17" t="n">
        <v>1</v>
      </c>
      <c r="BG66" s="17" t="n">
        <v>1</v>
      </c>
      <c r="BH66" s="17" t="n">
        <v>1.20998335457443</v>
      </c>
      <c r="BI66" s="17"/>
      <c r="BJ66" s="18"/>
    </row>
    <row r="67" customFormat="false" ht="15" hidden="false" customHeight="false" outlineLevel="0" collapsed="false">
      <c r="A67" s="2" t="n">
        <v>27</v>
      </c>
      <c r="B67" s="9" t="s">
        <v>78</v>
      </c>
      <c r="C67" s="0" t="n">
        <v>2</v>
      </c>
      <c r="D67" s="0" t="s">
        <v>115</v>
      </c>
      <c r="E67" s="0" t="str">
        <f aca="false">CONCATENATE("Als onderdeel van het programma 'Netwerk op zijn Best' omvat dit groot onderhoudsproject op de ",B67," een grootschalige vernieuwing van het asfalt.")</f>
        <v>Als onderdeel van het programma 'Netwerk op zijn Best' omvat dit groot onderhoudsproject op de B14-C een grootschalige vernieuwing van het asfalt.</v>
      </c>
      <c r="F67" s="13" t="s">
        <v>116</v>
      </c>
      <c r="G67" s="1" t="s">
        <v>121</v>
      </c>
      <c r="H67" s="1" t="n">
        <v>1680</v>
      </c>
      <c r="I67" s="14" t="n">
        <v>1176000</v>
      </c>
      <c r="J67" s="1" t="n">
        <v>5</v>
      </c>
      <c r="K67" s="15" t="n">
        <f aca="false">1/3</f>
        <v>0.333333333333333</v>
      </c>
      <c r="L67" s="1" t="n">
        <v>2</v>
      </c>
      <c r="M67" s="10" t="n">
        <f aca="false">O67-I67</f>
        <v>1512000</v>
      </c>
      <c r="N67" s="10" t="n">
        <f aca="false">IF(P67=1,0,VLOOKUP($P$1,'TTL NORMAL'!$A$2:$B$46,2,0)*(J67+L67)*P67)+IF(Q67=1,0,VLOOKUP($Q$1,'TTL NORMAL'!$A$2:$B$46,2,0)*(J67+L67)*Q67)+IF(R67=1,0,VLOOKUP($R$1,'TTL NORMAL'!$A$2:$B$46,2,0)*(J67+L67)*R67)+IF(S67=1,0,VLOOKUP($S$1,'TTL NORMAL'!$A$2:$B$46,2,0)*(J67+L67)*S67)+IF(T67=1,0,VLOOKUP($T$1,'TTL NORMAL'!$A$2:$B$46,2,0)*(J67+L67)*T67)+IF(U67=1,0,VLOOKUP($U$1,'TTL NORMAL'!$A$2:$B$46,2,0)*(J67+L67)*U67)+IF(V67=1,0,VLOOKUP($V$1,'TTL NORMAL'!$A$2:$B$46,2,0)*(J67+L67)*V67)+IF(W67=1,0,VLOOKUP($W$1,'TTL NORMAL'!$A$2:$B$46,2,0)*(J67+L67)*W67)+IF(X67=1,0,VLOOKUP($X$1,'TTL NORMAL'!$A$2:$B$46,2,0)*(J67+L67)*X67)+IF(Y67=1,0,VLOOKUP($Y$1,'TTL NORMAL'!$A$2:$B$46,2,0)*(J67+L67)*Y67)+IF(Z67=1,0,VLOOKUP($Z$1,'TTL NORMAL'!$A$2:$B$46,2,0)*(J67+L67)*Z67)+IF(AA67=1,0,VLOOKUP($AA$1,'TTL NORMAL'!$A$2:$B$46,2,0)*(J67+L67)*AA67)+IF(AB67=1,0,VLOOKUP($AB$1,'TTL NORMAL'!$A$2:$B$46,2,0)*(J67+L67)*AB67)+IF(AC67=1,0,VLOOKUP($AC$1,'TTL NORMAL'!$A$2:$B$46,2,0)*(J67+L67)*AC67)+IF(AD67=1,0,VLOOKUP($AD$1,'TTL NORMAL'!$A$2:$B$46,2,0)*(J67+L67)*AD67)+IF(AE67=1,0,VLOOKUP($AE$1,'TTL NORMAL'!$A$2:$B$46,2,0)*(J67+L67)*AE67)+IF(AF67=1,0,VLOOKUP($AF$1,'TTL NORMAL'!$A$2:$B$46,2,0)*(J67+L67)*AF67)+IF(AG67=1,0,VLOOKUP($AG$1,'TTL NORMAL'!$A$2:$B$46,2,0)*(J67+L67)*AG67)+IF(AH67=1,0,VLOOKUP($AH$1,'TTL NORMAL'!$A$2:$B$46,2,0)*(J67+L67)*AH67)+IF(AI67=1,0,VLOOKUP($AI$1,'TTL NORMAL'!$A$2:$B$46,2,0)*(J67+L67)*AI67)+IF(AJ67=1,0,VLOOKUP($AJ$1,'TTL NORMAL'!$A$2:$B$46,2,0)*(J67+L67)*AJ67)+IF(AK67=1,0,VLOOKUP($AK$1,'TTL NORMAL'!$A$2:$B$46,2,0)*(J67+L67)*AK67)+IF(AL67=1,0,VLOOKUP($AL$1,'TTL NORMAL'!$A$2:$B$46,2,0)*(J67+L67)*AL67)+IF(AM67=1,0,VLOOKUP($AM$1,'TTL NORMAL'!$A$2:$B$46,2,0)*(J67+L67)*AM67)+IF(AN67=1,0,VLOOKUP($AN$1,'TTL NORMAL'!$A$2:$B$46,2,0)*(J67+L67)*AN67)+IF(AO67=1,0,VLOOKUP($AO$1,'TTL NORMAL'!$A$2:$B$46,2,0)*(J67+L67)*AO67)+IF(AP67=1,0,VLOOKUP($AP$1,'TTL NORMAL'!$A$2:$B$46,2,0)*(J67+L67)*AP67)+IF(AQ67=1,0,VLOOKUP($AQ$1,'TTL NORMAL'!$A$2:$B$46,2,0)*(J67+L67)*AQ67)+IF(AR67=1,0,VLOOKUP($AR$1,'TTL NORMAL'!$A$2:$B$46,2,0)*(J67+L67)*AR67)+IF(AS67=1,0,VLOOKUP($AS$1,'TTL NORMAL'!$A$2:$B$46,2,0)*(J67+L67)*AS67)+IF(AT67=1,0,VLOOKUP($AT$1,'TTL NORMAL'!$A$2:$B$46,2,0)*(J67+L67)*AT67)+IF(AU67=1,0,VLOOKUP($AU$1,'TTL NORMAL'!$A$2:$B$46,2,0)*(J67+L67)*AU67)+IF(AV67=1,0,VLOOKUP($AV$1,'TTL NORMAL'!$A$2:$B$46,2,0)*(J67+L67)*AV67)+IF(AW67=1,0,VLOOKUP($AW$1,'TTL NORMAL'!$A$2:$B$46,2,0)*(J67+L67)*AW67)+IF(AX67=1,0,VLOOKUP($AX$1,'TTL NORMAL'!$A$2:$B$46,2,0)*(J67+L67)*AX67)+IF(AY67=1,0,VLOOKUP($AY$1,'TTL NORMAL'!$A$2:$B$46,2,0)*(J67+L67)*AY67)+IF(AZ67=1,0,VLOOKUP($AZ$1,'TTL NORMAL'!$A$2:$B$46,2,0)*(J67+L67)*AZ67)+IF(BA67=1,0,VLOOKUP($BA$1,'TTL NORMAL'!$A$2:$B$46,2,0)*(J67+L67)*BA67)+IF(BB67=1,0,VLOOKUP($BB$1,'TTL NORMAL'!$A$2:$B$46,2,0)*(J67+L67)*BB67)+IF(BC67=1,0,VLOOKUP($BC$1,'TTL NORMAL'!$A$2:$B$46,2,0)*(J67+L67)*BC67)+IF(BD67=1,0,VLOOKUP($BD$1,'TTL NORMAL'!$A$2:$B$46,2,0)*(J67+L67)*BD67)+IF(BE67=1,0,VLOOKUP($BE$1,'TTL NORMAL'!$A$2:$B$46,2,0)*(J67+L67)*BE67)+IF(BF67=1,0,VLOOKUP($BF$1,'TTL NORMAL'!$A$2:$B$46,2,0)*(J67+L67)*BF67)+IF(BG67=1,0,VLOOKUP($BG$1,'TTL NORMAL'!$A$2:$B$46,2,0)*(J67+L67)*BG67)+IF(BH67=1,0,VLOOKUP($BH$1,'TTL NORMAL'!$A$2:$B$46,2,0)*(J67+L67)*BH67)</f>
        <v>650390.162590635</v>
      </c>
      <c r="O67" s="5" t="n">
        <v>2688000</v>
      </c>
      <c r="P67" s="18" t="n">
        <v>1</v>
      </c>
      <c r="Q67" s="17" t="n">
        <v>1</v>
      </c>
      <c r="R67" s="17" t="n">
        <v>1</v>
      </c>
      <c r="S67" s="17" t="n">
        <v>1</v>
      </c>
      <c r="T67" s="17" t="n">
        <v>1</v>
      </c>
      <c r="U67" s="17" t="n">
        <v>1</v>
      </c>
      <c r="V67" s="17" t="n">
        <v>1</v>
      </c>
      <c r="W67" s="17" t="n">
        <v>1</v>
      </c>
      <c r="X67" s="17" t="n">
        <v>1</v>
      </c>
      <c r="Y67" s="17" t="n">
        <v>1</v>
      </c>
      <c r="Z67" s="17" t="n">
        <v>1</v>
      </c>
      <c r="AA67" s="17" t="n">
        <v>1</v>
      </c>
      <c r="AB67" s="17" t="n">
        <v>1</v>
      </c>
      <c r="AC67" s="17" t="n">
        <v>1.31497503186165</v>
      </c>
      <c r="AD67" s="17" t="n">
        <v>1.31497503186165</v>
      </c>
      <c r="AE67" s="17" t="n">
        <v>1.6299500637233</v>
      </c>
      <c r="AF67" s="17" t="n">
        <v>1.31497503186165</v>
      </c>
      <c r="AG67" s="17" t="n">
        <v>1</v>
      </c>
      <c r="AH67" s="17" t="n">
        <v>1</v>
      </c>
      <c r="AI67" s="17" t="n">
        <v>1</v>
      </c>
      <c r="AJ67" s="17" t="n">
        <v>1</v>
      </c>
      <c r="AK67" s="17" t="n">
        <v>1.31497503186165</v>
      </c>
      <c r="AL67" s="17" t="n">
        <v>1</v>
      </c>
      <c r="AM67" s="17" t="n">
        <v>1.31497503186165</v>
      </c>
      <c r="AN67" s="17" t="n">
        <v>1.31497503186165</v>
      </c>
      <c r="AO67" s="17" t="n">
        <v>1.31497503186165</v>
      </c>
      <c r="AP67" s="17" t="n">
        <v>1.6299500637233</v>
      </c>
      <c r="AQ67" s="17" t="n">
        <v>1.6299500637233</v>
      </c>
      <c r="AR67" s="17" t="n">
        <v>1.6299500637233</v>
      </c>
      <c r="AS67" s="17" t="n">
        <v>1.6299500637233</v>
      </c>
      <c r="AT67" s="17" t="n">
        <v>1.31497503186165</v>
      </c>
      <c r="AU67" s="17" t="n">
        <v>1</v>
      </c>
      <c r="AV67" s="17" t="n">
        <v>1</v>
      </c>
      <c r="AW67" s="17" t="n">
        <v>1</v>
      </c>
      <c r="AX67" s="17" t="n">
        <v>1</v>
      </c>
      <c r="AY67" s="17" t="n">
        <v>1</v>
      </c>
      <c r="AZ67" s="17" t="n">
        <v>1</v>
      </c>
      <c r="BA67" s="17" t="n">
        <v>1</v>
      </c>
      <c r="BB67" s="17" t="n">
        <v>1.31497503186165</v>
      </c>
      <c r="BC67" s="17" t="n">
        <v>1.31497503186165</v>
      </c>
      <c r="BD67" s="17" t="n">
        <v>1</v>
      </c>
      <c r="BE67" s="17" t="n">
        <v>1</v>
      </c>
      <c r="BF67" s="17" t="n">
        <v>1</v>
      </c>
      <c r="BG67" s="17" t="n">
        <v>1</v>
      </c>
      <c r="BH67" s="17" t="n">
        <v>1.31497503186165</v>
      </c>
      <c r="BI67" s="17"/>
      <c r="BJ67" s="18"/>
    </row>
    <row r="68" customFormat="false" ht="15" hidden="false" customHeight="false" outlineLevel="0" collapsed="false">
      <c r="A68" s="2" t="n">
        <v>27</v>
      </c>
      <c r="B68" s="9" t="s">
        <v>78</v>
      </c>
      <c r="C68" s="0" t="n">
        <v>3</v>
      </c>
      <c r="D68" s="0" t="s">
        <v>117</v>
      </c>
      <c r="E68" s="0" t="str">
        <f aca="false">CONCATENATE("Als onderdeel van het programma 'Netwerk op zijn Best' omvat dit groot onderhoudsproject op de ",B68," een grootschalige vernieuwing van het asfalt.")</f>
        <v>Als onderdeel van het programma 'Netwerk op zijn Best' omvat dit groot onderhoudsproject op de B14-C een grootschalige vernieuwing van het asfalt.</v>
      </c>
      <c r="F68" s="13" t="s">
        <v>118</v>
      </c>
      <c r="G68" s="1" t="s">
        <v>121</v>
      </c>
      <c r="H68" s="1" t="n">
        <v>1400</v>
      </c>
      <c r="I68" s="14" t="n">
        <v>1848000</v>
      </c>
      <c r="J68" s="1" t="n">
        <v>5</v>
      </c>
      <c r="K68" s="15" t="n">
        <f aca="false">1/3</f>
        <v>0.333333333333333</v>
      </c>
      <c r="L68" s="1" t="n">
        <v>0</v>
      </c>
      <c r="M68" s="10" t="n">
        <f aca="false">O68-I68</f>
        <v>840000</v>
      </c>
      <c r="N68" s="10" t="n">
        <f aca="false">IF(P68=1,0,VLOOKUP($P$1,'TTL NORMAL'!$A$2:$B$46,2,0)*(J68+L68)*P68)+IF(Q68=1,0,VLOOKUP($Q$1,'TTL NORMAL'!$A$2:$B$46,2,0)*(J68+L68)*Q68)+IF(R68=1,0,VLOOKUP($R$1,'TTL NORMAL'!$A$2:$B$46,2,0)*(J68+L68)*R68)+IF(S68=1,0,VLOOKUP($S$1,'TTL NORMAL'!$A$2:$B$46,2,0)*(J68+L68)*S68)+IF(T68=1,0,VLOOKUP($T$1,'TTL NORMAL'!$A$2:$B$46,2,0)*(J68+L68)*T68)+IF(U68=1,0,VLOOKUP($U$1,'TTL NORMAL'!$A$2:$B$46,2,0)*(J68+L68)*U68)+IF(V68=1,0,VLOOKUP($V$1,'TTL NORMAL'!$A$2:$B$46,2,0)*(J68+L68)*V68)+IF(W68=1,0,VLOOKUP($W$1,'TTL NORMAL'!$A$2:$B$46,2,0)*(J68+L68)*W68)+IF(X68=1,0,VLOOKUP($X$1,'TTL NORMAL'!$A$2:$B$46,2,0)*(J68+L68)*X68)+IF(Y68=1,0,VLOOKUP($Y$1,'TTL NORMAL'!$A$2:$B$46,2,0)*(J68+L68)*Y68)+IF(Z68=1,0,VLOOKUP($Z$1,'TTL NORMAL'!$A$2:$B$46,2,0)*(J68+L68)*Z68)+IF(AA68=1,0,VLOOKUP($AA$1,'TTL NORMAL'!$A$2:$B$46,2,0)*(J68+L68)*AA68)+IF(AB68=1,0,VLOOKUP($AB$1,'TTL NORMAL'!$A$2:$B$46,2,0)*(J68+L68)*AB68)+IF(AC68=1,0,VLOOKUP($AC$1,'TTL NORMAL'!$A$2:$B$46,2,0)*(J68+L68)*AC68)+IF(AD68=1,0,VLOOKUP($AD$1,'TTL NORMAL'!$A$2:$B$46,2,0)*(J68+L68)*AD68)+IF(AE68=1,0,VLOOKUP($AE$1,'TTL NORMAL'!$A$2:$B$46,2,0)*(J68+L68)*AE68)+IF(AF68=1,0,VLOOKUP($AF$1,'TTL NORMAL'!$A$2:$B$46,2,0)*(J68+L68)*AF68)+IF(AG68=1,0,VLOOKUP($AG$1,'TTL NORMAL'!$A$2:$B$46,2,0)*(J68+L68)*AG68)+IF(AH68=1,0,VLOOKUP($AH$1,'TTL NORMAL'!$A$2:$B$46,2,0)*(J68+L68)*AH68)+IF(AI68=1,0,VLOOKUP($AI$1,'TTL NORMAL'!$A$2:$B$46,2,0)*(J68+L68)*AI68)+IF(AJ68=1,0,VLOOKUP($AJ$1,'TTL NORMAL'!$A$2:$B$46,2,0)*(J68+L68)*AJ68)+IF(AK68=1,0,VLOOKUP($AK$1,'TTL NORMAL'!$A$2:$B$46,2,0)*(J68+L68)*AK68)+IF(AL68=1,0,VLOOKUP($AL$1,'TTL NORMAL'!$A$2:$B$46,2,0)*(J68+L68)*AL68)+IF(AM68=1,0,VLOOKUP($AM$1,'TTL NORMAL'!$A$2:$B$46,2,0)*(J68+L68)*AM68)+IF(AN68=1,0,VLOOKUP($AN$1,'TTL NORMAL'!$A$2:$B$46,2,0)*(J68+L68)*AN68)+IF(AO68=1,0,VLOOKUP($AO$1,'TTL NORMAL'!$A$2:$B$46,2,0)*(J68+L68)*AO68)+IF(AP68=1,0,VLOOKUP($AP$1,'TTL NORMAL'!$A$2:$B$46,2,0)*(J68+L68)*AP68)+IF(AQ68=1,0,VLOOKUP($AQ$1,'TTL NORMAL'!$A$2:$B$46,2,0)*(J68+L68)*AQ68)+IF(AR68=1,0,VLOOKUP($AR$1,'TTL NORMAL'!$A$2:$B$46,2,0)*(J68+L68)*AR68)+IF(AS68=1,0,VLOOKUP($AS$1,'TTL NORMAL'!$A$2:$B$46,2,0)*(J68+L68)*AS68)+IF(AT68=1,0,VLOOKUP($AT$1,'TTL NORMAL'!$A$2:$B$46,2,0)*(J68+L68)*AT68)+IF(AU68=1,0,VLOOKUP($AU$1,'TTL NORMAL'!$A$2:$B$46,2,0)*(J68+L68)*AU68)+IF(AV68=1,0,VLOOKUP($AV$1,'TTL NORMAL'!$A$2:$B$46,2,0)*(J68+L68)*AV68)+IF(AW68=1,0,VLOOKUP($AW$1,'TTL NORMAL'!$A$2:$B$46,2,0)*(J68+L68)*AW68)+IF(AX68=1,0,VLOOKUP($AX$1,'TTL NORMAL'!$A$2:$B$46,2,0)*(J68+L68)*AX68)+IF(AY68=1,0,VLOOKUP($AY$1,'TTL NORMAL'!$A$2:$B$46,2,0)*(J68+L68)*AY68)+IF(AZ68=1,0,VLOOKUP($AZ$1,'TTL NORMAL'!$A$2:$B$46,2,0)*(J68+L68)*AZ68)+IF(BA68=1,0,VLOOKUP($BA$1,'TTL NORMAL'!$A$2:$B$46,2,0)*(J68+L68)*BA68)+IF(BB68=1,0,VLOOKUP($BB$1,'TTL NORMAL'!$A$2:$B$46,2,0)*(J68+L68)*BB68)+IF(BC68=1,0,VLOOKUP($BC$1,'TTL NORMAL'!$A$2:$B$46,2,0)*(J68+L68)*BC68)+IF(BD68=1,0,VLOOKUP($BD$1,'TTL NORMAL'!$A$2:$B$46,2,0)*(J68+L68)*BD68)+IF(BE68=1,0,VLOOKUP($BE$1,'TTL NORMAL'!$A$2:$B$46,2,0)*(J68+L68)*BE68)+IF(BF68=1,0,VLOOKUP($BF$1,'TTL NORMAL'!$A$2:$B$46,2,0)*(J68+L68)*BF68)+IF(BG68=1,0,VLOOKUP($BG$1,'TTL NORMAL'!$A$2:$B$46,2,0)*(J68+L68)*BG68)+IF(BH68=1,0,VLOOKUP($BH$1,'TTL NORMAL'!$A$2:$B$46,2,0)*(J68+L68)*BH68)</f>
        <v>439423.167067578</v>
      </c>
      <c r="O68" s="5" t="n">
        <v>2688000</v>
      </c>
      <c r="P68" s="18" t="n">
        <v>1</v>
      </c>
      <c r="Q68" s="17" t="n">
        <v>1</v>
      </c>
      <c r="R68" s="17" t="n">
        <v>1</v>
      </c>
      <c r="S68" s="17" t="n">
        <v>1</v>
      </c>
      <c r="T68" s="17" t="n">
        <v>1</v>
      </c>
      <c r="U68" s="17" t="n">
        <v>1</v>
      </c>
      <c r="V68" s="17" t="n">
        <v>1</v>
      </c>
      <c r="W68" s="17" t="n">
        <v>1</v>
      </c>
      <c r="X68" s="17" t="n">
        <v>1</v>
      </c>
      <c r="Y68" s="17" t="n">
        <v>1</v>
      </c>
      <c r="Z68" s="17" t="n">
        <v>1</v>
      </c>
      <c r="AA68" s="17" t="n">
        <v>1</v>
      </c>
      <c r="AB68" s="17" t="n">
        <v>1</v>
      </c>
      <c r="AC68" s="17" t="n">
        <v>1.26247919321804</v>
      </c>
      <c r="AD68" s="17" t="n">
        <v>1.26247919321804</v>
      </c>
      <c r="AE68" s="17" t="n">
        <v>1.52495838643608</v>
      </c>
      <c r="AF68" s="17" t="n">
        <v>1.26247919321804</v>
      </c>
      <c r="AG68" s="17" t="n">
        <v>1</v>
      </c>
      <c r="AH68" s="17" t="n">
        <v>1</v>
      </c>
      <c r="AI68" s="17" t="n">
        <v>1</v>
      </c>
      <c r="AJ68" s="17" t="n">
        <v>1</v>
      </c>
      <c r="AK68" s="17" t="n">
        <v>1.26247919321804</v>
      </c>
      <c r="AL68" s="17" t="n">
        <v>1</v>
      </c>
      <c r="AM68" s="17" t="n">
        <v>1.26247919321804</v>
      </c>
      <c r="AN68" s="17" t="n">
        <v>1.26247919321804</v>
      </c>
      <c r="AO68" s="17" t="n">
        <v>1.26247919321804</v>
      </c>
      <c r="AP68" s="17" t="n">
        <v>1.52495838643608</v>
      </c>
      <c r="AQ68" s="17" t="n">
        <v>1.26247919321804</v>
      </c>
      <c r="AR68" s="17" t="n">
        <v>1.52495838643608</v>
      </c>
      <c r="AS68" s="17" t="n">
        <v>1.52495838643608</v>
      </c>
      <c r="AT68" s="17" t="n">
        <v>1.26247919321804</v>
      </c>
      <c r="AU68" s="17" t="n">
        <v>1</v>
      </c>
      <c r="AV68" s="17" t="n">
        <v>1</v>
      </c>
      <c r="AW68" s="17" t="n">
        <v>1</v>
      </c>
      <c r="AX68" s="17" t="n">
        <v>1</v>
      </c>
      <c r="AY68" s="17" t="n">
        <v>1</v>
      </c>
      <c r="AZ68" s="17" t="n">
        <v>1</v>
      </c>
      <c r="BA68" s="17" t="n">
        <v>1</v>
      </c>
      <c r="BB68" s="17" t="n">
        <v>1.26247919321804</v>
      </c>
      <c r="BC68" s="17" t="n">
        <v>1.26247919321804</v>
      </c>
      <c r="BD68" s="17" t="n">
        <v>1</v>
      </c>
      <c r="BE68" s="17" t="n">
        <v>1</v>
      </c>
      <c r="BF68" s="17" t="n">
        <v>1</v>
      </c>
      <c r="BG68" s="17" t="n">
        <v>1</v>
      </c>
      <c r="BH68" s="17" t="n">
        <v>1.26247919321804</v>
      </c>
      <c r="BI68" s="17"/>
      <c r="BJ68" s="18"/>
    </row>
    <row r="69" customFormat="false" ht="15" hidden="false" customHeight="false" outlineLevel="0" collapsed="false">
      <c r="A69" s="2" t="n">
        <v>27</v>
      </c>
      <c r="B69" s="9" t="s">
        <v>78</v>
      </c>
      <c r="C69" s="0" t="n">
        <v>4</v>
      </c>
      <c r="D69" s="0" t="s">
        <v>119</v>
      </c>
      <c r="E69" s="0" t="str">
        <f aca="false">CONCATENATE("Als onderdeel van het programma 'Netwerk op zijn Best' omvat dit groot onderhoudsproject op de ",B69," een grootschalige vernieuwing van het asfalt.")</f>
        <v>Als onderdeel van het programma 'Netwerk op zijn Best' omvat dit groot onderhoudsproject op de B14-C een grootschalige vernieuwing van het asfalt.</v>
      </c>
      <c r="F69" s="13" t="s">
        <v>120</v>
      </c>
      <c r="G69" s="1" t="s">
        <v>121</v>
      </c>
      <c r="H69" s="1" t="n">
        <v>1680</v>
      </c>
      <c r="I69" s="14" t="n">
        <v>1680000</v>
      </c>
      <c r="J69" s="1" t="n">
        <v>3.5</v>
      </c>
      <c r="K69" s="15" t="n">
        <f aca="false">1/3</f>
        <v>0.333333333333333</v>
      </c>
      <c r="L69" s="1" t="n">
        <v>1</v>
      </c>
      <c r="M69" s="10" t="n">
        <f aca="false">O69-I69</f>
        <v>1008000</v>
      </c>
      <c r="N69" s="10" t="n">
        <f aca="false">IF(P69=1,0,VLOOKUP($P$1,'TTL NORMAL'!$A$2:$B$46,2,0)*(J69+L69)*P69)+IF(Q69=1,0,VLOOKUP($Q$1,'TTL NORMAL'!$A$2:$B$46,2,0)*(J69+L69)*Q69)+IF(R69=1,0,VLOOKUP($R$1,'TTL NORMAL'!$A$2:$B$46,2,0)*(J69+L69)*R69)+IF(S69=1,0,VLOOKUP($S$1,'TTL NORMAL'!$A$2:$B$46,2,0)*(J69+L69)*S69)+IF(T69=1,0,VLOOKUP($T$1,'TTL NORMAL'!$A$2:$B$46,2,0)*(J69+L69)*T69)+IF(U69=1,0,VLOOKUP($U$1,'TTL NORMAL'!$A$2:$B$46,2,0)*(J69+L69)*U69)+IF(V69=1,0,VLOOKUP($V$1,'TTL NORMAL'!$A$2:$B$46,2,0)*(J69+L69)*V69)+IF(W69=1,0,VLOOKUP($W$1,'TTL NORMAL'!$A$2:$B$46,2,0)*(J69+L69)*W69)+IF(X69=1,0,VLOOKUP($X$1,'TTL NORMAL'!$A$2:$B$46,2,0)*(J69+L69)*X69)+IF(Y69=1,0,VLOOKUP($Y$1,'TTL NORMAL'!$A$2:$B$46,2,0)*(J69+L69)*Y69)+IF(Z69=1,0,VLOOKUP($Z$1,'TTL NORMAL'!$A$2:$B$46,2,0)*(J69+L69)*Z69)+IF(AA69=1,0,VLOOKUP($AA$1,'TTL NORMAL'!$A$2:$B$46,2,0)*(J69+L69)*AA69)+IF(AB69=1,0,VLOOKUP($AB$1,'TTL NORMAL'!$A$2:$B$46,2,0)*(J69+L69)*AB69)+IF(AC69=1,0,VLOOKUP($AC$1,'TTL NORMAL'!$A$2:$B$46,2,0)*(J69+L69)*AC69)+IF(AD69=1,0,VLOOKUP($AD$1,'TTL NORMAL'!$A$2:$B$46,2,0)*(J69+L69)*AD69)+IF(AE69=1,0,VLOOKUP($AE$1,'TTL NORMAL'!$A$2:$B$46,2,0)*(J69+L69)*AE69)+IF(AF69=1,0,VLOOKUP($AF$1,'TTL NORMAL'!$A$2:$B$46,2,0)*(J69+L69)*AF69)+IF(AG69=1,0,VLOOKUP($AG$1,'TTL NORMAL'!$A$2:$B$46,2,0)*(J69+L69)*AG69)+IF(AH69=1,0,VLOOKUP($AH$1,'TTL NORMAL'!$A$2:$B$46,2,0)*(J69+L69)*AH69)+IF(AI69=1,0,VLOOKUP($AI$1,'TTL NORMAL'!$A$2:$B$46,2,0)*(J69+L69)*AI69)+IF(AJ69=1,0,VLOOKUP($AJ$1,'TTL NORMAL'!$A$2:$B$46,2,0)*(J69+L69)*AJ69)+IF(AK69=1,0,VLOOKUP($AK$1,'TTL NORMAL'!$A$2:$B$46,2,0)*(J69+L69)*AK69)+IF(AL69=1,0,VLOOKUP($AL$1,'TTL NORMAL'!$A$2:$B$46,2,0)*(J69+L69)*AL69)+IF(AM69=1,0,VLOOKUP($AM$1,'TTL NORMAL'!$A$2:$B$46,2,0)*(J69+L69)*AM69)+IF(AN69=1,0,VLOOKUP($AN$1,'TTL NORMAL'!$A$2:$B$46,2,0)*(J69+L69)*AN69)+IF(AO69=1,0,VLOOKUP($AO$1,'TTL NORMAL'!$A$2:$B$46,2,0)*(J69+L69)*AO69)+IF(AP69=1,0,VLOOKUP($AP$1,'TTL NORMAL'!$A$2:$B$46,2,0)*(J69+L69)*AP69)+IF(AQ69=1,0,VLOOKUP($AQ$1,'TTL NORMAL'!$A$2:$B$46,2,0)*(J69+L69)*AQ69)+IF(AR69=1,0,VLOOKUP($AR$1,'TTL NORMAL'!$A$2:$B$46,2,0)*(J69+L69)*AR69)+IF(AS69=1,0,VLOOKUP($AS$1,'TTL NORMAL'!$A$2:$B$46,2,0)*(J69+L69)*AS69)+IF(AT69=1,0,VLOOKUP($AT$1,'TTL NORMAL'!$A$2:$B$46,2,0)*(J69+L69)*AT69)+IF(AU69=1,0,VLOOKUP($AU$1,'TTL NORMAL'!$A$2:$B$46,2,0)*(J69+L69)*AU69)+IF(AV69=1,0,VLOOKUP($AV$1,'TTL NORMAL'!$A$2:$B$46,2,0)*(J69+L69)*AV69)+IF(AW69=1,0,VLOOKUP($AW$1,'TTL NORMAL'!$A$2:$B$46,2,0)*(J69+L69)*AW69)+IF(AX69=1,0,VLOOKUP($AX$1,'TTL NORMAL'!$A$2:$B$46,2,0)*(J69+L69)*AX69)+IF(AY69=1,0,VLOOKUP($AY$1,'TTL NORMAL'!$A$2:$B$46,2,0)*(J69+L69)*AY69)+IF(AZ69=1,0,VLOOKUP($AZ$1,'TTL NORMAL'!$A$2:$B$46,2,0)*(J69+L69)*AZ69)+IF(BA69=1,0,VLOOKUP($BA$1,'TTL NORMAL'!$A$2:$B$46,2,0)*(J69+L69)*BA69)+IF(BB69=1,0,VLOOKUP($BB$1,'TTL NORMAL'!$A$2:$B$46,2,0)*(J69+L69)*BB69)+IF(BC69=1,0,VLOOKUP($BC$1,'TTL NORMAL'!$A$2:$B$46,2,0)*(J69+L69)*BC69)+IF(BD69=1,0,VLOOKUP($BD$1,'TTL NORMAL'!$A$2:$B$46,2,0)*(J69+L69)*BD69)+IF(BE69=1,0,VLOOKUP($BE$1,'TTL NORMAL'!$A$2:$B$46,2,0)*(J69+L69)*BE69)+IF(BF69=1,0,VLOOKUP($BF$1,'TTL NORMAL'!$A$2:$B$46,2,0)*(J69+L69)*BF69)+IF(BG69=1,0,VLOOKUP($BG$1,'TTL NORMAL'!$A$2:$B$46,2,0)*(J69+L69)*BG69)+IF(BH69=1,0,VLOOKUP($BH$1,'TTL NORMAL'!$A$2:$B$46,2,0)*(J69+L69)*BH69)</f>
        <v>418107.961665408</v>
      </c>
      <c r="O69" s="5" t="n">
        <v>2688000</v>
      </c>
      <c r="P69" s="18" t="n">
        <v>1</v>
      </c>
      <c r="Q69" s="17" t="n">
        <v>1</v>
      </c>
      <c r="R69" s="17" t="n">
        <v>1</v>
      </c>
      <c r="S69" s="17" t="n">
        <v>1</v>
      </c>
      <c r="T69" s="17" t="n">
        <v>1</v>
      </c>
      <c r="U69" s="17" t="n">
        <v>1</v>
      </c>
      <c r="V69" s="17" t="n">
        <v>1</v>
      </c>
      <c r="W69" s="17" t="n">
        <v>1</v>
      </c>
      <c r="X69" s="17" t="n">
        <v>1</v>
      </c>
      <c r="Y69" s="17" t="n">
        <v>1</v>
      </c>
      <c r="Z69" s="17" t="n">
        <v>1</v>
      </c>
      <c r="AA69" s="17" t="n">
        <v>1</v>
      </c>
      <c r="AB69" s="17" t="n">
        <v>1</v>
      </c>
      <c r="AC69" s="17" t="n">
        <v>1.31497503186165</v>
      </c>
      <c r="AD69" s="17" t="n">
        <v>1.31497503186165</v>
      </c>
      <c r="AE69" s="17" t="n">
        <v>1.6299500637233</v>
      </c>
      <c r="AF69" s="17" t="n">
        <v>1.31497503186165</v>
      </c>
      <c r="AG69" s="17" t="n">
        <v>1</v>
      </c>
      <c r="AH69" s="17" t="n">
        <v>1</v>
      </c>
      <c r="AI69" s="17" t="n">
        <v>1</v>
      </c>
      <c r="AJ69" s="17" t="n">
        <v>1</v>
      </c>
      <c r="AK69" s="17" t="n">
        <v>1.31497503186165</v>
      </c>
      <c r="AL69" s="17" t="n">
        <v>1</v>
      </c>
      <c r="AM69" s="17" t="n">
        <v>1.31497503186165</v>
      </c>
      <c r="AN69" s="17" t="n">
        <v>1.31497503186165</v>
      </c>
      <c r="AO69" s="17" t="n">
        <v>1.31497503186165</v>
      </c>
      <c r="AP69" s="17" t="n">
        <v>1.6299500637233</v>
      </c>
      <c r="AQ69" s="17" t="n">
        <v>1.6299500637233</v>
      </c>
      <c r="AR69" s="17" t="n">
        <v>1.6299500637233</v>
      </c>
      <c r="AS69" s="17" t="n">
        <v>1.6299500637233</v>
      </c>
      <c r="AT69" s="17" t="n">
        <v>1.31497503186165</v>
      </c>
      <c r="AU69" s="17" t="n">
        <v>1</v>
      </c>
      <c r="AV69" s="17" t="n">
        <v>1</v>
      </c>
      <c r="AW69" s="17" t="n">
        <v>1</v>
      </c>
      <c r="AX69" s="17" t="n">
        <v>1</v>
      </c>
      <c r="AY69" s="17" t="n">
        <v>1</v>
      </c>
      <c r="AZ69" s="17" t="n">
        <v>1</v>
      </c>
      <c r="BA69" s="17" t="n">
        <v>1</v>
      </c>
      <c r="BB69" s="17" t="n">
        <v>1.31497503186165</v>
      </c>
      <c r="BC69" s="17" t="n">
        <v>1.31497503186165</v>
      </c>
      <c r="BD69" s="17" t="n">
        <v>1</v>
      </c>
      <c r="BE69" s="17" t="n">
        <v>1</v>
      </c>
      <c r="BF69" s="17" t="n">
        <v>1</v>
      </c>
      <c r="BG69" s="17" t="n">
        <v>1</v>
      </c>
      <c r="BH69" s="17" t="n">
        <v>1.31497503186165</v>
      </c>
      <c r="BI69" s="17"/>
      <c r="BJ69" s="18"/>
    </row>
    <row r="70" customFormat="false" ht="15" hidden="false" customHeight="false" outlineLevel="0" collapsed="false">
      <c r="A70" s="2" t="n">
        <v>28</v>
      </c>
      <c r="B70" s="19" t="s">
        <v>79</v>
      </c>
      <c r="C70" s="0" t="n">
        <v>1</v>
      </c>
      <c r="D70" s="0" t="s">
        <v>112</v>
      </c>
      <c r="E70" s="0" t="str">
        <f aca="false">CONCATENATE("Als onderdeel van het programma 'Netwerk op zijn Best' omvat dit groot onderhoudsproject op de ",B70," een grootschalige vernieuwing van het asfalt.")</f>
        <v>Als onderdeel van het programma 'Netwerk op zijn Best' omvat dit groot onderhoudsproject op de B15-A een grootschalige vernieuwing van het asfalt.</v>
      </c>
      <c r="F70" s="13" t="s">
        <v>113</v>
      </c>
      <c r="G70" s="1" t="s">
        <v>121</v>
      </c>
      <c r="H70" s="1" t="n">
        <v>1760</v>
      </c>
      <c r="I70" s="14" t="n">
        <v>5778000</v>
      </c>
      <c r="J70" s="1" t="n">
        <v>8.8</v>
      </c>
      <c r="K70" s="15" t="n">
        <f aca="false">1/3</f>
        <v>0.333333333333333</v>
      </c>
      <c r="L70" s="1" t="n">
        <v>2</v>
      </c>
      <c r="M70" s="10" t="n">
        <f aca="false">O70-I70</f>
        <v>2630000</v>
      </c>
      <c r="N70" s="10" t="n">
        <f aca="false">IF(P70=1,0,VLOOKUP($P$1,'TTL NORMAL'!$A$2:$B$46,2,0)*(J70+L70)*P70)+IF(Q70=1,0,VLOOKUP($Q$1,'TTL NORMAL'!$A$2:$B$46,2,0)*(J70+L70)*Q70)+IF(R70=1,0,VLOOKUP($R$1,'TTL NORMAL'!$A$2:$B$46,2,0)*(J70+L70)*R70)+IF(S70=1,0,VLOOKUP($S$1,'TTL NORMAL'!$A$2:$B$46,2,0)*(J70+L70)*S70)+IF(T70=1,0,VLOOKUP($T$1,'TTL NORMAL'!$A$2:$B$46,2,0)*(J70+L70)*T70)+IF(U70=1,0,VLOOKUP($U$1,'TTL NORMAL'!$A$2:$B$46,2,0)*(J70+L70)*U70)+IF(V70=1,0,VLOOKUP($V$1,'TTL NORMAL'!$A$2:$B$46,2,0)*(J70+L70)*V70)+IF(W70=1,0,VLOOKUP($W$1,'TTL NORMAL'!$A$2:$B$46,2,0)*(J70+L70)*W70)+IF(X70=1,0,VLOOKUP($X$1,'TTL NORMAL'!$A$2:$B$46,2,0)*(J70+L70)*X70)+IF(Y70=1,0,VLOOKUP($Y$1,'TTL NORMAL'!$A$2:$B$46,2,0)*(J70+L70)*Y70)+IF(Z70=1,0,VLOOKUP($Z$1,'TTL NORMAL'!$A$2:$B$46,2,0)*(J70+L70)*Z70)+IF(AA70=1,0,VLOOKUP($AA$1,'TTL NORMAL'!$A$2:$B$46,2,0)*(J70+L70)*AA70)+IF(AB70=1,0,VLOOKUP($AB$1,'TTL NORMAL'!$A$2:$B$46,2,0)*(J70+L70)*AB70)+IF(AC70=1,0,VLOOKUP($AC$1,'TTL NORMAL'!$A$2:$B$46,2,0)*(J70+L70)*AC70)+IF(AD70=1,0,VLOOKUP($AD$1,'TTL NORMAL'!$A$2:$B$46,2,0)*(J70+L70)*AD70)+IF(AE70=1,0,VLOOKUP($AE$1,'TTL NORMAL'!$A$2:$B$46,2,0)*(J70+L70)*AE70)+IF(AF70=1,0,VLOOKUP($AF$1,'TTL NORMAL'!$A$2:$B$46,2,0)*(J70+L70)*AF70)+IF(AG70=1,0,VLOOKUP($AG$1,'TTL NORMAL'!$A$2:$B$46,2,0)*(J70+L70)*AG70)+IF(AH70=1,0,VLOOKUP($AH$1,'TTL NORMAL'!$A$2:$B$46,2,0)*(J70+L70)*AH70)+IF(AI70=1,0,VLOOKUP($AI$1,'TTL NORMAL'!$A$2:$B$46,2,0)*(J70+L70)*AI70)+IF(AJ70=1,0,VLOOKUP($AJ$1,'TTL NORMAL'!$A$2:$B$46,2,0)*(J70+L70)*AJ70)+IF(AK70=1,0,VLOOKUP($AK$1,'TTL NORMAL'!$A$2:$B$46,2,0)*(J70+L70)*AK70)+IF(AL70=1,0,VLOOKUP($AL$1,'TTL NORMAL'!$A$2:$B$46,2,0)*(J70+L70)*AL70)+IF(AM70=1,0,VLOOKUP($AM$1,'TTL NORMAL'!$A$2:$B$46,2,0)*(J70+L70)*AM70)+IF(AN70=1,0,VLOOKUP($AN$1,'TTL NORMAL'!$A$2:$B$46,2,0)*(J70+L70)*AN70)+IF(AO70=1,0,VLOOKUP($AO$1,'TTL NORMAL'!$A$2:$B$46,2,0)*(J70+L70)*AO70)+IF(AP70=1,0,VLOOKUP($AP$1,'TTL NORMAL'!$A$2:$B$46,2,0)*(J70+L70)*AP70)+IF(AQ70=1,0,VLOOKUP($AQ$1,'TTL NORMAL'!$A$2:$B$46,2,0)*(J70+L70)*AQ70)+IF(AR70=1,0,VLOOKUP($AR$1,'TTL NORMAL'!$A$2:$B$46,2,0)*(J70+L70)*AR70)+IF(AS70=1,0,VLOOKUP($AS$1,'TTL NORMAL'!$A$2:$B$46,2,0)*(J70+L70)*AS70)+IF(AT70=1,0,VLOOKUP($AT$1,'TTL NORMAL'!$A$2:$B$46,2,0)*(J70+L70)*AT70)+IF(AU70=1,0,VLOOKUP($AU$1,'TTL NORMAL'!$A$2:$B$46,2,0)*(J70+L70)*AU70)+IF(AV70=1,0,VLOOKUP($AV$1,'TTL NORMAL'!$A$2:$B$46,2,0)*(J70+L70)*AV70)+IF(AW70=1,0,VLOOKUP($AW$1,'TTL NORMAL'!$A$2:$B$46,2,0)*(J70+L70)*AW70)+IF(AX70=1,0,VLOOKUP($AX$1,'TTL NORMAL'!$A$2:$B$46,2,0)*(J70+L70)*AX70)+IF(AY70=1,0,VLOOKUP($AY$1,'TTL NORMAL'!$A$2:$B$46,2,0)*(J70+L70)*AY70)+IF(AZ70=1,0,VLOOKUP($AZ$1,'TTL NORMAL'!$A$2:$B$46,2,0)*(J70+L70)*AZ70)+IF(BA70=1,0,VLOOKUP($BA$1,'TTL NORMAL'!$A$2:$B$46,2,0)*(J70+L70)*BA70)+IF(BB70=1,0,VLOOKUP($BB$1,'TTL NORMAL'!$A$2:$B$46,2,0)*(J70+L70)*BB70)+IF(BC70=1,0,VLOOKUP($BC$1,'TTL NORMAL'!$A$2:$B$46,2,0)*(J70+L70)*BC70)+IF(BD70=1,0,VLOOKUP($BD$1,'TTL NORMAL'!$A$2:$B$46,2,0)*(J70+L70)*BD70)+IF(BE70=1,0,VLOOKUP($BE$1,'TTL NORMAL'!$A$2:$B$46,2,0)*(J70+L70)*BE70)+IF(BF70=1,0,VLOOKUP($BF$1,'TTL NORMAL'!$A$2:$B$46,2,0)*(J70+L70)*BF70)+IF(BG70=1,0,VLOOKUP($BG$1,'TTL NORMAL'!$A$2:$B$46,2,0)*(J70+L70)*BG70)+IF(BH70=1,0,VLOOKUP($BH$1,'TTL NORMAL'!$A$2:$B$46,2,0)*(J70+L70)*BH70)</f>
        <v>928844.007924443</v>
      </c>
      <c r="O70" s="5" t="n">
        <v>8408000</v>
      </c>
      <c r="P70" s="18" t="n">
        <v>1</v>
      </c>
      <c r="Q70" s="17" t="n">
        <v>1</v>
      </c>
      <c r="R70" s="17" t="n">
        <v>1</v>
      </c>
      <c r="S70" s="17" t="n">
        <v>1</v>
      </c>
      <c r="T70" s="17" t="n">
        <v>1</v>
      </c>
      <c r="U70" s="17" t="n">
        <v>1</v>
      </c>
      <c r="V70" s="17" t="n">
        <v>1</v>
      </c>
      <c r="W70" s="17" t="n">
        <v>1</v>
      </c>
      <c r="X70" s="17" t="n">
        <v>1</v>
      </c>
      <c r="Y70" s="17" t="n">
        <v>1</v>
      </c>
      <c r="Z70" s="17" t="n">
        <v>1</v>
      </c>
      <c r="AA70" s="17" t="n">
        <v>1</v>
      </c>
      <c r="AB70" s="17" t="n">
        <v>1.32997384290268</v>
      </c>
      <c r="AC70" s="17" t="n">
        <v>1.65994768580536</v>
      </c>
      <c r="AD70" s="17" t="n">
        <v>1</v>
      </c>
      <c r="AE70" s="17" t="n">
        <v>1.32997384290268</v>
      </c>
      <c r="AF70" s="17" t="n">
        <v>1.32997384290268</v>
      </c>
      <c r="AG70" s="17" t="n">
        <v>1</v>
      </c>
      <c r="AH70" s="17" t="n">
        <v>1</v>
      </c>
      <c r="AI70" s="17" t="n">
        <v>1</v>
      </c>
      <c r="AJ70" s="17" t="n">
        <v>1</v>
      </c>
      <c r="AK70" s="17" t="n">
        <v>1.32997384290268</v>
      </c>
      <c r="AL70" s="17" t="n">
        <v>1</v>
      </c>
      <c r="AM70" s="17" t="n">
        <v>1.32997384290268</v>
      </c>
      <c r="AN70" s="17" t="n">
        <v>1.32997384290268</v>
      </c>
      <c r="AO70" s="17" t="n">
        <v>1.32997384290268</v>
      </c>
      <c r="AP70" s="17" t="n">
        <v>1.65994768580536</v>
      </c>
      <c r="AQ70" s="17" t="n">
        <v>1.65994768580536</v>
      </c>
      <c r="AR70" s="17" t="n">
        <v>1</v>
      </c>
      <c r="AS70" s="17" t="n">
        <v>1.65994768580536</v>
      </c>
      <c r="AT70" s="17" t="n">
        <v>1.32997384290268</v>
      </c>
      <c r="AU70" s="17" t="n">
        <v>1</v>
      </c>
      <c r="AV70" s="17" t="n">
        <v>1</v>
      </c>
      <c r="AW70" s="17" t="n">
        <v>1</v>
      </c>
      <c r="AX70" s="17" t="n">
        <v>1</v>
      </c>
      <c r="AY70" s="17" t="n">
        <v>1</v>
      </c>
      <c r="AZ70" s="17" t="n">
        <v>1.32997384290268</v>
      </c>
      <c r="BA70" s="17" t="n">
        <v>1.32997384290268</v>
      </c>
      <c r="BB70" s="17" t="n">
        <v>1</v>
      </c>
      <c r="BC70" s="17" t="n">
        <v>1</v>
      </c>
      <c r="BD70" s="17" t="n">
        <v>1</v>
      </c>
      <c r="BE70" s="17" t="n">
        <v>1</v>
      </c>
      <c r="BF70" s="17" t="n">
        <v>1</v>
      </c>
      <c r="BG70" s="17" t="n">
        <v>1</v>
      </c>
      <c r="BH70" s="17" t="n">
        <v>1.32997384290268</v>
      </c>
      <c r="BI70" s="17"/>
      <c r="BJ70" s="17"/>
    </row>
    <row r="71" customFormat="false" ht="15" hidden="false" customHeight="false" outlineLevel="0" collapsed="false">
      <c r="A71" s="2" t="n">
        <v>28</v>
      </c>
      <c r="B71" s="19" t="s">
        <v>79</v>
      </c>
      <c r="C71" s="0" t="n">
        <v>2</v>
      </c>
      <c r="D71" s="0" t="s">
        <v>115</v>
      </c>
      <c r="E71" s="0" t="str">
        <f aca="false">CONCATENATE("Als onderdeel van het programma 'Netwerk op zijn Best' omvat dit groot onderhoudsproject op de ",B71," een grootschalige vernieuwing van het asfalt.")</f>
        <v>Als onderdeel van het programma 'Netwerk op zijn Best' omvat dit groot onderhoudsproject op de B15-A een grootschalige vernieuwing van het asfalt.</v>
      </c>
      <c r="F71" s="13" t="s">
        <v>116</v>
      </c>
      <c r="G71" s="1" t="s">
        <v>121</v>
      </c>
      <c r="H71" s="1" t="n">
        <v>2640</v>
      </c>
      <c r="I71" s="14" t="n">
        <v>3676500</v>
      </c>
      <c r="J71" s="1" t="n">
        <v>8</v>
      </c>
      <c r="K71" s="15" t="n">
        <f aca="false">1/3</f>
        <v>0.333333333333333</v>
      </c>
      <c r="L71" s="1" t="n">
        <v>4</v>
      </c>
      <c r="M71" s="10" t="n">
        <f aca="false">O71-I71</f>
        <v>4731500</v>
      </c>
      <c r="N71" s="10" t="n">
        <f aca="false">IF(P71=1,0,VLOOKUP($P$1,'TTL NORMAL'!$A$2:$B$46,2,0)*(J71+L71)*P71)+IF(Q71=1,0,VLOOKUP($Q$1,'TTL NORMAL'!$A$2:$B$46,2,0)*(J71+L71)*Q71)+IF(R71=1,0,VLOOKUP($R$1,'TTL NORMAL'!$A$2:$B$46,2,0)*(J71+L71)*R71)+IF(S71=1,0,VLOOKUP($S$1,'TTL NORMAL'!$A$2:$B$46,2,0)*(J71+L71)*S71)+IF(T71=1,0,VLOOKUP($T$1,'TTL NORMAL'!$A$2:$B$46,2,0)*(J71+L71)*T71)+IF(U71=1,0,VLOOKUP($U$1,'TTL NORMAL'!$A$2:$B$46,2,0)*(J71+L71)*U71)+IF(V71=1,0,VLOOKUP($V$1,'TTL NORMAL'!$A$2:$B$46,2,0)*(J71+L71)*V71)+IF(W71=1,0,VLOOKUP($W$1,'TTL NORMAL'!$A$2:$B$46,2,0)*(J71+L71)*W71)+IF(X71=1,0,VLOOKUP($X$1,'TTL NORMAL'!$A$2:$B$46,2,0)*(J71+L71)*X71)+IF(Y71=1,0,VLOOKUP($Y$1,'TTL NORMAL'!$A$2:$B$46,2,0)*(J71+L71)*Y71)+IF(Z71=1,0,VLOOKUP($Z$1,'TTL NORMAL'!$A$2:$B$46,2,0)*(J71+L71)*Z71)+IF(AA71=1,0,VLOOKUP($AA$1,'TTL NORMAL'!$A$2:$B$46,2,0)*(J71+L71)*AA71)+IF(AB71=1,0,VLOOKUP($AB$1,'TTL NORMAL'!$A$2:$B$46,2,0)*(J71+L71)*AB71)+IF(AC71=1,0,VLOOKUP($AC$1,'TTL NORMAL'!$A$2:$B$46,2,0)*(J71+L71)*AC71)+IF(AD71=1,0,VLOOKUP($AD$1,'TTL NORMAL'!$A$2:$B$46,2,0)*(J71+L71)*AD71)+IF(AE71=1,0,VLOOKUP($AE$1,'TTL NORMAL'!$A$2:$B$46,2,0)*(J71+L71)*AE71)+IF(AF71=1,0,VLOOKUP($AF$1,'TTL NORMAL'!$A$2:$B$46,2,0)*(J71+L71)*AF71)+IF(AG71=1,0,VLOOKUP($AG$1,'TTL NORMAL'!$A$2:$B$46,2,0)*(J71+L71)*AG71)+IF(AH71=1,0,VLOOKUP($AH$1,'TTL NORMAL'!$A$2:$B$46,2,0)*(J71+L71)*AH71)+IF(AI71=1,0,VLOOKUP($AI$1,'TTL NORMAL'!$A$2:$B$46,2,0)*(J71+L71)*AI71)+IF(AJ71=1,0,VLOOKUP($AJ$1,'TTL NORMAL'!$A$2:$B$46,2,0)*(J71+L71)*AJ71)+IF(AK71=1,0,VLOOKUP($AK$1,'TTL NORMAL'!$A$2:$B$46,2,0)*(J71+L71)*AK71)+IF(AL71=1,0,VLOOKUP($AL$1,'TTL NORMAL'!$A$2:$B$46,2,0)*(J71+L71)*AL71)+IF(AM71=1,0,VLOOKUP($AM$1,'TTL NORMAL'!$A$2:$B$46,2,0)*(J71+L71)*AM71)+IF(AN71=1,0,VLOOKUP($AN$1,'TTL NORMAL'!$A$2:$B$46,2,0)*(J71+L71)*AN71)+IF(AO71=1,0,VLOOKUP($AO$1,'TTL NORMAL'!$A$2:$B$46,2,0)*(J71+L71)*AO71)+IF(AP71=1,0,VLOOKUP($AP$1,'TTL NORMAL'!$A$2:$B$46,2,0)*(J71+L71)*AP71)+IF(AQ71=1,0,VLOOKUP($AQ$1,'TTL NORMAL'!$A$2:$B$46,2,0)*(J71+L71)*AQ71)+IF(AR71=1,0,VLOOKUP($AR$1,'TTL NORMAL'!$A$2:$B$46,2,0)*(J71+L71)*AR71)+IF(AS71=1,0,VLOOKUP($AS$1,'TTL NORMAL'!$A$2:$B$46,2,0)*(J71+L71)*AS71)+IF(AT71=1,0,VLOOKUP($AT$1,'TTL NORMAL'!$A$2:$B$46,2,0)*(J71+L71)*AT71)+IF(AU71=1,0,VLOOKUP($AU$1,'TTL NORMAL'!$A$2:$B$46,2,0)*(J71+L71)*AU71)+IF(AV71=1,0,VLOOKUP($AV$1,'TTL NORMAL'!$A$2:$B$46,2,0)*(J71+L71)*AV71)+IF(AW71=1,0,VLOOKUP($AW$1,'TTL NORMAL'!$A$2:$B$46,2,0)*(J71+L71)*AW71)+IF(AX71=1,0,VLOOKUP($AX$1,'TTL NORMAL'!$A$2:$B$46,2,0)*(J71+L71)*AX71)+IF(AY71=1,0,VLOOKUP($AY$1,'TTL NORMAL'!$A$2:$B$46,2,0)*(J71+L71)*AY71)+IF(AZ71=1,0,VLOOKUP($AZ$1,'TTL NORMAL'!$A$2:$B$46,2,0)*(J71+L71)*AZ71)+IF(BA71=1,0,VLOOKUP($BA$1,'TTL NORMAL'!$A$2:$B$46,2,0)*(J71+L71)*BA71)+IF(BB71=1,0,VLOOKUP($BB$1,'TTL NORMAL'!$A$2:$B$46,2,0)*(J71+L71)*BB71)+IF(BC71=1,0,VLOOKUP($BC$1,'TTL NORMAL'!$A$2:$B$46,2,0)*(J71+L71)*BC71)+IF(BD71=1,0,VLOOKUP($BD$1,'TTL NORMAL'!$A$2:$B$46,2,0)*(J71+L71)*BD71)+IF(BE71=1,0,VLOOKUP($BE$1,'TTL NORMAL'!$A$2:$B$46,2,0)*(J71+L71)*BE71)+IF(BF71=1,0,VLOOKUP($BF$1,'TTL NORMAL'!$A$2:$B$46,2,0)*(J71+L71)*BF71)+IF(BG71=1,0,VLOOKUP($BG$1,'TTL NORMAL'!$A$2:$B$46,2,0)*(J71+L71)*BG71)+IF(BH71=1,0,VLOOKUP($BH$1,'TTL NORMAL'!$A$2:$B$46,2,0)*(J71+L71)*BH71)</f>
        <v>1290980.49534771</v>
      </c>
      <c r="O71" s="5" t="n">
        <v>8408000</v>
      </c>
      <c r="P71" s="18" t="n">
        <v>1</v>
      </c>
      <c r="Q71" s="17" t="n">
        <v>1</v>
      </c>
      <c r="R71" s="17" t="n">
        <v>1</v>
      </c>
      <c r="S71" s="17" t="n">
        <v>1</v>
      </c>
      <c r="T71" s="17" t="n">
        <v>1</v>
      </c>
      <c r="U71" s="17" t="n">
        <v>1</v>
      </c>
      <c r="V71" s="17" t="n">
        <v>1</v>
      </c>
      <c r="W71" s="17" t="n">
        <v>1</v>
      </c>
      <c r="X71" s="17" t="n">
        <v>1</v>
      </c>
      <c r="Y71" s="17" t="n">
        <v>1</v>
      </c>
      <c r="Z71" s="17" t="n">
        <v>1</v>
      </c>
      <c r="AA71" s="17" t="n">
        <v>1</v>
      </c>
      <c r="AB71" s="17" t="n">
        <v>1.49496076435402</v>
      </c>
      <c r="AC71" s="17" t="n">
        <v>1.98992152870804</v>
      </c>
      <c r="AD71" s="17" t="n">
        <v>1</v>
      </c>
      <c r="AE71" s="17" t="n">
        <v>1.49496076435402</v>
      </c>
      <c r="AF71" s="17" t="n">
        <v>1.49496076435402</v>
      </c>
      <c r="AG71" s="17" t="n">
        <v>1</v>
      </c>
      <c r="AH71" s="17" t="n">
        <v>1</v>
      </c>
      <c r="AI71" s="17" t="n">
        <v>1</v>
      </c>
      <c r="AJ71" s="17" t="n">
        <v>1</v>
      </c>
      <c r="AK71" s="17" t="n">
        <v>1.49496076435402</v>
      </c>
      <c r="AL71" s="17" t="n">
        <v>1</v>
      </c>
      <c r="AM71" s="17" t="n">
        <v>1.49496076435402</v>
      </c>
      <c r="AN71" s="17" t="n">
        <v>1.49496076435402</v>
      </c>
      <c r="AO71" s="17" t="n">
        <v>1.49496076435402</v>
      </c>
      <c r="AP71" s="17" t="n">
        <v>1.98992152870804</v>
      </c>
      <c r="AQ71" s="17" t="n">
        <v>1.98992152870804</v>
      </c>
      <c r="AR71" s="17" t="n">
        <v>1.98992152870804</v>
      </c>
      <c r="AS71" s="17" t="n">
        <v>1.98992152870804</v>
      </c>
      <c r="AT71" s="17" t="n">
        <v>1.49496076435402</v>
      </c>
      <c r="AU71" s="17" t="n">
        <v>1</v>
      </c>
      <c r="AV71" s="17" t="n">
        <v>1</v>
      </c>
      <c r="AW71" s="17" t="n">
        <v>1</v>
      </c>
      <c r="AX71" s="17" t="n">
        <v>1</v>
      </c>
      <c r="AY71" s="17" t="n">
        <v>1</v>
      </c>
      <c r="AZ71" s="17" t="n">
        <v>1.49496076435402</v>
      </c>
      <c r="BA71" s="17" t="n">
        <v>1.49496076435402</v>
      </c>
      <c r="BB71" s="17" t="n">
        <v>1</v>
      </c>
      <c r="BC71" s="17" t="n">
        <v>1</v>
      </c>
      <c r="BD71" s="17" t="n">
        <v>1</v>
      </c>
      <c r="BE71" s="17" t="n">
        <v>1</v>
      </c>
      <c r="BF71" s="17" t="n">
        <v>1</v>
      </c>
      <c r="BG71" s="17" t="n">
        <v>1</v>
      </c>
      <c r="BH71" s="17" t="n">
        <v>1.49496076435402</v>
      </c>
      <c r="BI71" s="17"/>
      <c r="BJ71" s="17"/>
    </row>
    <row r="72" customFormat="false" ht="15" hidden="false" customHeight="false" outlineLevel="0" collapsed="false">
      <c r="A72" s="2" t="n">
        <v>28</v>
      </c>
      <c r="B72" s="19" t="s">
        <v>79</v>
      </c>
      <c r="C72" s="0" t="n">
        <v>3</v>
      </c>
      <c r="D72" s="0" t="s">
        <v>117</v>
      </c>
      <c r="E72" s="0" t="str">
        <f aca="false">CONCATENATE("Als onderdeel van het programma 'Netwerk op zijn Best' omvat dit groot onderhoudsproject op de ",B72," een grootschalige vernieuwing van het asfalt.")</f>
        <v>Als onderdeel van het programma 'Netwerk op zijn Best' omvat dit groot onderhoudsproject op de B15-A een grootschalige vernieuwing van het asfalt.</v>
      </c>
      <c r="F72" s="13" t="s">
        <v>118</v>
      </c>
      <c r="G72" s="1" t="s">
        <v>121</v>
      </c>
      <c r="H72" s="1" t="n">
        <v>2200</v>
      </c>
      <c r="I72" s="14" t="n">
        <v>5778300</v>
      </c>
      <c r="J72" s="1" t="n">
        <v>8</v>
      </c>
      <c r="K72" s="15" t="n">
        <f aca="false">1/3</f>
        <v>0.333333333333333</v>
      </c>
      <c r="L72" s="1" t="n">
        <v>0</v>
      </c>
      <c r="M72" s="10" t="n">
        <f aca="false">O72-I72</f>
        <v>2629700</v>
      </c>
      <c r="N72" s="10" t="n">
        <f aca="false">IF(P72=1,0,VLOOKUP($P$1,'TTL NORMAL'!$A$2:$B$46,2,0)*(J72+L72)*P72)+IF(Q72=1,0,VLOOKUP($Q$1,'TTL NORMAL'!$A$2:$B$46,2,0)*(J72+L72)*Q72)+IF(R72=1,0,VLOOKUP($R$1,'TTL NORMAL'!$A$2:$B$46,2,0)*(J72+L72)*R72)+IF(S72=1,0,VLOOKUP($S$1,'TTL NORMAL'!$A$2:$B$46,2,0)*(J72+L72)*S72)+IF(T72=1,0,VLOOKUP($T$1,'TTL NORMAL'!$A$2:$B$46,2,0)*(J72+L72)*T72)+IF(U72=1,0,VLOOKUP($U$1,'TTL NORMAL'!$A$2:$B$46,2,0)*(J72+L72)*U72)+IF(V72=1,0,VLOOKUP($V$1,'TTL NORMAL'!$A$2:$B$46,2,0)*(J72+L72)*V72)+IF(W72=1,0,VLOOKUP($W$1,'TTL NORMAL'!$A$2:$B$46,2,0)*(J72+L72)*W72)+IF(X72=1,0,VLOOKUP($X$1,'TTL NORMAL'!$A$2:$B$46,2,0)*(J72+L72)*X72)+IF(Y72=1,0,VLOOKUP($Y$1,'TTL NORMAL'!$A$2:$B$46,2,0)*(J72+L72)*Y72)+IF(Z72=1,0,VLOOKUP($Z$1,'TTL NORMAL'!$A$2:$B$46,2,0)*(J72+L72)*Z72)+IF(AA72=1,0,VLOOKUP($AA$1,'TTL NORMAL'!$A$2:$B$46,2,0)*(J72+L72)*AA72)+IF(AB72=1,0,VLOOKUP($AB$1,'TTL NORMAL'!$A$2:$B$46,2,0)*(J72+L72)*AB72)+IF(AC72=1,0,VLOOKUP($AC$1,'TTL NORMAL'!$A$2:$B$46,2,0)*(J72+L72)*AC72)+IF(AD72=1,0,VLOOKUP($AD$1,'TTL NORMAL'!$A$2:$B$46,2,0)*(J72+L72)*AD72)+IF(AE72=1,0,VLOOKUP($AE$1,'TTL NORMAL'!$A$2:$B$46,2,0)*(J72+L72)*AE72)+IF(AF72=1,0,VLOOKUP($AF$1,'TTL NORMAL'!$A$2:$B$46,2,0)*(J72+L72)*AF72)+IF(AG72=1,0,VLOOKUP($AG$1,'TTL NORMAL'!$A$2:$B$46,2,0)*(J72+L72)*AG72)+IF(AH72=1,0,VLOOKUP($AH$1,'TTL NORMAL'!$A$2:$B$46,2,0)*(J72+L72)*AH72)+IF(AI72=1,0,VLOOKUP($AI$1,'TTL NORMAL'!$A$2:$B$46,2,0)*(J72+L72)*AI72)+IF(AJ72=1,0,VLOOKUP($AJ$1,'TTL NORMAL'!$A$2:$B$46,2,0)*(J72+L72)*AJ72)+IF(AK72=1,0,VLOOKUP($AK$1,'TTL NORMAL'!$A$2:$B$46,2,0)*(J72+L72)*AK72)+IF(AL72=1,0,VLOOKUP($AL$1,'TTL NORMAL'!$A$2:$B$46,2,0)*(J72+L72)*AL72)+IF(AM72=1,0,VLOOKUP($AM$1,'TTL NORMAL'!$A$2:$B$46,2,0)*(J72+L72)*AM72)+IF(AN72=1,0,VLOOKUP($AN$1,'TTL NORMAL'!$A$2:$B$46,2,0)*(J72+L72)*AN72)+IF(AO72=1,0,VLOOKUP($AO$1,'TTL NORMAL'!$A$2:$B$46,2,0)*(J72+L72)*AO72)+IF(AP72=1,0,VLOOKUP($AP$1,'TTL NORMAL'!$A$2:$B$46,2,0)*(J72+L72)*AP72)+IF(AQ72=1,0,VLOOKUP($AQ$1,'TTL NORMAL'!$A$2:$B$46,2,0)*(J72+L72)*AQ72)+IF(AR72=1,0,VLOOKUP($AR$1,'TTL NORMAL'!$A$2:$B$46,2,0)*(J72+L72)*AR72)+IF(AS72=1,0,VLOOKUP($AS$1,'TTL NORMAL'!$A$2:$B$46,2,0)*(J72+L72)*AS72)+IF(AT72=1,0,VLOOKUP($AT$1,'TTL NORMAL'!$A$2:$B$46,2,0)*(J72+L72)*AT72)+IF(AU72=1,0,VLOOKUP($AU$1,'TTL NORMAL'!$A$2:$B$46,2,0)*(J72+L72)*AU72)+IF(AV72=1,0,VLOOKUP($AV$1,'TTL NORMAL'!$A$2:$B$46,2,0)*(J72+L72)*AV72)+IF(AW72=1,0,VLOOKUP($AW$1,'TTL NORMAL'!$A$2:$B$46,2,0)*(J72+L72)*AW72)+IF(AX72=1,0,VLOOKUP($AX$1,'TTL NORMAL'!$A$2:$B$46,2,0)*(J72+L72)*AX72)+IF(AY72=1,0,VLOOKUP($AY$1,'TTL NORMAL'!$A$2:$B$46,2,0)*(J72+L72)*AY72)+IF(AZ72=1,0,VLOOKUP($AZ$1,'TTL NORMAL'!$A$2:$B$46,2,0)*(J72+L72)*AZ72)+IF(BA72=1,0,VLOOKUP($BA$1,'TTL NORMAL'!$A$2:$B$46,2,0)*(J72+L72)*BA72)+IF(BB72=1,0,VLOOKUP($BB$1,'TTL NORMAL'!$A$2:$B$46,2,0)*(J72+L72)*BB72)+IF(BC72=1,0,VLOOKUP($BC$1,'TTL NORMAL'!$A$2:$B$46,2,0)*(J72+L72)*BC72)+IF(BD72=1,0,VLOOKUP($BD$1,'TTL NORMAL'!$A$2:$B$46,2,0)*(J72+L72)*BD72)+IF(BE72=1,0,VLOOKUP($BE$1,'TTL NORMAL'!$A$2:$B$46,2,0)*(J72+L72)*BE72)+IF(BF72=1,0,VLOOKUP($BF$1,'TTL NORMAL'!$A$2:$B$46,2,0)*(J72+L72)*BF72)+IF(BG72=1,0,VLOOKUP($BG$1,'TTL NORMAL'!$A$2:$B$46,2,0)*(J72+L72)*BG72)+IF(BH72=1,0,VLOOKUP($BH$1,'TTL NORMAL'!$A$2:$B$46,2,0)*(J72+L72)*BH72)</f>
        <v>790503.71890589</v>
      </c>
      <c r="O72" s="10" t="n">
        <v>8408000</v>
      </c>
      <c r="P72" s="18" t="n">
        <v>1</v>
      </c>
      <c r="Q72" s="17" t="n">
        <v>1</v>
      </c>
      <c r="R72" s="17" t="n">
        <v>1</v>
      </c>
      <c r="S72" s="17" t="n">
        <v>1</v>
      </c>
      <c r="T72" s="17" t="n">
        <v>1</v>
      </c>
      <c r="U72" s="17" t="n">
        <v>1</v>
      </c>
      <c r="V72" s="17" t="n">
        <v>1</v>
      </c>
      <c r="W72" s="17" t="n">
        <v>1</v>
      </c>
      <c r="X72" s="17" t="n">
        <v>1</v>
      </c>
      <c r="Y72" s="17" t="n">
        <v>1</v>
      </c>
      <c r="Z72" s="17" t="n">
        <v>1</v>
      </c>
      <c r="AA72" s="17" t="n">
        <v>1</v>
      </c>
      <c r="AB72" s="17" t="n">
        <v>1.41246730362835</v>
      </c>
      <c r="AC72" s="17" t="n">
        <v>1.8249346072567</v>
      </c>
      <c r="AD72" s="17" t="n">
        <v>1</v>
      </c>
      <c r="AE72" s="17" t="n">
        <v>1.41246730362835</v>
      </c>
      <c r="AF72" s="17" t="n">
        <v>1.41246730362835</v>
      </c>
      <c r="AG72" s="17" t="n">
        <v>1</v>
      </c>
      <c r="AH72" s="17" t="n">
        <v>1</v>
      </c>
      <c r="AI72" s="17" t="n">
        <v>1</v>
      </c>
      <c r="AJ72" s="17" t="n">
        <v>1</v>
      </c>
      <c r="AK72" s="17" t="n">
        <v>1.41246730362835</v>
      </c>
      <c r="AL72" s="17" t="n">
        <v>1</v>
      </c>
      <c r="AM72" s="17" t="n">
        <v>1.41246730362835</v>
      </c>
      <c r="AN72" s="17" t="n">
        <v>1.41246730362835</v>
      </c>
      <c r="AO72" s="17" t="n">
        <v>1.41246730362835</v>
      </c>
      <c r="AP72" s="17" t="n">
        <v>1.8249346072567</v>
      </c>
      <c r="AQ72" s="17" t="n">
        <v>1.8249346072567</v>
      </c>
      <c r="AR72" s="17" t="n">
        <v>1.41246730362835</v>
      </c>
      <c r="AS72" s="17" t="n">
        <v>1.8249346072567</v>
      </c>
      <c r="AT72" s="17" t="n">
        <v>1.41246730362835</v>
      </c>
      <c r="AU72" s="17" t="n">
        <v>1</v>
      </c>
      <c r="AV72" s="17" t="n">
        <v>1</v>
      </c>
      <c r="AW72" s="17" t="n">
        <v>1</v>
      </c>
      <c r="AX72" s="17" t="n">
        <v>1</v>
      </c>
      <c r="AY72" s="17" t="n">
        <v>1</v>
      </c>
      <c r="AZ72" s="17" t="n">
        <v>1.41246730362835</v>
      </c>
      <c r="BA72" s="17" t="n">
        <v>1.41246730362835</v>
      </c>
      <c r="BB72" s="17" t="n">
        <v>1</v>
      </c>
      <c r="BC72" s="17" t="n">
        <v>1</v>
      </c>
      <c r="BD72" s="17" t="n">
        <v>1</v>
      </c>
      <c r="BE72" s="17" t="n">
        <v>1</v>
      </c>
      <c r="BF72" s="17" t="n">
        <v>1</v>
      </c>
      <c r="BG72" s="17" t="n">
        <v>1</v>
      </c>
      <c r="BH72" s="17" t="n">
        <v>1.41246730362835</v>
      </c>
      <c r="BI72" s="17"/>
      <c r="BJ72" s="17"/>
    </row>
    <row r="73" customFormat="false" ht="15" hidden="false" customHeight="false" outlineLevel="0" collapsed="false">
      <c r="A73" s="2" t="n">
        <v>28</v>
      </c>
      <c r="B73" s="19" t="s">
        <v>79</v>
      </c>
      <c r="C73" s="0" t="n">
        <v>4</v>
      </c>
      <c r="D73" s="0" t="s">
        <v>119</v>
      </c>
      <c r="E73" s="0" t="str">
        <f aca="false">CONCATENATE("Als onderdeel van het programma 'Netwerk op zijn Best' omvat dit groot onderhoudsproject op de ",B73," een grootschalige vernieuwing van het asfalt.")</f>
        <v>Als onderdeel van het programma 'Netwerk op zijn Best' omvat dit groot onderhoudsproject op de B15-A een grootschalige vernieuwing van het asfalt.</v>
      </c>
      <c r="F73" s="13" t="s">
        <v>120</v>
      </c>
      <c r="G73" s="1" t="s">
        <v>121</v>
      </c>
      <c r="H73" s="1" t="n">
        <v>2640</v>
      </c>
      <c r="I73" s="14" t="n">
        <v>5253000</v>
      </c>
      <c r="J73" s="1" t="n">
        <v>5.6</v>
      </c>
      <c r="K73" s="15" t="n">
        <f aca="false">1/3</f>
        <v>0.333333333333333</v>
      </c>
      <c r="L73" s="1" t="n">
        <v>2</v>
      </c>
      <c r="M73" s="10" t="n">
        <f aca="false">O73-I73</f>
        <v>3155000</v>
      </c>
      <c r="N73" s="10" t="n">
        <f aca="false">IF(P73=1,0,VLOOKUP($P$1,'TTL NORMAL'!$A$2:$B$46,2,0)*(J73+L73)*P73)+IF(Q73=1,0,VLOOKUP($Q$1,'TTL NORMAL'!$A$2:$B$46,2,0)*(J73+L73)*Q73)+IF(R73=1,0,VLOOKUP($R$1,'TTL NORMAL'!$A$2:$B$46,2,0)*(J73+L73)*R73)+IF(S73=1,0,VLOOKUP($S$1,'TTL NORMAL'!$A$2:$B$46,2,0)*(J73+L73)*S73)+IF(T73=1,0,VLOOKUP($T$1,'TTL NORMAL'!$A$2:$B$46,2,0)*(J73+L73)*T73)+IF(U73=1,0,VLOOKUP($U$1,'TTL NORMAL'!$A$2:$B$46,2,0)*(J73+L73)*U73)+IF(V73=1,0,VLOOKUP($V$1,'TTL NORMAL'!$A$2:$B$46,2,0)*(J73+L73)*V73)+IF(W73=1,0,VLOOKUP($W$1,'TTL NORMAL'!$A$2:$B$46,2,0)*(J73+L73)*W73)+IF(X73=1,0,VLOOKUP($X$1,'TTL NORMAL'!$A$2:$B$46,2,0)*(J73+L73)*X73)+IF(Y73=1,0,VLOOKUP($Y$1,'TTL NORMAL'!$A$2:$B$46,2,0)*(J73+L73)*Y73)+IF(Z73=1,0,VLOOKUP($Z$1,'TTL NORMAL'!$A$2:$B$46,2,0)*(J73+L73)*Z73)+IF(AA73=1,0,VLOOKUP($AA$1,'TTL NORMAL'!$A$2:$B$46,2,0)*(J73+L73)*AA73)+IF(AB73=1,0,VLOOKUP($AB$1,'TTL NORMAL'!$A$2:$B$46,2,0)*(J73+L73)*AB73)+IF(AC73=1,0,VLOOKUP($AC$1,'TTL NORMAL'!$A$2:$B$46,2,0)*(J73+L73)*AC73)+IF(AD73=1,0,VLOOKUP($AD$1,'TTL NORMAL'!$A$2:$B$46,2,0)*(J73+L73)*AD73)+IF(AE73=1,0,VLOOKUP($AE$1,'TTL NORMAL'!$A$2:$B$46,2,0)*(J73+L73)*AE73)+IF(AF73=1,0,VLOOKUP($AF$1,'TTL NORMAL'!$A$2:$B$46,2,0)*(J73+L73)*AF73)+IF(AG73=1,0,VLOOKUP($AG$1,'TTL NORMAL'!$A$2:$B$46,2,0)*(J73+L73)*AG73)+IF(AH73=1,0,VLOOKUP($AH$1,'TTL NORMAL'!$A$2:$B$46,2,0)*(J73+L73)*AH73)+IF(AI73=1,0,VLOOKUP($AI$1,'TTL NORMAL'!$A$2:$B$46,2,0)*(J73+L73)*AI73)+IF(AJ73=1,0,VLOOKUP($AJ$1,'TTL NORMAL'!$A$2:$B$46,2,0)*(J73+L73)*AJ73)+IF(AK73=1,0,VLOOKUP($AK$1,'TTL NORMAL'!$A$2:$B$46,2,0)*(J73+L73)*AK73)+IF(AL73=1,0,VLOOKUP($AL$1,'TTL NORMAL'!$A$2:$B$46,2,0)*(J73+L73)*AL73)+IF(AM73=1,0,VLOOKUP($AM$1,'TTL NORMAL'!$A$2:$B$46,2,0)*(J73+L73)*AM73)+IF(AN73=1,0,VLOOKUP($AN$1,'TTL NORMAL'!$A$2:$B$46,2,0)*(J73+L73)*AN73)+IF(AO73=1,0,VLOOKUP($AO$1,'TTL NORMAL'!$A$2:$B$46,2,0)*(J73+L73)*AO73)+IF(AP73=1,0,VLOOKUP($AP$1,'TTL NORMAL'!$A$2:$B$46,2,0)*(J73+L73)*AP73)+IF(AQ73=1,0,VLOOKUP($AQ$1,'TTL NORMAL'!$A$2:$B$46,2,0)*(J73+L73)*AQ73)+IF(AR73=1,0,VLOOKUP($AR$1,'TTL NORMAL'!$A$2:$B$46,2,0)*(J73+L73)*AR73)+IF(AS73=1,0,VLOOKUP($AS$1,'TTL NORMAL'!$A$2:$B$46,2,0)*(J73+L73)*AS73)+IF(AT73=1,0,VLOOKUP($AT$1,'TTL NORMAL'!$A$2:$B$46,2,0)*(J73+L73)*AT73)+IF(AU73=1,0,VLOOKUP($AU$1,'TTL NORMAL'!$A$2:$B$46,2,0)*(J73+L73)*AU73)+IF(AV73=1,0,VLOOKUP($AV$1,'TTL NORMAL'!$A$2:$B$46,2,0)*(J73+L73)*AV73)+IF(AW73=1,0,VLOOKUP($AW$1,'TTL NORMAL'!$A$2:$B$46,2,0)*(J73+L73)*AW73)+IF(AX73=1,0,VLOOKUP($AX$1,'TTL NORMAL'!$A$2:$B$46,2,0)*(J73+L73)*AX73)+IF(AY73=1,0,VLOOKUP($AY$1,'TTL NORMAL'!$A$2:$B$46,2,0)*(J73+L73)*AY73)+IF(AZ73=1,0,VLOOKUP($AZ$1,'TTL NORMAL'!$A$2:$B$46,2,0)*(J73+L73)*AZ73)+IF(BA73=1,0,VLOOKUP($BA$1,'TTL NORMAL'!$A$2:$B$46,2,0)*(J73+L73)*BA73)+IF(BB73=1,0,VLOOKUP($BB$1,'TTL NORMAL'!$A$2:$B$46,2,0)*(J73+L73)*BB73)+IF(BC73=1,0,VLOOKUP($BC$1,'TTL NORMAL'!$A$2:$B$46,2,0)*(J73+L73)*BC73)+IF(BD73=1,0,VLOOKUP($BD$1,'TTL NORMAL'!$A$2:$B$46,2,0)*(J73+L73)*BD73)+IF(BE73=1,0,VLOOKUP($BE$1,'TTL NORMAL'!$A$2:$B$46,2,0)*(J73+L73)*BE73)+IF(BF73=1,0,VLOOKUP($BF$1,'TTL NORMAL'!$A$2:$B$46,2,0)*(J73+L73)*BF73)+IF(BG73=1,0,VLOOKUP($BG$1,'TTL NORMAL'!$A$2:$B$46,2,0)*(J73+L73)*BG73)+IF(BH73=1,0,VLOOKUP($BH$1,'TTL NORMAL'!$A$2:$B$46,2,0)*(J73+L73)*BH73)</f>
        <v>817620.980386883</v>
      </c>
      <c r="O73" s="5" t="n">
        <v>8408000</v>
      </c>
      <c r="P73" s="18" t="n">
        <v>1</v>
      </c>
      <c r="Q73" s="17" t="n">
        <v>1</v>
      </c>
      <c r="R73" s="17" t="n">
        <v>1</v>
      </c>
      <c r="S73" s="17" t="n">
        <v>1</v>
      </c>
      <c r="T73" s="17" t="n">
        <v>1</v>
      </c>
      <c r="U73" s="17" t="n">
        <v>1</v>
      </c>
      <c r="V73" s="17" t="n">
        <v>1</v>
      </c>
      <c r="W73" s="17" t="n">
        <v>1</v>
      </c>
      <c r="X73" s="17" t="n">
        <v>1</v>
      </c>
      <c r="Y73" s="17" t="n">
        <v>1</v>
      </c>
      <c r="Z73" s="17" t="n">
        <v>1</v>
      </c>
      <c r="AA73" s="17" t="n">
        <v>1</v>
      </c>
      <c r="AB73" s="17" t="n">
        <v>1.49496076435402</v>
      </c>
      <c r="AC73" s="17" t="n">
        <v>1.98992152870804</v>
      </c>
      <c r="AD73" s="17" t="n">
        <v>1</v>
      </c>
      <c r="AE73" s="17" t="n">
        <v>1.49496076435402</v>
      </c>
      <c r="AF73" s="17" t="n">
        <v>1.49496076435402</v>
      </c>
      <c r="AG73" s="17" t="n">
        <v>1</v>
      </c>
      <c r="AH73" s="17" t="n">
        <v>1</v>
      </c>
      <c r="AI73" s="17" t="n">
        <v>1</v>
      </c>
      <c r="AJ73" s="17" t="n">
        <v>1</v>
      </c>
      <c r="AK73" s="17" t="n">
        <v>1.49496076435402</v>
      </c>
      <c r="AL73" s="17" t="n">
        <v>1</v>
      </c>
      <c r="AM73" s="17" t="n">
        <v>1.49496076435402</v>
      </c>
      <c r="AN73" s="17" t="n">
        <v>1.49496076435402</v>
      </c>
      <c r="AO73" s="17" t="n">
        <v>1.49496076435402</v>
      </c>
      <c r="AP73" s="17" t="n">
        <v>1.98992152870804</v>
      </c>
      <c r="AQ73" s="17" t="n">
        <v>1.98992152870804</v>
      </c>
      <c r="AR73" s="17" t="n">
        <v>1.98992152870804</v>
      </c>
      <c r="AS73" s="17" t="n">
        <v>1.98992152870804</v>
      </c>
      <c r="AT73" s="17" t="n">
        <v>1.49496076435402</v>
      </c>
      <c r="AU73" s="17" t="n">
        <v>1</v>
      </c>
      <c r="AV73" s="17" t="n">
        <v>1</v>
      </c>
      <c r="AW73" s="17" t="n">
        <v>1</v>
      </c>
      <c r="AX73" s="17" t="n">
        <v>1</v>
      </c>
      <c r="AY73" s="17" t="n">
        <v>1</v>
      </c>
      <c r="AZ73" s="17" t="n">
        <v>1.49496076435402</v>
      </c>
      <c r="BA73" s="17" t="n">
        <v>1.49496076435402</v>
      </c>
      <c r="BB73" s="17" t="n">
        <v>1</v>
      </c>
      <c r="BC73" s="17" t="n">
        <v>1</v>
      </c>
      <c r="BD73" s="17" t="n">
        <v>1</v>
      </c>
      <c r="BE73" s="17" t="n">
        <v>1</v>
      </c>
      <c r="BF73" s="17" t="n">
        <v>1</v>
      </c>
      <c r="BG73" s="17" t="n">
        <v>1</v>
      </c>
      <c r="BH73" s="17" t="n">
        <v>1.49496076435402</v>
      </c>
      <c r="BI73" s="17"/>
      <c r="BJ73" s="17"/>
    </row>
    <row r="74" customFormat="false" ht="15" hidden="false" customHeight="false" outlineLevel="0" collapsed="false">
      <c r="A74" s="2" t="n">
        <v>29</v>
      </c>
      <c r="B74" s="0" t="s">
        <v>80</v>
      </c>
      <c r="C74" s="0" t="n">
        <v>1</v>
      </c>
      <c r="D74" s="0" t="s">
        <v>112</v>
      </c>
      <c r="E74" s="0" t="str">
        <f aca="false">CONCATENATE("Als onderdeel van het programma 'Netwerk op zijn Best' omvat dit groot onderhoudsproject op de ",B74," een rijbaanverbreding van 3 naar 4 rijstroken op het knooppunt tussen de ",B74," en de M5.")</f>
        <v>Als onderdeel van het programma 'Netwerk op zijn Best' omvat dit groot onderhoudsproject op de B15-B een rijbaanverbreding van 3 naar 4 rijstroken op het knooppunt tussen de B15-B en de M5.</v>
      </c>
      <c r="F74" s="13" t="s">
        <v>113</v>
      </c>
      <c r="G74" s="1" t="s">
        <v>122</v>
      </c>
      <c r="H74" s="1" t="n">
        <v>3040</v>
      </c>
      <c r="I74" s="14" t="n">
        <v>4618500</v>
      </c>
      <c r="J74" s="1" t="n">
        <v>14.3</v>
      </c>
      <c r="K74" s="15" t="n">
        <f aca="false">1/3</f>
        <v>0.333333333333333</v>
      </c>
      <c r="L74" s="1" t="n">
        <v>2</v>
      </c>
      <c r="M74" s="10" t="n">
        <f aca="false">O74-I74</f>
        <v>2103500</v>
      </c>
      <c r="N74" s="10" t="n">
        <f aca="false">IF(P74=1,0,VLOOKUP($P$1,'TTL NORMAL'!$A$2:$B$46,2,0)*(J74+L74)*P74)+IF(Q74=1,0,VLOOKUP($Q$1,'TTL NORMAL'!$A$2:$B$46,2,0)*(J74+L74)*Q74)+IF(R74=1,0,VLOOKUP($R$1,'TTL NORMAL'!$A$2:$B$46,2,0)*(J74+L74)*R74)+IF(S74=1,0,VLOOKUP($S$1,'TTL NORMAL'!$A$2:$B$46,2,0)*(J74+L74)*S74)+IF(T74=1,0,VLOOKUP($T$1,'TTL NORMAL'!$A$2:$B$46,2,0)*(J74+L74)*T74)+IF(U74=1,0,VLOOKUP($U$1,'TTL NORMAL'!$A$2:$B$46,2,0)*(J74+L74)*U74)+IF(V74=1,0,VLOOKUP($V$1,'TTL NORMAL'!$A$2:$B$46,2,0)*(J74+L74)*V74)+IF(W74=1,0,VLOOKUP($W$1,'TTL NORMAL'!$A$2:$B$46,2,0)*(J74+L74)*W74)+IF(X74=1,0,VLOOKUP($X$1,'TTL NORMAL'!$A$2:$B$46,2,0)*(J74+L74)*X74)+IF(Y74=1,0,VLOOKUP($Y$1,'TTL NORMAL'!$A$2:$B$46,2,0)*(J74+L74)*Y74)+IF(Z74=1,0,VLOOKUP($Z$1,'TTL NORMAL'!$A$2:$B$46,2,0)*(J74+L74)*Z74)+IF(AA74=1,0,VLOOKUP($AA$1,'TTL NORMAL'!$A$2:$B$46,2,0)*(J74+L74)*AA74)+IF(AB74=1,0,VLOOKUP($AB$1,'TTL NORMAL'!$A$2:$B$46,2,0)*(J74+L74)*AB74)+IF(AC74=1,0,VLOOKUP($AC$1,'TTL NORMAL'!$A$2:$B$46,2,0)*(J74+L74)*AC74)+IF(AD74=1,0,VLOOKUP($AD$1,'TTL NORMAL'!$A$2:$B$46,2,0)*(J74+L74)*AD74)+IF(AE74=1,0,VLOOKUP($AE$1,'TTL NORMAL'!$A$2:$B$46,2,0)*(J74+L74)*AE74)+IF(AF74=1,0,VLOOKUP($AF$1,'TTL NORMAL'!$A$2:$B$46,2,0)*(J74+L74)*AF74)+IF(AG74=1,0,VLOOKUP($AG$1,'TTL NORMAL'!$A$2:$B$46,2,0)*(J74+L74)*AG74)+IF(AH74=1,0,VLOOKUP($AH$1,'TTL NORMAL'!$A$2:$B$46,2,0)*(J74+L74)*AH74)+IF(AI74=1,0,VLOOKUP($AI$1,'TTL NORMAL'!$A$2:$B$46,2,0)*(J74+L74)*AI74)+IF(AJ74=1,0,VLOOKUP($AJ$1,'TTL NORMAL'!$A$2:$B$46,2,0)*(J74+L74)*AJ74)+IF(AK74=1,0,VLOOKUP($AK$1,'TTL NORMAL'!$A$2:$B$46,2,0)*(J74+L74)*AK74)+IF(AL74=1,0,VLOOKUP($AL$1,'TTL NORMAL'!$A$2:$B$46,2,0)*(J74+L74)*AL74)+IF(AM74=1,0,VLOOKUP($AM$1,'TTL NORMAL'!$A$2:$B$46,2,0)*(J74+L74)*AM74)+IF(AN74=1,0,VLOOKUP($AN$1,'TTL NORMAL'!$A$2:$B$46,2,0)*(J74+L74)*AN74)+IF(AO74=1,0,VLOOKUP($AO$1,'TTL NORMAL'!$A$2:$B$46,2,0)*(J74+L74)*AO74)+IF(AP74=1,0,VLOOKUP($AP$1,'TTL NORMAL'!$A$2:$B$46,2,0)*(J74+L74)*AP74)+IF(AQ74=1,0,VLOOKUP($AQ$1,'TTL NORMAL'!$A$2:$B$46,2,0)*(J74+L74)*AQ74)+IF(AR74=1,0,VLOOKUP($AR$1,'TTL NORMAL'!$A$2:$B$46,2,0)*(J74+L74)*AR74)+IF(AS74=1,0,VLOOKUP($AS$1,'TTL NORMAL'!$A$2:$B$46,2,0)*(J74+L74)*AS74)+IF(AT74=1,0,VLOOKUP($AT$1,'TTL NORMAL'!$A$2:$B$46,2,0)*(J74+L74)*AT74)+IF(AU74=1,0,VLOOKUP($AU$1,'TTL NORMAL'!$A$2:$B$46,2,0)*(J74+L74)*AU74)+IF(AV74=1,0,VLOOKUP($AV$1,'TTL NORMAL'!$A$2:$B$46,2,0)*(J74+L74)*AV74)+IF(AW74=1,0,VLOOKUP($AW$1,'TTL NORMAL'!$A$2:$B$46,2,0)*(J74+L74)*AW74)+IF(AX74=1,0,VLOOKUP($AX$1,'TTL NORMAL'!$A$2:$B$46,2,0)*(J74+L74)*AX74)+IF(AY74=1,0,VLOOKUP($AY$1,'TTL NORMAL'!$A$2:$B$46,2,0)*(J74+L74)*AY74)+IF(AZ74=1,0,VLOOKUP($AZ$1,'TTL NORMAL'!$A$2:$B$46,2,0)*(J74+L74)*AZ74)+IF(BA74=1,0,VLOOKUP($BA$1,'TTL NORMAL'!$A$2:$B$46,2,0)*(J74+L74)*BA74)+IF(BB74=1,0,VLOOKUP($BB$1,'TTL NORMAL'!$A$2:$B$46,2,0)*(J74+L74)*BB74)+IF(BC74=1,0,VLOOKUP($BC$1,'TTL NORMAL'!$A$2:$B$46,2,0)*(J74+L74)*BC74)+IF(BD74=1,0,VLOOKUP($BD$1,'TTL NORMAL'!$A$2:$B$46,2,0)*(J74+L74)*BD74)+IF(BE74=1,0,VLOOKUP($BE$1,'TTL NORMAL'!$A$2:$B$46,2,0)*(J74+L74)*BE74)+IF(BF74=1,0,VLOOKUP($BF$1,'TTL NORMAL'!$A$2:$B$46,2,0)*(J74+L74)*BF74)+IF(BG74=1,0,VLOOKUP($BG$1,'TTL NORMAL'!$A$2:$B$46,2,0)*(J74+L74)*BG74)+IF(BH74=1,0,VLOOKUP($BH$1,'TTL NORMAL'!$A$2:$B$46,2,0)*(J74+L74)*BH74)</f>
        <v>1669623.04766853</v>
      </c>
      <c r="O74" s="5" t="n">
        <v>6722000</v>
      </c>
      <c r="P74" s="18" t="n">
        <v>1</v>
      </c>
      <c r="Q74" s="17" t="n">
        <v>1</v>
      </c>
      <c r="R74" s="17" t="n">
        <v>1</v>
      </c>
      <c r="S74" s="17" t="n">
        <v>1</v>
      </c>
      <c r="T74" s="17" t="n">
        <v>1.31415190780744</v>
      </c>
      <c r="U74" s="17" t="n">
        <v>1.31415190780744</v>
      </c>
      <c r="V74" s="17" t="n">
        <v>1</v>
      </c>
      <c r="W74" s="17" t="n">
        <v>1.31415190780744</v>
      </c>
      <c r="X74" s="17" t="n">
        <v>1</v>
      </c>
      <c r="Y74" s="17" t="n">
        <v>1</v>
      </c>
      <c r="Z74" s="17" t="n">
        <v>1</v>
      </c>
      <c r="AA74" s="17" t="n">
        <v>1</v>
      </c>
      <c r="AB74" s="17" t="n">
        <v>1</v>
      </c>
      <c r="AC74" s="17" t="n">
        <v>1.31415190780744</v>
      </c>
      <c r="AD74" s="17" t="n">
        <v>1</v>
      </c>
      <c r="AE74" s="17" t="n">
        <v>1.31415190780744</v>
      </c>
      <c r="AF74" s="17" t="n">
        <v>1.62830381561489</v>
      </c>
      <c r="AG74" s="17" t="n">
        <v>1.31415190780744</v>
      </c>
      <c r="AH74" s="17" t="n">
        <v>1</v>
      </c>
      <c r="AI74" s="17" t="n">
        <v>1.31415190780744</v>
      </c>
      <c r="AJ74" s="17" t="n">
        <v>1.31415190780744</v>
      </c>
      <c r="AK74" s="17" t="n">
        <v>1.62830381561489</v>
      </c>
      <c r="AL74" s="17" t="n">
        <v>1</v>
      </c>
      <c r="AM74" s="17" t="n">
        <v>1.31415190780744</v>
      </c>
      <c r="AN74" s="17" t="n">
        <v>1.31415190780744</v>
      </c>
      <c r="AO74" s="17" t="n">
        <v>1.31415190780744</v>
      </c>
      <c r="AP74" s="17" t="n">
        <v>1.62830381561489</v>
      </c>
      <c r="AQ74" s="17" t="n">
        <v>1.62830381561489</v>
      </c>
      <c r="AR74" s="17" t="n">
        <v>1.62830381561489</v>
      </c>
      <c r="AS74" s="17" t="n">
        <v>1</v>
      </c>
      <c r="AT74" s="17" t="n">
        <v>1.62830381561489</v>
      </c>
      <c r="AU74" s="17" t="n">
        <v>1</v>
      </c>
      <c r="AV74" s="17" t="n">
        <v>1</v>
      </c>
      <c r="AW74" s="17" t="n">
        <v>1</v>
      </c>
      <c r="AX74" s="17" t="n">
        <v>1</v>
      </c>
      <c r="AY74" s="17" t="n">
        <v>1</v>
      </c>
      <c r="AZ74" s="17" t="n">
        <v>1</v>
      </c>
      <c r="BA74" s="17" t="n">
        <v>1</v>
      </c>
      <c r="BB74" s="17" t="n">
        <v>1</v>
      </c>
      <c r="BC74" s="17" t="n">
        <v>1</v>
      </c>
      <c r="BD74" s="17" t="n">
        <v>1</v>
      </c>
      <c r="BE74" s="20" t="n">
        <v>1.31415190780744</v>
      </c>
      <c r="BF74" s="17" t="n">
        <v>1</v>
      </c>
      <c r="BG74" s="17" t="n">
        <v>1</v>
      </c>
      <c r="BH74" s="17" t="n">
        <v>1.31415190780744</v>
      </c>
      <c r="BI74" s="17"/>
      <c r="BJ74" s="18"/>
    </row>
    <row r="75" customFormat="false" ht="15" hidden="false" customHeight="false" outlineLevel="0" collapsed="false">
      <c r="A75" s="2" t="n">
        <v>29</v>
      </c>
      <c r="B75" s="0" t="s">
        <v>80</v>
      </c>
      <c r="C75" s="0" t="n">
        <v>2</v>
      </c>
      <c r="D75" s="0" t="s">
        <v>115</v>
      </c>
      <c r="E75" s="0" t="str">
        <f aca="false">CONCATENATE("Als onderdeel van het programma 'Netwerk op zijn Best' omvat dit groot onderhoudsproject op de ",B75," een rijbaanverbreding van 3 naar 4 rijstroken op het knooppunt tussen de ",B75," en de M5.")</f>
        <v>Als onderdeel van het programma 'Netwerk op zijn Best' omvat dit groot onderhoudsproject op de B15-B een rijbaanverbreding van 3 naar 4 rijstroken op het knooppunt tussen de B15-B en de M5.</v>
      </c>
      <c r="F75" s="13" t="s">
        <v>116</v>
      </c>
      <c r="G75" s="1" t="s">
        <v>122</v>
      </c>
      <c r="H75" s="1" t="n">
        <v>4560</v>
      </c>
      <c r="I75" s="14" t="n">
        <v>2938500</v>
      </c>
      <c r="J75" s="1" t="n">
        <v>13</v>
      </c>
      <c r="K75" s="15" t="n">
        <f aca="false">1/3</f>
        <v>0.333333333333333</v>
      </c>
      <c r="L75" s="1" t="n">
        <v>4</v>
      </c>
      <c r="M75" s="10" t="n">
        <f aca="false">O75-I75</f>
        <v>3783500</v>
      </c>
      <c r="N75" s="10" t="n">
        <f aca="false">IF(P75=1,0,VLOOKUP($P$1,'TTL NORMAL'!$A$2:$B$46,2,0)*(J75+L75)*P75)+IF(Q75=1,0,VLOOKUP($Q$1,'TTL NORMAL'!$A$2:$B$46,2,0)*(J75+L75)*Q75)+IF(R75=1,0,VLOOKUP($R$1,'TTL NORMAL'!$A$2:$B$46,2,0)*(J75+L75)*R75)+IF(S75=1,0,VLOOKUP($S$1,'TTL NORMAL'!$A$2:$B$46,2,0)*(J75+L75)*S75)+IF(T75=1,0,VLOOKUP($T$1,'TTL NORMAL'!$A$2:$B$46,2,0)*(J75+L75)*T75)+IF(U75=1,0,VLOOKUP($U$1,'TTL NORMAL'!$A$2:$B$46,2,0)*(J75+L75)*U75)+IF(V75=1,0,VLOOKUP($V$1,'TTL NORMAL'!$A$2:$B$46,2,0)*(J75+L75)*V75)+IF(W75=1,0,VLOOKUP($W$1,'TTL NORMAL'!$A$2:$B$46,2,0)*(J75+L75)*W75)+IF(X75=1,0,VLOOKUP($X$1,'TTL NORMAL'!$A$2:$B$46,2,0)*(J75+L75)*X75)+IF(Y75=1,0,VLOOKUP($Y$1,'TTL NORMAL'!$A$2:$B$46,2,0)*(J75+L75)*Y75)+IF(Z75=1,0,VLOOKUP($Z$1,'TTL NORMAL'!$A$2:$B$46,2,0)*(J75+L75)*Z75)+IF(AA75=1,0,VLOOKUP($AA$1,'TTL NORMAL'!$A$2:$B$46,2,0)*(J75+L75)*AA75)+IF(AB75=1,0,VLOOKUP($AB$1,'TTL NORMAL'!$A$2:$B$46,2,0)*(J75+L75)*AB75)+IF(AC75=1,0,VLOOKUP($AC$1,'TTL NORMAL'!$A$2:$B$46,2,0)*(J75+L75)*AC75)+IF(AD75=1,0,VLOOKUP($AD$1,'TTL NORMAL'!$A$2:$B$46,2,0)*(J75+L75)*AD75)+IF(AE75=1,0,VLOOKUP($AE$1,'TTL NORMAL'!$A$2:$B$46,2,0)*(J75+L75)*AE75)+IF(AF75=1,0,VLOOKUP($AF$1,'TTL NORMAL'!$A$2:$B$46,2,0)*(J75+L75)*AF75)+IF(AG75=1,0,VLOOKUP($AG$1,'TTL NORMAL'!$A$2:$B$46,2,0)*(J75+L75)*AG75)+IF(AH75=1,0,VLOOKUP($AH$1,'TTL NORMAL'!$A$2:$B$46,2,0)*(J75+L75)*AH75)+IF(AI75=1,0,VLOOKUP($AI$1,'TTL NORMAL'!$A$2:$B$46,2,0)*(J75+L75)*AI75)+IF(AJ75=1,0,VLOOKUP($AJ$1,'TTL NORMAL'!$A$2:$B$46,2,0)*(J75+L75)*AJ75)+IF(AK75=1,0,VLOOKUP($AK$1,'TTL NORMAL'!$A$2:$B$46,2,0)*(J75+L75)*AK75)+IF(AL75=1,0,VLOOKUP($AL$1,'TTL NORMAL'!$A$2:$B$46,2,0)*(J75+L75)*AL75)+IF(AM75=1,0,VLOOKUP($AM$1,'TTL NORMAL'!$A$2:$B$46,2,0)*(J75+L75)*AM75)+IF(AN75=1,0,VLOOKUP($AN$1,'TTL NORMAL'!$A$2:$B$46,2,0)*(J75+L75)*AN75)+IF(AO75=1,0,VLOOKUP($AO$1,'TTL NORMAL'!$A$2:$B$46,2,0)*(J75+L75)*AO75)+IF(AP75=1,0,VLOOKUP($AP$1,'TTL NORMAL'!$A$2:$B$46,2,0)*(J75+L75)*AP75)+IF(AQ75=1,0,VLOOKUP($AQ$1,'TTL NORMAL'!$A$2:$B$46,2,0)*(J75+L75)*AQ75)+IF(AR75=1,0,VLOOKUP($AR$1,'TTL NORMAL'!$A$2:$B$46,2,0)*(J75+L75)*AR75)+IF(AS75=1,0,VLOOKUP($AS$1,'TTL NORMAL'!$A$2:$B$46,2,0)*(J75+L75)*AS75)+IF(AT75=1,0,VLOOKUP($AT$1,'TTL NORMAL'!$A$2:$B$46,2,0)*(J75+L75)*AT75)+IF(AU75=1,0,VLOOKUP($AU$1,'TTL NORMAL'!$A$2:$B$46,2,0)*(J75+L75)*AU75)+IF(AV75=1,0,VLOOKUP($AV$1,'TTL NORMAL'!$A$2:$B$46,2,0)*(J75+L75)*AV75)+IF(AW75=1,0,VLOOKUP($AW$1,'TTL NORMAL'!$A$2:$B$46,2,0)*(J75+L75)*AW75)+IF(AX75=1,0,VLOOKUP($AX$1,'TTL NORMAL'!$A$2:$B$46,2,0)*(J75+L75)*AX75)+IF(AY75=1,0,VLOOKUP($AY$1,'TTL NORMAL'!$A$2:$B$46,2,0)*(J75+L75)*AY75)+IF(AZ75=1,0,VLOOKUP($AZ$1,'TTL NORMAL'!$A$2:$B$46,2,0)*(J75+L75)*AZ75)+IF(BA75=1,0,VLOOKUP($BA$1,'TTL NORMAL'!$A$2:$B$46,2,0)*(J75+L75)*BA75)+IF(BB75=1,0,VLOOKUP($BB$1,'TTL NORMAL'!$A$2:$B$46,2,0)*(J75+L75)*BB75)+IF(BC75=1,0,VLOOKUP($BC$1,'TTL NORMAL'!$A$2:$B$46,2,0)*(J75+L75)*BC75)+IF(BD75=1,0,VLOOKUP($BD$1,'TTL NORMAL'!$A$2:$B$46,2,0)*(J75+L75)*BD75)+IF(BE75=1,0,VLOOKUP($BE$1,'TTL NORMAL'!$A$2:$B$46,2,0)*(J75+L75)*BE75)+IF(BF75=1,0,VLOOKUP($BF$1,'TTL NORMAL'!$A$2:$B$46,2,0)*(J75+L75)*BF75)+IF(BG75=1,0,VLOOKUP($BG$1,'TTL NORMAL'!$A$2:$B$46,2,0)*(J75+L75)*BG75)+IF(BH75=1,0,VLOOKUP($BH$1,'TTL NORMAL'!$A$2:$B$46,2,0)*(J75+L75)*BH75)</f>
        <v>2075282.7176242</v>
      </c>
      <c r="O75" s="5" t="n">
        <v>6722000</v>
      </c>
      <c r="P75" s="18" t="n">
        <v>1</v>
      </c>
      <c r="Q75" s="17" t="n">
        <v>1</v>
      </c>
      <c r="R75" s="17" t="n">
        <v>1</v>
      </c>
      <c r="S75" s="17" t="n">
        <v>1</v>
      </c>
      <c r="T75" s="17" t="n">
        <v>1.47122786171116</v>
      </c>
      <c r="U75" s="17" t="n">
        <v>1.47122786171116</v>
      </c>
      <c r="V75" s="17" t="n">
        <v>1</v>
      </c>
      <c r="W75" s="17" t="n">
        <v>1.47122786171116</v>
      </c>
      <c r="X75" s="17" t="n">
        <v>1</v>
      </c>
      <c r="Y75" s="17" t="n">
        <v>1</v>
      </c>
      <c r="Z75" s="17" t="n">
        <v>1</v>
      </c>
      <c r="AA75" s="17" t="n">
        <v>1</v>
      </c>
      <c r="AB75" s="17" t="n">
        <v>1</v>
      </c>
      <c r="AC75" s="17" t="n">
        <v>1.47122786171116</v>
      </c>
      <c r="AD75" s="17" t="n">
        <v>1</v>
      </c>
      <c r="AE75" s="17" t="n">
        <v>1.47122786171116</v>
      </c>
      <c r="AF75" s="17" t="n">
        <v>1.94245572342233</v>
      </c>
      <c r="AG75" s="17" t="n">
        <v>1.47122786171116</v>
      </c>
      <c r="AH75" s="17" t="n">
        <v>1</v>
      </c>
      <c r="AI75" s="17" t="n">
        <v>1.47122786171116</v>
      </c>
      <c r="AJ75" s="17" t="n">
        <v>1.47122786171116</v>
      </c>
      <c r="AK75" s="17" t="n">
        <v>1.94245572342233</v>
      </c>
      <c r="AL75" s="17" t="n">
        <v>1</v>
      </c>
      <c r="AM75" s="17" t="n">
        <v>1.47122786171116</v>
      </c>
      <c r="AN75" s="17" t="n">
        <v>1.47122786171116</v>
      </c>
      <c r="AO75" s="17" t="n">
        <v>1.47122786171116</v>
      </c>
      <c r="AP75" s="17" t="n">
        <v>1.94245572342233</v>
      </c>
      <c r="AQ75" s="17" t="n">
        <v>1.94245572342233</v>
      </c>
      <c r="AR75" s="17" t="n">
        <v>1.94245572342233</v>
      </c>
      <c r="AS75" s="17" t="n">
        <v>1.94245572342233</v>
      </c>
      <c r="AT75" s="17" t="n">
        <v>1.94245572342233</v>
      </c>
      <c r="AU75" s="17" t="n">
        <v>1</v>
      </c>
      <c r="AV75" s="17" t="n">
        <v>1</v>
      </c>
      <c r="AW75" s="17" t="n">
        <v>1</v>
      </c>
      <c r="AX75" s="17" t="n">
        <v>1</v>
      </c>
      <c r="AY75" s="17" t="n">
        <v>1</v>
      </c>
      <c r="AZ75" s="17" t="n">
        <v>1</v>
      </c>
      <c r="BA75" s="17" t="n">
        <v>1</v>
      </c>
      <c r="BB75" s="17" t="n">
        <v>1</v>
      </c>
      <c r="BC75" s="17" t="n">
        <v>1</v>
      </c>
      <c r="BD75" s="17" t="n">
        <v>1</v>
      </c>
      <c r="BE75" s="20" t="n">
        <v>1.47122786171116</v>
      </c>
      <c r="BF75" s="17" t="n">
        <v>1</v>
      </c>
      <c r="BG75" s="17" t="n">
        <v>1</v>
      </c>
      <c r="BH75" s="17" t="n">
        <v>1.47122786171116</v>
      </c>
      <c r="BI75" s="17"/>
      <c r="BJ75" s="18"/>
    </row>
    <row r="76" customFormat="false" ht="15" hidden="false" customHeight="false" outlineLevel="0" collapsed="false">
      <c r="A76" s="2" t="n">
        <v>29</v>
      </c>
      <c r="B76" s="0" t="s">
        <v>80</v>
      </c>
      <c r="C76" s="0" t="n">
        <v>3</v>
      </c>
      <c r="D76" s="0" t="s">
        <v>117</v>
      </c>
      <c r="E76" s="0" t="str">
        <f aca="false">CONCATENATE("Als onderdeel van het programma 'Netwerk op zijn Best' omvat dit groot onderhoudsproject op de ",B76," een rijbaanverbreding van 3 naar 4 rijstroken op het knooppunt tussen de ",B76," en de M5.")</f>
        <v>Als onderdeel van het programma 'Netwerk op zijn Best' omvat dit groot onderhoudsproject op de B15-B een rijbaanverbreding van 3 naar 4 rijstroken op het knooppunt tussen de B15-B en de M5.</v>
      </c>
      <c r="F76" s="13" t="s">
        <v>118</v>
      </c>
      <c r="G76" s="1" t="s">
        <v>122</v>
      </c>
      <c r="H76" s="1" t="n">
        <v>3800</v>
      </c>
      <c r="I76" s="14" t="n">
        <v>4618350</v>
      </c>
      <c r="J76" s="1" t="n">
        <v>13</v>
      </c>
      <c r="K76" s="15" t="n">
        <f aca="false">1/3</f>
        <v>0.333333333333333</v>
      </c>
      <c r="L76" s="1" t="n">
        <v>0</v>
      </c>
      <c r="M76" s="10" t="n">
        <f aca="false">O76-I76</f>
        <v>2103650</v>
      </c>
      <c r="N76" s="10" t="n">
        <f aca="false">IF(P76=1,0,VLOOKUP($P$1,'TTL NORMAL'!$A$2:$B$46,2,0)*(J76+L76)*P76)+IF(Q76=1,0,VLOOKUP($Q$1,'TTL NORMAL'!$A$2:$B$46,2,0)*(J76+L76)*Q76)+IF(R76=1,0,VLOOKUP($R$1,'TTL NORMAL'!$A$2:$B$46,2,0)*(J76+L76)*R76)+IF(S76=1,0,VLOOKUP($S$1,'TTL NORMAL'!$A$2:$B$46,2,0)*(J76+L76)*S76)+IF(T76=1,0,VLOOKUP($T$1,'TTL NORMAL'!$A$2:$B$46,2,0)*(J76+L76)*T76)+IF(U76=1,0,VLOOKUP($U$1,'TTL NORMAL'!$A$2:$B$46,2,0)*(J76+L76)*U76)+IF(V76=1,0,VLOOKUP($V$1,'TTL NORMAL'!$A$2:$B$46,2,0)*(J76+L76)*V76)+IF(W76=1,0,VLOOKUP($W$1,'TTL NORMAL'!$A$2:$B$46,2,0)*(J76+L76)*W76)+IF(X76=1,0,VLOOKUP($X$1,'TTL NORMAL'!$A$2:$B$46,2,0)*(J76+L76)*X76)+IF(Y76=1,0,VLOOKUP($Y$1,'TTL NORMAL'!$A$2:$B$46,2,0)*(J76+L76)*Y76)+IF(Z76=1,0,VLOOKUP($Z$1,'TTL NORMAL'!$A$2:$B$46,2,0)*(J76+L76)*Z76)+IF(AA76=1,0,VLOOKUP($AA$1,'TTL NORMAL'!$A$2:$B$46,2,0)*(J76+L76)*AA76)+IF(AB76=1,0,VLOOKUP($AB$1,'TTL NORMAL'!$A$2:$B$46,2,0)*(J76+L76)*AB76)+IF(AC76=1,0,VLOOKUP($AC$1,'TTL NORMAL'!$A$2:$B$46,2,0)*(J76+L76)*AC76)+IF(AD76=1,0,VLOOKUP($AD$1,'TTL NORMAL'!$A$2:$B$46,2,0)*(J76+L76)*AD76)+IF(AE76=1,0,VLOOKUP($AE$1,'TTL NORMAL'!$A$2:$B$46,2,0)*(J76+L76)*AE76)+IF(AF76=1,0,VLOOKUP($AF$1,'TTL NORMAL'!$A$2:$B$46,2,0)*(J76+L76)*AF76)+IF(AG76=1,0,VLOOKUP($AG$1,'TTL NORMAL'!$A$2:$B$46,2,0)*(J76+L76)*AG76)+IF(AH76=1,0,VLOOKUP($AH$1,'TTL NORMAL'!$A$2:$B$46,2,0)*(J76+L76)*AH76)+IF(AI76=1,0,VLOOKUP($AI$1,'TTL NORMAL'!$A$2:$B$46,2,0)*(J76+L76)*AI76)+IF(AJ76=1,0,VLOOKUP($AJ$1,'TTL NORMAL'!$A$2:$B$46,2,0)*(J76+L76)*AJ76)+IF(AK76=1,0,VLOOKUP($AK$1,'TTL NORMAL'!$A$2:$B$46,2,0)*(J76+L76)*AK76)+IF(AL76=1,0,VLOOKUP($AL$1,'TTL NORMAL'!$A$2:$B$46,2,0)*(J76+L76)*AL76)+IF(AM76=1,0,VLOOKUP($AM$1,'TTL NORMAL'!$A$2:$B$46,2,0)*(J76+L76)*AM76)+IF(AN76=1,0,VLOOKUP($AN$1,'TTL NORMAL'!$A$2:$B$46,2,0)*(J76+L76)*AN76)+IF(AO76=1,0,VLOOKUP($AO$1,'TTL NORMAL'!$A$2:$B$46,2,0)*(J76+L76)*AO76)+IF(AP76=1,0,VLOOKUP($AP$1,'TTL NORMAL'!$A$2:$B$46,2,0)*(J76+L76)*AP76)+IF(AQ76=1,0,VLOOKUP($AQ$1,'TTL NORMAL'!$A$2:$B$46,2,0)*(J76+L76)*AQ76)+IF(AR76=1,0,VLOOKUP($AR$1,'TTL NORMAL'!$A$2:$B$46,2,0)*(J76+L76)*AR76)+IF(AS76=1,0,VLOOKUP($AS$1,'TTL NORMAL'!$A$2:$B$46,2,0)*(J76+L76)*AS76)+IF(AT76=1,0,VLOOKUP($AT$1,'TTL NORMAL'!$A$2:$B$46,2,0)*(J76+L76)*AT76)+IF(AU76=1,0,VLOOKUP($AU$1,'TTL NORMAL'!$A$2:$B$46,2,0)*(J76+L76)*AU76)+IF(AV76=1,0,VLOOKUP($AV$1,'TTL NORMAL'!$A$2:$B$46,2,0)*(J76+L76)*AV76)+IF(AW76=1,0,VLOOKUP($AW$1,'TTL NORMAL'!$A$2:$B$46,2,0)*(J76+L76)*AW76)+IF(AX76=1,0,VLOOKUP($AX$1,'TTL NORMAL'!$A$2:$B$46,2,0)*(J76+L76)*AX76)+IF(AY76=1,0,VLOOKUP($AY$1,'TTL NORMAL'!$A$2:$B$46,2,0)*(J76+L76)*AY76)+IF(AZ76=1,0,VLOOKUP($AZ$1,'TTL NORMAL'!$A$2:$B$46,2,0)*(J76+L76)*AZ76)+IF(BA76=1,0,VLOOKUP($BA$1,'TTL NORMAL'!$A$2:$B$46,2,0)*(J76+L76)*BA76)+IF(BB76=1,0,VLOOKUP($BB$1,'TTL NORMAL'!$A$2:$B$46,2,0)*(J76+L76)*BB76)+IF(BC76=1,0,VLOOKUP($BC$1,'TTL NORMAL'!$A$2:$B$46,2,0)*(J76+L76)*BC76)+IF(BD76=1,0,VLOOKUP($BD$1,'TTL NORMAL'!$A$2:$B$46,2,0)*(J76+L76)*BD76)+IF(BE76=1,0,VLOOKUP($BE$1,'TTL NORMAL'!$A$2:$B$46,2,0)*(J76+L76)*BE76)+IF(BF76=1,0,VLOOKUP($BF$1,'TTL NORMAL'!$A$2:$B$46,2,0)*(J76+L76)*BF76)+IF(BG76=1,0,VLOOKUP($BG$1,'TTL NORMAL'!$A$2:$B$46,2,0)*(J76+L76)*BG76)+IF(BH76=1,0,VLOOKUP($BH$1,'TTL NORMAL'!$A$2:$B$46,2,0)*(J76+L76)*BH76)</f>
        <v>1473902.894345</v>
      </c>
      <c r="O76" s="10" t="n">
        <v>6722000</v>
      </c>
      <c r="P76" s="18" t="n">
        <v>1</v>
      </c>
      <c r="Q76" s="17" t="n">
        <v>1</v>
      </c>
      <c r="R76" s="17" t="n">
        <v>1</v>
      </c>
      <c r="S76" s="17" t="n">
        <v>1</v>
      </c>
      <c r="T76" s="17" t="n">
        <v>1.3926898847593</v>
      </c>
      <c r="U76" s="17" t="n">
        <v>1.3926898847593</v>
      </c>
      <c r="V76" s="17" t="n">
        <v>1</v>
      </c>
      <c r="W76" s="17" t="n">
        <v>1.3926898847593</v>
      </c>
      <c r="X76" s="17" t="n">
        <v>1</v>
      </c>
      <c r="Y76" s="17" t="n">
        <v>1</v>
      </c>
      <c r="Z76" s="17" t="n">
        <v>1</v>
      </c>
      <c r="AA76" s="17" t="n">
        <v>1</v>
      </c>
      <c r="AB76" s="17" t="n">
        <v>1</v>
      </c>
      <c r="AC76" s="17" t="n">
        <v>1.3926898847593</v>
      </c>
      <c r="AD76" s="17" t="n">
        <v>1</v>
      </c>
      <c r="AE76" s="17" t="n">
        <v>1.3926898847593</v>
      </c>
      <c r="AF76" s="17" t="n">
        <v>1.78537976951861</v>
      </c>
      <c r="AG76" s="17" t="n">
        <v>1.3926898847593</v>
      </c>
      <c r="AH76" s="17" t="n">
        <v>1</v>
      </c>
      <c r="AI76" s="17" t="n">
        <v>1.3926898847593</v>
      </c>
      <c r="AJ76" s="17" t="n">
        <v>1.3926898847593</v>
      </c>
      <c r="AK76" s="17" t="n">
        <v>1.78537976951861</v>
      </c>
      <c r="AL76" s="17" t="n">
        <v>1</v>
      </c>
      <c r="AM76" s="17" t="n">
        <v>1.3926898847593</v>
      </c>
      <c r="AN76" s="17" t="n">
        <v>1.3926898847593</v>
      </c>
      <c r="AO76" s="17" t="n">
        <v>1.3926898847593</v>
      </c>
      <c r="AP76" s="17" t="n">
        <v>1.78537976951861</v>
      </c>
      <c r="AQ76" s="17" t="n">
        <v>1.78537976951861</v>
      </c>
      <c r="AR76" s="17" t="n">
        <v>1.78537976951861</v>
      </c>
      <c r="AS76" s="17" t="n">
        <v>1.3926898847593</v>
      </c>
      <c r="AT76" s="17" t="n">
        <v>1.78537976951861</v>
      </c>
      <c r="AU76" s="17" t="n">
        <v>1</v>
      </c>
      <c r="AV76" s="17" t="n">
        <v>1</v>
      </c>
      <c r="AW76" s="17" t="n">
        <v>1</v>
      </c>
      <c r="AX76" s="17" t="n">
        <v>1</v>
      </c>
      <c r="AY76" s="17" t="n">
        <v>1</v>
      </c>
      <c r="AZ76" s="17" t="n">
        <v>1</v>
      </c>
      <c r="BA76" s="17" t="n">
        <v>1</v>
      </c>
      <c r="BB76" s="17" t="n">
        <v>1</v>
      </c>
      <c r="BC76" s="17" t="n">
        <v>1</v>
      </c>
      <c r="BD76" s="17" t="n">
        <v>1</v>
      </c>
      <c r="BE76" s="20" t="n">
        <v>1.3926898847593</v>
      </c>
      <c r="BF76" s="17" t="n">
        <v>1</v>
      </c>
      <c r="BG76" s="17" t="n">
        <v>1</v>
      </c>
      <c r="BH76" s="17" t="n">
        <v>1.3926898847593</v>
      </c>
      <c r="BI76" s="17"/>
      <c r="BJ76" s="18"/>
    </row>
    <row r="77" customFormat="false" ht="15" hidden="false" customHeight="false" outlineLevel="0" collapsed="false">
      <c r="A77" s="2" t="n">
        <v>29</v>
      </c>
      <c r="B77" s="0" t="s">
        <v>80</v>
      </c>
      <c r="C77" s="0" t="n">
        <v>4</v>
      </c>
      <c r="D77" s="0" t="s">
        <v>119</v>
      </c>
      <c r="E77" s="0" t="str">
        <f aca="false">CONCATENATE("Als onderdeel van het programma 'Netwerk op zijn Best' omvat dit groot onderhoudsproject op de ",B77," een rijbaanverbreding van 3 naar 4 rijstroken op het knooppunt tussen de ",B77," en de M5.")</f>
        <v>Als onderdeel van het programma 'Netwerk op zijn Best' omvat dit groot onderhoudsproject op de B15-B een rijbaanverbreding van 3 naar 4 rijstroken op het knooppunt tussen de B15-B en de M5.</v>
      </c>
      <c r="F77" s="13" t="s">
        <v>120</v>
      </c>
      <c r="G77" s="1" t="s">
        <v>122</v>
      </c>
      <c r="H77" s="1" t="n">
        <v>4560</v>
      </c>
      <c r="I77" s="14" t="n">
        <v>4198500</v>
      </c>
      <c r="J77" s="1" t="n">
        <v>9.1</v>
      </c>
      <c r="K77" s="15" t="n">
        <f aca="false">1/3</f>
        <v>0.333333333333333</v>
      </c>
      <c r="L77" s="1" t="n">
        <v>2</v>
      </c>
      <c r="M77" s="10" t="n">
        <f aca="false">O77-I77</f>
        <v>2523500</v>
      </c>
      <c r="N77" s="10" t="n">
        <f aca="false">IF(P77=1,0,VLOOKUP($P$1,'TTL NORMAL'!$A$2:$B$46,2,0)*(J77+L77)*P77)+IF(Q77=1,0,VLOOKUP($Q$1,'TTL NORMAL'!$A$2:$B$46,2,0)*(J77+L77)*Q77)+IF(R77=1,0,VLOOKUP($R$1,'TTL NORMAL'!$A$2:$B$46,2,0)*(J77+L77)*R77)+IF(S77=1,0,VLOOKUP($S$1,'TTL NORMAL'!$A$2:$B$46,2,0)*(J77+L77)*S77)+IF(T77=1,0,VLOOKUP($T$1,'TTL NORMAL'!$A$2:$B$46,2,0)*(J77+L77)*T77)+IF(U77=1,0,VLOOKUP($U$1,'TTL NORMAL'!$A$2:$B$46,2,0)*(J77+L77)*U77)+IF(V77=1,0,VLOOKUP($V$1,'TTL NORMAL'!$A$2:$B$46,2,0)*(J77+L77)*V77)+IF(W77=1,0,VLOOKUP($W$1,'TTL NORMAL'!$A$2:$B$46,2,0)*(J77+L77)*W77)+IF(X77=1,0,VLOOKUP($X$1,'TTL NORMAL'!$A$2:$B$46,2,0)*(J77+L77)*X77)+IF(Y77=1,0,VLOOKUP($Y$1,'TTL NORMAL'!$A$2:$B$46,2,0)*(J77+L77)*Y77)+IF(Z77=1,0,VLOOKUP($Z$1,'TTL NORMAL'!$A$2:$B$46,2,0)*(J77+L77)*Z77)+IF(AA77=1,0,VLOOKUP($AA$1,'TTL NORMAL'!$A$2:$B$46,2,0)*(J77+L77)*AA77)+IF(AB77=1,0,VLOOKUP($AB$1,'TTL NORMAL'!$A$2:$B$46,2,0)*(J77+L77)*AB77)+IF(AC77=1,0,VLOOKUP($AC$1,'TTL NORMAL'!$A$2:$B$46,2,0)*(J77+L77)*AC77)+IF(AD77=1,0,VLOOKUP($AD$1,'TTL NORMAL'!$A$2:$B$46,2,0)*(J77+L77)*AD77)+IF(AE77=1,0,VLOOKUP($AE$1,'TTL NORMAL'!$A$2:$B$46,2,0)*(J77+L77)*AE77)+IF(AF77=1,0,VLOOKUP($AF$1,'TTL NORMAL'!$A$2:$B$46,2,0)*(J77+L77)*AF77)+IF(AG77=1,0,VLOOKUP($AG$1,'TTL NORMAL'!$A$2:$B$46,2,0)*(J77+L77)*AG77)+IF(AH77=1,0,VLOOKUP($AH$1,'TTL NORMAL'!$A$2:$B$46,2,0)*(J77+L77)*AH77)+IF(AI77=1,0,VLOOKUP($AI$1,'TTL NORMAL'!$A$2:$B$46,2,0)*(J77+L77)*AI77)+IF(AJ77=1,0,VLOOKUP($AJ$1,'TTL NORMAL'!$A$2:$B$46,2,0)*(J77+L77)*AJ77)+IF(AK77=1,0,VLOOKUP($AK$1,'TTL NORMAL'!$A$2:$B$46,2,0)*(J77+L77)*AK77)+IF(AL77=1,0,VLOOKUP($AL$1,'TTL NORMAL'!$A$2:$B$46,2,0)*(J77+L77)*AL77)+IF(AM77=1,0,VLOOKUP($AM$1,'TTL NORMAL'!$A$2:$B$46,2,0)*(J77+L77)*AM77)+IF(AN77=1,0,VLOOKUP($AN$1,'TTL NORMAL'!$A$2:$B$46,2,0)*(J77+L77)*AN77)+IF(AO77=1,0,VLOOKUP($AO$1,'TTL NORMAL'!$A$2:$B$46,2,0)*(J77+L77)*AO77)+IF(AP77=1,0,VLOOKUP($AP$1,'TTL NORMAL'!$A$2:$B$46,2,0)*(J77+L77)*AP77)+IF(AQ77=1,0,VLOOKUP($AQ$1,'TTL NORMAL'!$A$2:$B$46,2,0)*(J77+L77)*AQ77)+IF(AR77=1,0,VLOOKUP($AR$1,'TTL NORMAL'!$A$2:$B$46,2,0)*(J77+L77)*AR77)+IF(AS77=1,0,VLOOKUP($AS$1,'TTL NORMAL'!$A$2:$B$46,2,0)*(J77+L77)*AS77)+IF(AT77=1,0,VLOOKUP($AT$1,'TTL NORMAL'!$A$2:$B$46,2,0)*(J77+L77)*AT77)+IF(AU77=1,0,VLOOKUP($AU$1,'TTL NORMAL'!$A$2:$B$46,2,0)*(J77+L77)*AU77)+IF(AV77=1,0,VLOOKUP($AV$1,'TTL NORMAL'!$A$2:$B$46,2,0)*(J77+L77)*AV77)+IF(AW77=1,0,VLOOKUP($AW$1,'TTL NORMAL'!$A$2:$B$46,2,0)*(J77+L77)*AW77)+IF(AX77=1,0,VLOOKUP($AX$1,'TTL NORMAL'!$A$2:$B$46,2,0)*(J77+L77)*AX77)+IF(AY77=1,0,VLOOKUP($AY$1,'TTL NORMAL'!$A$2:$B$46,2,0)*(J77+L77)*AY77)+IF(AZ77=1,0,VLOOKUP($AZ$1,'TTL NORMAL'!$A$2:$B$46,2,0)*(J77+L77)*AZ77)+IF(BA77=1,0,VLOOKUP($BA$1,'TTL NORMAL'!$A$2:$B$46,2,0)*(J77+L77)*BA77)+IF(BB77=1,0,VLOOKUP($BB$1,'TTL NORMAL'!$A$2:$B$46,2,0)*(J77+L77)*BB77)+IF(BC77=1,0,VLOOKUP($BC$1,'TTL NORMAL'!$A$2:$B$46,2,0)*(J77+L77)*BC77)+IF(BD77=1,0,VLOOKUP($BD$1,'TTL NORMAL'!$A$2:$B$46,2,0)*(J77+L77)*BD77)+IF(BE77=1,0,VLOOKUP($BE$1,'TTL NORMAL'!$A$2:$B$46,2,0)*(J77+L77)*BE77)+IF(BF77=1,0,VLOOKUP($BF$1,'TTL NORMAL'!$A$2:$B$46,2,0)*(J77+L77)*BF77)+IF(BG77=1,0,VLOOKUP($BG$1,'TTL NORMAL'!$A$2:$B$46,2,0)*(J77+L77)*BG77)+IF(BH77=1,0,VLOOKUP($BH$1,'TTL NORMAL'!$A$2:$B$46,2,0)*(J77+L77)*BH77)</f>
        <v>1355037.53915462</v>
      </c>
      <c r="O77" s="5" t="n">
        <v>6722000</v>
      </c>
      <c r="P77" s="18" t="n">
        <v>1</v>
      </c>
      <c r="Q77" s="17" t="n">
        <v>1</v>
      </c>
      <c r="R77" s="17" t="n">
        <v>1</v>
      </c>
      <c r="S77" s="17" t="n">
        <v>1</v>
      </c>
      <c r="T77" s="17" t="n">
        <v>1.47122786171116</v>
      </c>
      <c r="U77" s="17" t="n">
        <v>1.47122786171116</v>
      </c>
      <c r="V77" s="17" t="n">
        <v>1</v>
      </c>
      <c r="W77" s="17" t="n">
        <v>1.47122786171116</v>
      </c>
      <c r="X77" s="17" t="n">
        <v>1</v>
      </c>
      <c r="Y77" s="17" t="n">
        <v>1</v>
      </c>
      <c r="Z77" s="17" t="n">
        <v>1</v>
      </c>
      <c r="AA77" s="17" t="n">
        <v>1</v>
      </c>
      <c r="AB77" s="17" t="n">
        <v>1</v>
      </c>
      <c r="AC77" s="17" t="n">
        <v>1.47122786171116</v>
      </c>
      <c r="AD77" s="17" t="n">
        <v>1</v>
      </c>
      <c r="AE77" s="17" t="n">
        <v>1.47122786171116</v>
      </c>
      <c r="AF77" s="17" t="n">
        <v>1.94245572342233</v>
      </c>
      <c r="AG77" s="17" t="n">
        <v>1.47122786171116</v>
      </c>
      <c r="AH77" s="17" t="n">
        <v>1</v>
      </c>
      <c r="AI77" s="17" t="n">
        <v>1.47122786171116</v>
      </c>
      <c r="AJ77" s="17" t="n">
        <v>1.47122786171116</v>
      </c>
      <c r="AK77" s="17" t="n">
        <v>1.94245572342233</v>
      </c>
      <c r="AL77" s="17" t="n">
        <v>1</v>
      </c>
      <c r="AM77" s="17" t="n">
        <v>1.47122786171116</v>
      </c>
      <c r="AN77" s="17" t="n">
        <v>1.47122786171116</v>
      </c>
      <c r="AO77" s="17" t="n">
        <v>1.47122786171116</v>
      </c>
      <c r="AP77" s="17" t="n">
        <v>1.94245572342233</v>
      </c>
      <c r="AQ77" s="17" t="n">
        <v>1.94245572342233</v>
      </c>
      <c r="AR77" s="17" t="n">
        <v>1.94245572342233</v>
      </c>
      <c r="AS77" s="17" t="n">
        <v>1.94245572342233</v>
      </c>
      <c r="AT77" s="17" t="n">
        <v>1.94245572342233</v>
      </c>
      <c r="AU77" s="17" t="n">
        <v>1</v>
      </c>
      <c r="AV77" s="17" t="n">
        <v>1</v>
      </c>
      <c r="AW77" s="17" t="n">
        <v>1</v>
      </c>
      <c r="AX77" s="17" t="n">
        <v>1</v>
      </c>
      <c r="AY77" s="17" t="n">
        <v>1</v>
      </c>
      <c r="AZ77" s="17" t="n">
        <v>1</v>
      </c>
      <c r="BA77" s="17" t="n">
        <v>1</v>
      </c>
      <c r="BB77" s="17" t="n">
        <v>1</v>
      </c>
      <c r="BC77" s="17" t="n">
        <v>1</v>
      </c>
      <c r="BD77" s="17" t="n">
        <v>1</v>
      </c>
      <c r="BE77" s="20" t="n">
        <v>1.47122786171116</v>
      </c>
      <c r="BF77" s="17" t="n">
        <v>1</v>
      </c>
      <c r="BG77" s="17" t="n">
        <v>1</v>
      </c>
      <c r="BH77" s="17" t="n">
        <v>1.47122786171116</v>
      </c>
      <c r="BI77" s="17"/>
      <c r="BJ77" s="18"/>
    </row>
    <row r="78" customFormat="false" ht="15" hidden="false" customHeight="false" outlineLevel="0" collapsed="false">
      <c r="A78" s="2" t="n">
        <v>30</v>
      </c>
      <c r="B78" s="9" t="s">
        <v>81</v>
      </c>
      <c r="C78" s="0" t="n">
        <v>1</v>
      </c>
      <c r="D78" s="0" t="s">
        <v>112</v>
      </c>
      <c r="E78" s="0" t="str">
        <f aca="false">CONCATENATE("Als onderdeel van het programma 'Netwerk op zijn Best' omvat dit groot onderhoudsproject op de ",B78," een grootschalige vernieuwing van het asfalt.")</f>
        <v>Als onderdeel van het programma 'Netwerk op zijn Best' omvat dit groot onderhoudsproject op de B15-C een grootschalige vernieuwing van het asfalt.</v>
      </c>
      <c r="F78" s="13" t="s">
        <v>113</v>
      </c>
      <c r="G78" s="1" t="s">
        <v>121</v>
      </c>
      <c r="H78" s="1" t="n">
        <v>1120</v>
      </c>
      <c r="I78" s="14" t="n">
        <v>1848000</v>
      </c>
      <c r="J78" s="1" t="n">
        <v>5.5</v>
      </c>
      <c r="K78" s="15" t="n">
        <f aca="false">1/3</f>
        <v>0.333333333333333</v>
      </c>
      <c r="L78" s="1" t="n">
        <v>1</v>
      </c>
      <c r="M78" s="10" t="n">
        <f aca="false">O78-I78</f>
        <v>840000</v>
      </c>
      <c r="N78" s="10" t="n">
        <f aca="false">IF(P78=1,0,VLOOKUP($P$1,'TTL NORMAL'!$A$2:$B$46,2,0)*(J78+L78)*P78)+IF(Q78=1,0,VLOOKUP($Q$1,'TTL NORMAL'!$A$2:$B$46,2,0)*(J78+L78)*Q78)+IF(R78=1,0,VLOOKUP($R$1,'TTL NORMAL'!$A$2:$B$46,2,0)*(J78+L78)*R78)+IF(S78=1,0,VLOOKUP($S$1,'TTL NORMAL'!$A$2:$B$46,2,0)*(J78+L78)*S78)+IF(T78=1,0,VLOOKUP($T$1,'TTL NORMAL'!$A$2:$B$46,2,0)*(J78+L78)*T78)+IF(U78=1,0,VLOOKUP($U$1,'TTL NORMAL'!$A$2:$B$46,2,0)*(J78+L78)*U78)+IF(V78=1,0,VLOOKUP($V$1,'TTL NORMAL'!$A$2:$B$46,2,0)*(J78+L78)*V78)+IF(W78=1,0,VLOOKUP($W$1,'TTL NORMAL'!$A$2:$B$46,2,0)*(J78+L78)*W78)+IF(X78=1,0,VLOOKUP($X$1,'TTL NORMAL'!$A$2:$B$46,2,0)*(J78+L78)*X78)+IF(Y78=1,0,VLOOKUP($Y$1,'TTL NORMAL'!$A$2:$B$46,2,0)*(J78+L78)*Y78)+IF(Z78=1,0,VLOOKUP($Z$1,'TTL NORMAL'!$A$2:$B$46,2,0)*(J78+L78)*Z78)+IF(AA78=1,0,VLOOKUP($AA$1,'TTL NORMAL'!$A$2:$B$46,2,0)*(J78+L78)*AA78)+IF(AB78=1,0,VLOOKUP($AB$1,'TTL NORMAL'!$A$2:$B$46,2,0)*(J78+L78)*AB78)+IF(AC78=1,0,VLOOKUP($AC$1,'TTL NORMAL'!$A$2:$B$46,2,0)*(J78+L78)*AC78)+IF(AD78=1,0,VLOOKUP($AD$1,'TTL NORMAL'!$A$2:$B$46,2,0)*(J78+L78)*AD78)+IF(AE78=1,0,VLOOKUP($AE$1,'TTL NORMAL'!$A$2:$B$46,2,0)*(J78+L78)*AE78)+IF(AF78=1,0,VLOOKUP($AF$1,'TTL NORMAL'!$A$2:$B$46,2,0)*(J78+L78)*AF78)+IF(AG78=1,0,VLOOKUP($AG$1,'TTL NORMAL'!$A$2:$B$46,2,0)*(J78+L78)*AG78)+IF(AH78=1,0,VLOOKUP($AH$1,'TTL NORMAL'!$A$2:$B$46,2,0)*(J78+L78)*AH78)+IF(AI78=1,0,VLOOKUP($AI$1,'TTL NORMAL'!$A$2:$B$46,2,0)*(J78+L78)*AI78)+IF(AJ78=1,0,VLOOKUP($AJ$1,'TTL NORMAL'!$A$2:$B$46,2,0)*(J78+L78)*AJ78)+IF(AK78=1,0,VLOOKUP($AK$1,'TTL NORMAL'!$A$2:$B$46,2,0)*(J78+L78)*AK78)+IF(AL78=1,0,VLOOKUP($AL$1,'TTL NORMAL'!$A$2:$B$46,2,0)*(J78+L78)*AL78)+IF(AM78=1,0,VLOOKUP($AM$1,'TTL NORMAL'!$A$2:$B$46,2,0)*(J78+L78)*AM78)+IF(AN78=1,0,VLOOKUP($AN$1,'TTL NORMAL'!$A$2:$B$46,2,0)*(J78+L78)*AN78)+IF(AO78=1,0,VLOOKUP($AO$1,'TTL NORMAL'!$A$2:$B$46,2,0)*(J78+L78)*AO78)+IF(AP78=1,0,VLOOKUP($AP$1,'TTL NORMAL'!$A$2:$B$46,2,0)*(J78+L78)*AP78)+IF(AQ78=1,0,VLOOKUP($AQ$1,'TTL NORMAL'!$A$2:$B$46,2,0)*(J78+L78)*AQ78)+IF(AR78=1,0,VLOOKUP($AR$1,'TTL NORMAL'!$A$2:$B$46,2,0)*(J78+L78)*AR78)+IF(AS78=1,0,VLOOKUP($AS$1,'TTL NORMAL'!$A$2:$B$46,2,0)*(J78+L78)*AS78)+IF(AT78=1,0,VLOOKUP($AT$1,'TTL NORMAL'!$A$2:$B$46,2,0)*(J78+L78)*AT78)+IF(AU78=1,0,VLOOKUP($AU$1,'TTL NORMAL'!$A$2:$B$46,2,0)*(J78+L78)*AU78)+IF(AV78=1,0,VLOOKUP($AV$1,'TTL NORMAL'!$A$2:$B$46,2,0)*(J78+L78)*AV78)+IF(AW78=1,0,VLOOKUP($AW$1,'TTL NORMAL'!$A$2:$B$46,2,0)*(J78+L78)*AW78)+IF(AX78=1,0,VLOOKUP($AX$1,'TTL NORMAL'!$A$2:$B$46,2,0)*(J78+L78)*AX78)+IF(AY78=1,0,VLOOKUP($AY$1,'TTL NORMAL'!$A$2:$B$46,2,0)*(J78+L78)*AY78)+IF(AZ78=1,0,VLOOKUP($AZ$1,'TTL NORMAL'!$A$2:$B$46,2,0)*(J78+L78)*AZ78)+IF(BA78=1,0,VLOOKUP($BA$1,'TTL NORMAL'!$A$2:$B$46,2,0)*(J78+L78)*BA78)+IF(BB78=1,0,VLOOKUP($BB$1,'TTL NORMAL'!$A$2:$B$46,2,0)*(J78+L78)*BB78)+IF(BC78=1,0,VLOOKUP($BC$1,'TTL NORMAL'!$A$2:$B$46,2,0)*(J78+L78)*BC78)+IF(BD78=1,0,VLOOKUP($BD$1,'TTL NORMAL'!$A$2:$B$46,2,0)*(J78+L78)*BD78)+IF(BE78=1,0,VLOOKUP($BE$1,'TTL NORMAL'!$A$2:$B$46,2,0)*(J78+L78)*BE78)+IF(BF78=1,0,VLOOKUP($BF$1,'TTL NORMAL'!$A$2:$B$46,2,0)*(J78+L78)*BF78)+IF(BG78=1,0,VLOOKUP($BG$1,'TTL NORMAL'!$A$2:$B$46,2,0)*(J78+L78)*BG78)+IF(BH78=1,0,VLOOKUP($BH$1,'TTL NORMAL'!$A$2:$B$46,2,0)*(J78+L78)*BH78)</f>
        <v>575239.167678557</v>
      </c>
      <c r="O78" s="5" t="n">
        <v>2688000</v>
      </c>
      <c r="P78" s="18" t="n">
        <v>1</v>
      </c>
      <c r="Q78" s="17" t="n">
        <v>1</v>
      </c>
      <c r="R78" s="17" t="n">
        <v>1</v>
      </c>
      <c r="S78" s="17" t="n">
        <v>1</v>
      </c>
      <c r="T78" s="17" t="n">
        <v>1</v>
      </c>
      <c r="U78" s="17" t="n">
        <v>1</v>
      </c>
      <c r="V78" s="17" t="n">
        <v>1.20998335457443</v>
      </c>
      <c r="W78" s="17" t="n">
        <v>1.41996670914887</v>
      </c>
      <c r="X78" s="17" t="n">
        <v>1</v>
      </c>
      <c r="Y78" s="17" t="n">
        <v>1</v>
      </c>
      <c r="Z78" s="17" t="n">
        <v>1</v>
      </c>
      <c r="AA78" s="17" t="n">
        <v>1</v>
      </c>
      <c r="AB78" s="17" t="n">
        <v>1</v>
      </c>
      <c r="AC78" s="17" t="n">
        <v>1</v>
      </c>
      <c r="AD78" s="17" t="n">
        <v>1</v>
      </c>
      <c r="AE78" s="17" t="n">
        <v>1.20998335457443</v>
      </c>
      <c r="AF78" s="17" t="n">
        <v>1.41996670914887</v>
      </c>
      <c r="AG78" s="17" t="n">
        <v>1.20998335457443</v>
      </c>
      <c r="AH78" s="17" t="n">
        <v>1</v>
      </c>
      <c r="AI78" s="17" t="n">
        <v>1.20998335457443</v>
      </c>
      <c r="AJ78" s="17" t="n">
        <v>1.20998335457443</v>
      </c>
      <c r="AK78" s="17" t="n">
        <v>1.41996670914887</v>
      </c>
      <c r="AL78" s="17" t="n">
        <v>1</v>
      </c>
      <c r="AM78" s="17" t="n">
        <v>1</v>
      </c>
      <c r="AN78" s="17" t="n">
        <v>1</v>
      </c>
      <c r="AO78" s="17" t="n">
        <v>1</v>
      </c>
      <c r="AP78" s="17" t="n">
        <v>1.20998335457443</v>
      </c>
      <c r="AQ78" s="17" t="n">
        <v>1.20998335457443</v>
      </c>
      <c r="AR78" s="17" t="n">
        <v>1.20998335457443</v>
      </c>
      <c r="AS78" s="17" t="n">
        <v>1.41996670914887</v>
      </c>
      <c r="AT78" s="17" t="n">
        <v>1</v>
      </c>
      <c r="AU78" s="17" t="n">
        <v>1.20998335457443</v>
      </c>
      <c r="AV78" s="17" t="n">
        <v>1</v>
      </c>
      <c r="AW78" s="17" t="n">
        <v>1</v>
      </c>
      <c r="AX78" s="17" t="n">
        <v>1</v>
      </c>
      <c r="AY78" s="17" t="n">
        <v>1</v>
      </c>
      <c r="AZ78" s="17" t="n">
        <v>1</v>
      </c>
      <c r="BA78" s="17" t="n">
        <v>1</v>
      </c>
      <c r="BB78" s="17" t="n">
        <v>1</v>
      </c>
      <c r="BC78" s="17" t="n">
        <v>1</v>
      </c>
      <c r="BD78" s="17" t="n">
        <v>1.20998335457443</v>
      </c>
      <c r="BE78" s="20" t="n">
        <v>1.20998335457443</v>
      </c>
      <c r="BF78" s="17" t="n">
        <v>1</v>
      </c>
      <c r="BG78" s="17" t="n">
        <v>1</v>
      </c>
      <c r="BH78" s="17" t="n">
        <v>1</v>
      </c>
      <c r="BI78" s="17"/>
      <c r="BJ78" s="18"/>
    </row>
    <row r="79" customFormat="false" ht="15" hidden="false" customHeight="false" outlineLevel="0" collapsed="false">
      <c r="A79" s="2" t="n">
        <v>30</v>
      </c>
      <c r="B79" s="9" t="s">
        <v>81</v>
      </c>
      <c r="C79" s="0" t="n">
        <v>2</v>
      </c>
      <c r="D79" s="0" t="s">
        <v>115</v>
      </c>
      <c r="E79" s="0" t="str">
        <f aca="false">CONCATENATE("Als onderdeel van het programma 'Netwerk op zijn Best' omvat dit groot onderhoudsproject op de ",B79," een grootschalige vernieuwing van het asfalt.")</f>
        <v>Als onderdeel van het programma 'Netwerk op zijn Best' omvat dit groot onderhoudsproject op de B15-C een grootschalige vernieuwing van het asfalt.</v>
      </c>
      <c r="F79" s="13" t="s">
        <v>116</v>
      </c>
      <c r="G79" s="1" t="s">
        <v>121</v>
      </c>
      <c r="H79" s="1" t="n">
        <v>1680</v>
      </c>
      <c r="I79" s="14" t="n">
        <v>1176000</v>
      </c>
      <c r="J79" s="1" t="n">
        <v>5</v>
      </c>
      <c r="K79" s="15" t="n">
        <f aca="false">1/3</f>
        <v>0.333333333333333</v>
      </c>
      <c r="L79" s="1" t="n">
        <v>2</v>
      </c>
      <c r="M79" s="10" t="n">
        <f aca="false">O79-I79</f>
        <v>1512000</v>
      </c>
      <c r="N79" s="10" t="n">
        <f aca="false">IF(P79=1,0,VLOOKUP($P$1,'TTL NORMAL'!$A$2:$B$46,2,0)*(J79+L79)*P79)+IF(Q79=1,0,VLOOKUP($Q$1,'TTL NORMAL'!$A$2:$B$46,2,0)*(J79+L79)*Q79)+IF(R79=1,0,VLOOKUP($R$1,'TTL NORMAL'!$A$2:$B$46,2,0)*(J79+L79)*R79)+IF(S79=1,0,VLOOKUP($S$1,'TTL NORMAL'!$A$2:$B$46,2,0)*(J79+L79)*S79)+IF(T79=1,0,VLOOKUP($T$1,'TTL NORMAL'!$A$2:$B$46,2,0)*(J79+L79)*T79)+IF(U79=1,0,VLOOKUP($U$1,'TTL NORMAL'!$A$2:$B$46,2,0)*(J79+L79)*U79)+IF(V79=1,0,VLOOKUP($V$1,'TTL NORMAL'!$A$2:$B$46,2,0)*(J79+L79)*V79)+IF(W79=1,0,VLOOKUP($W$1,'TTL NORMAL'!$A$2:$B$46,2,0)*(J79+L79)*W79)+IF(X79=1,0,VLOOKUP($X$1,'TTL NORMAL'!$A$2:$B$46,2,0)*(J79+L79)*X79)+IF(Y79=1,0,VLOOKUP($Y$1,'TTL NORMAL'!$A$2:$B$46,2,0)*(J79+L79)*Y79)+IF(Z79=1,0,VLOOKUP($Z$1,'TTL NORMAL'!$A$2:$B$46,2,0)*(J79+L79)*Z79)+IF(AA79=1,0,VLOOKUP($AA$1,'TTL NORMAL'!$A$2:$B$46,2,0)*(J79+L79)*AA79)+IF(AB79=1,0,VLOOKUP($AB$1,'TTL NORMAL'!$A$2:$B$46,2,0)*(J79+L79)*AB79)+IF(AC79=1,0,VLOOKUP($AC$1,'TTL NORMAL'!$A$2:$B$46,2,0)*(J79+L79)*AC79)+IF(AD79=1,0,VLOOKUP($AD$1,'TTL NORMAL'!$A$2:$B$46,2,0)*(J79+L79)*AD79)+IF(AE79=1,0,VLOOKUP($AE$1,'TTL NORMAL'!$A$2:$B$46,2,0)*(J79+L79)*AE79)+IF(AF79=1,0,VLOOKUP($AF$1,'TTL NORMAL'!$A$2:$B$46,2,0)*(J79+L79)*AF79)+IF(AG79=1,0,VLOOKUP($AG$1,'TTL NORMAL'!$A$2:$B$46,2,0)*(J79+L79)*AG79)+IF(AH79=1,0,VLOOKUP($AH$1,'TTL NORMAL'!$A$2:$B$46,2,0)*(J79+L79)*AH79)+IF(AI79=1,0,VLOOKUP($AI$1,'TTL NORMAL'!$A$2:$B$46,2,0)*(J79+L79)*AI79)+IF(AJ79=1,0,VLOOKUP($AJ$1,'TTL NORMAL'!$A$2:$B$46,2,0)*(J79+L79)*AJ79)+IF(AK79=1,0,VLOOKUP($AK$1,'TTL NORMAL'!$A$2:$B$46,2,0)*(J79+L79)*AK79)+IF(AL79=1,0,VLOOKUP($AL$1,'TTL NORMAL'!$A$2:$B$46,2,0)*(J79+L79)*AL79)+IF(AM79=1,0,VLOOKUP($AM$1,'TTL NORMAL'!$A$2:$B$46,2,0)*(J79+L79)*AM79)+IF(AN79=1,0,VLOOKUP($AN$1,'TTL NORMAL'!$A$2:$B$46,2,0)*(J79+L79)*AN79)+IF(AO79=1,0,VLOOKUP($AO$1,'TTL NORMAL'!$A$2:$B$46,2,0)*(J79+L79)*AO79)+IF(AP79=1,0,VLOOKUP($AP$1,'TTL NORMAL'!$A$2:$B$46,2,0)*(J79+L79)*AP79)+IF(AQ79=1,0,VLOOKUP($AQ$1,'TTL NORMAL'!$A$2:$B$46,2,0)*(J79+L79)*AQ79)+IF(AR79=1,0,VLOOKUP($AR$1,'TTL NORMAL'!$A$2:$B$46,2,0)*(J79+L79)*AR79)+IF(AS79=1,0,VLOOKUP($AS$1,'TTL NORMAL'!$A$2:$B$46,2,0)*(J79+L79)*AS79)+IF(AT79=1,0,VLOOKUP($AT$1,'TTL NORMAL'!$A$2:$B$46,2,0)*(J79+L79)*AT79)+IF(AU79=1,0,VLOOKUP($AU$1,'TTL NORMAL'!$A$2:$B$46,2,0)*(J79+L79)*AU79)+IF(AV79=1,0,VLOOKUP($AV$1,'TTL NORMAL'!$A$2:$B$46,2,0)*(J79+L79)*AV79)+IF(AW79=1,0,VLOOKUP($AW$1,'TTL NORMAL'!$A$2:$B$46,2,0)*(J79+L79)*AW79)+IF(AX79=1,0,VLOOKUP($AX$1,'TTL NORMAL'!$A$2:$B$46,2,0)*(J79+L79)*AX79)+IF(AY79=1,0,VLOOKUP($AY$1,'TTL NORMAL'!$A$2:$B$46,2,0)*(J79+L79)*AY79)+IF(AZ79=1,0,VLOOKUP($AZ$1,'TTL NORMAL'!$A$2:$B$46,2,0)*(J79+L79)*AZ79)+IF(BA79=1,0,VLOOKUP($BA$1,'TTL NORMAL'!$A$2:$B$46,2,0)*(J79+L79)*BA79)+IF(BB79=1,0,VLOOKUP($BB$1,'TTL NORMAL'!$A$2:$B$46,2,0)*(J79+L79)*BB79)+IF(BC79=1,0,VLOOKUP($BC$1,'TTL NORMAL'!$A$2:$B$46,2,0)*(J79+L79)*BC79)+IF(BD79=1,0,VLOOKUP($BD$1,'TTL NORMAL'!$A$2:$B$46,2,0)*(J79+L79)*BD79)+IF(BE79=1,0,VLOOKUP($BE$1,'TTL NORMAL'!$A$2:$B$46,2,0)*(J79+L79)*BE79)+IF(BF79=1,0,VLOOKUP($BF$1,'TTL NORMAL'!$A$2:$B$46,2,0)*(J79+L79)*BF79)+IF(BG79=1,0,VLOOKUP($BG$1,'TTL NORMAL'!$A$2:$B$46,2,0)*(J79+L79)*BG79)+IF(BH79=1,0,VLOOKUP($BH$1,'TTL NORMAL'!$A$2:$B$46,2,0)*(J79+L79)*BH79)</f>
        <v>691156.571889826</v>
      </c>
      <c r="O79" s="5" t="n">
        <v>2688000</v>
      </c>
      <c r="P79" s="18" t="n">
        <v>1</v>
      </c>
      <c r="Q79" s="17" t="n">
        <v>1</v>
      </c>
      <c r="R79" s="17" t="n">
        <v>1</v>
      </c>
      <c r="S79" s="17" t="n">
        <v>1</v>
      </c>
      <c r="T79" s="17" t="n">
        <v>1</v>
      </c>
      <c r="U79" s="17" t="n">
        <v>1</v>
      </c>
      <c r="V79" s="17" t="n">
        <v>1.31497503186165</v>
      </c>
      <c r="W79" s="17" t="n">
        <v>1.6299500637233</v>
      </c>
      <c r="X79" s="17" t="n">
        <v>1</v>
      </c>
      <c r="Y79" s="17" t="n">
        <v>1</v>
      </c>
      <c r="Z79" s="17" t="n">
        <v>1</v>
      </c>
      <c r="AA79" s="17" t="n">
        <v>1</v>
      </c>
      <c r="AB79" s="17" t="n">
        <v>1</v>
      </c>
      <c r="AC79" s="17" t="n">
        <v>1</v>
      </c>
      <c r="AD79" s="17" t="n">
        <v>1</v>
      </c>
      <c r="AE79" s="17" t="n">
        <v>1.31497503186165</v>
      </c>
      <c r="AF79" s="17" t="n">
        <v>1.6299500637233</v>
      </c>
      <c r="AG79" s="17" t="n">
        <v>1.31497503186165</v>
      </c>
      <c r="AH79" s="17" t="n">
        <v>1</v>
      </c>
      <c r="AI79" s="17" t="n">
        <v>1.31497503186165</v>
      </c>
      <c r="AJ79" s="17" t="n">
        <v>1.31497503186165</v>
      </c>
      <c r="AK79" s="17" t="n">
        <v>1.6299500637233</v>
      </c>
      <c r="AL79" s="17" t="n">
        <v>1</v>
      </c>
      <c r="AM79" s="17" t="n">
        <v>1</v>
      </c>
      <c r="AN79" s="17" t="n">
        <v>1</v>
      </c>
      <c r="AO79" s="17" t="n">
        <v>1</v>
      </c>
      <c r="AP79" s="17" t="n">
        <v>1.31497503186165</v>
      </c>
      <c r="AQ79" s="17" t="n">
        <v>1.31497503186165</v>
      </c>
      <c r="AR79" s="17" t="n">
        <v>1.31497503186165</v>
      </c>
      <c r="AS79" s="17" t="n">
        <v>1.6299500637233</v>
      </c>
      <c r="AT79" s="17" t="n">
        <v>1.6299500637233</v>
      </c>
      <c r="AU79" s="17" t="n">
        <v>1.31497503186165</v>
      </c>
      <c r="AV79" s="17" t="n">
        <v>1</v>
      </c>
      <c r="AW79" s="17" t="n">
        <v>1</v>
      </c>
      <c r="AX79" s="17" t="n">
        <v>1</v>
      </c>
      <c r="AY79" s="17" t="n">
        <v>1</v>
      </c>
      <c r="AZ79" s="17" t="n">
        <v>1</v>
      </c>
      <c r="BA79" s="17" t="n">
        <v>1</v>
      </c>
      <c r="BB79" s="17" t="n">
        <v>1</v>
      </c>
      <c r="BC79" s="17" t="n">
        <v>1</v>
      </c>
      <c r="BD79" s="17" t="n">
        <v>1.31497503186165</v>
      </c>
      <c r="BE79" s="20" t="n">
        <v>1.31497503186165</v>
      </c>
      <c r="BF79" s="17" t="n">
        <v>1</v>
      </c>
      <c r="BG79" s="17" t="n">
        <v>1</v>
      </c>
      <c r="BH79" s="17" t="n">
        <v>1</v>
      </c>
      <c r="BI79" s="17"/>
      <c r="BJ79" s="18"/>
    </row>
    <row r="80" customFormat="false" ht="15" hidden="false" customHeight="false" outlineLevel="0" collapsed="false">
      <c r="A80" s="2" t="n">
        <v>30</v>
      </c>
      <c r="B80" s="9" t="s">
        <v>81</v>
      </c>
      <c r="C80" s="0" t="n">
        <v>3</v>
      </c>
      <c r="D80" s="0" t="s">
        <v>117</v>
      </c>
      <c r="E80" s="0" t="str">
        <f aca="false">CONCATENATE("Als onderdeel van het programma 'Netwerk op zijn Best' omvat dit groot onderhoudsproject op de ",B80," een grootschalige vernieuwing van het asfalt.")</f>
        <v>Als onderdeel van het programma 'Netwerk op zijn Best' omvat dit groot onderhoudsproject op de B15-C een grootschalige vernieuwing van het asfalt.</v>
      </c>
      <c r="F80" s="13" t="s">
        <v>118</v>
      </c>
      <c r="G80" s="1" t="s">
        <v>121</v>
      </c>
      <c r="H80" s="1" t="n">
        <v>1400</v>
      </c>
      <c r="I80" s="14" t="n">
        <v>1848000</v>
      </c>
      <c r="J80" s="1" t="n">
        <v>5</v>
      </c>
      <c r="K80" s="15" t="n">
        <f aca="false">1/3</f>
        <v>0.333333333333333</v>
      </c>
      <c r="L80" s="1" t="n">
        <v>0</v>
      </c>
      <c r="M80" s="10" t="n">
        <f aca="false">O80-I80</f>
        <v>840000</v>
      </c>
      <c r="N80" s="10" t="n">
        <f aca="false">IF(P80=1,0,VLOOKUP($P$1,'TTL NORMAL'!$A$2:$B$46,2,0)*(J80+L80)*P80)+IF(Q80=1,0,VLOOKUP($Q$1,'TTL NORMAL'!$A$2:$B$46,2,0)*(J80+L80)*Q80)+IF(R80=1,0,VLOOKUP($R$1,'TTL NORMAL'!$A$2:$B$46,2,0)*(J80+L80)*R80)+IF(S80=1,0,VLOOKUP($S$1,'TTL NORMAL'!$A$2:$B$46,2,0)*(J80+L80)*S80)+IF(T80=1,0,VLOOKUP($T$1,'TTL NORMAL'!$A$2:$B$46,2,0)*(J80+L80)*T80)+IF(U80=1,0,VLOOKUP($U$1,'TTL NORMAL'!$A$2:$B$46,2,0)*(J80+L80)*U80)+IF(V80=1,0,VLOOKUP($V$1,'TTL NORMAL'!$A$2:$B$46,2,0)*(J80+L80)*V80)+IF(W80=1,0,VLOOKUP($W$1,'TTL NORMAL'!$A$2:$B$46,2,0)*(J80+L80)*W80)+IF(X80=1,0,VLOOKUP($X$1,'TTL NORMAL'!$A$2:$B$46,2,0)*(J80+L80)*X80)+IF(Y80=1,0,VLOOKUP($Y$1,'TTL NORMAL'!$A$2:$B$46,2,0)*(J80+L80)*Y80)+IF(Z80=1,0,VLOOKUP($Z$1,'TTL NORMAL'!$A$2:$B$46,2,0)*(J80+L80)*Z80)+IF(AA80=1,0,VLOOKUP($AA$1,'TTL NORMAL'!$A$2:$B$46,2,0)*(J80+L80)*AA80)+IF(AB80=1,0,VLOOKUP($AB$1,'TTL NORMAL'!$A$2:$B$46,2,0)*(J80+L80)*AB80)+IF(AC80=1,0,VLOOKUP($AC$1,'TTL NORMAL'!$A$2:$B$46,2,0)*(J80+L80)*AC80)+IF(AD80=1,0,VLOOKUP($AD$1,'TTL NORMAL'!$A$2:$B$46,2,0)*(J80+L80)*AD80)+IF(AE80=1,0,VLOOKUP($AE$1,'TTL NORMAL'!$A$2:$B$46,2,0)*(J80+L80)*AE80)+IF(AF80=1,0,VLOOKUP($AF$1,'TTL NORMAL'!$A$2:$B$46,2,0)*(J80+L80)*AF80)+IF(AG80=1,0,VLOOKUP($AG$1,'TTL NORMAL'!$A$2:$B$46,2,0)*(J80+L80)*AG80)+IF(AH80=1,0,VLOOKUP($AH$1,'TTL NORMAL'!$A$2:$B$46,2,0)*(J80+L80)*AH80)+IF(AI80=1,0,VLOOKUP($AI$1,'TTL NORMAL'!$A$2:$B$46,2,0)*(J80+L80)*AI80)+IF(AJ80=1,0,VLOOKUP($AJ$1,'TTL NORMAL'!$A$2:$B$46,2,0)*(J80+L80)*AJ80)+IF(AK80=1,0,VLOOKUP($AK$1,'TTL NORMAL'!$A$2:$B$46,2,0)*(J80+L80)*AK80)+IF(AL80=1,0,VLOOKUP($AL$1,'TTL NORMAL'!$A$2:$B$46,2,0)*(J80+L80)*AL80)+IF(AM80=1,0,VLOOKUP($AM$1,'TTL NORMAL'!$A$2:$B$46,2,0)*(J80+L80)*AM80)+IF(AN80=1,0,VLOOKUP($AN$1,'TTL NORMAL'!$A$2:$B$46,2,0)*(J80+L80)*AN80)+IF(AO80=1,0,VLOOKUP($AO$1,'TTL NORMAL'!$A$2:$B$46,2,0)*(J80+L80)*AO80)+IF(AP80=1,0,VLOOKUP($AP$1,'TTL NORMAL'!$A$2:$B$46,2,0)*(J80+L80)*AP80)+IF(AQ80=1,0,VLOOKUP($AQ$1,'TTL NORMAL'!$A$2:$B$46,2,0)*(J80+L80)*AQ80)+IF(AR80=1,0,VLOOKUP($AR$1,'TTL NORMAL'!$A$2:$B$46,2,0)*(J80+L80)*AR80)+IF(AS80=1,0,VLOOKUP($AS$1,'TTL NORMAL'!$A$2:$B$46,2,0)*(J80+L80)*AS80)+IF(AT80=1,0,VLOOKUP($AT$1,'TTL NORMAL'!$A$2:$B$46,2,0)*(J80+L80)*AT80)+IF(AU80=1,0,VLOOKUP($AU$1,'TTL NORMAL'!$A$2:$B$46,2,0)*(J80+L80)*AU80)+IF(AV80=1,0,VLOOKUP($AV$1,'TTL NORMAL'!$A$2:$B$46,2,0)*(J80+L80)*AV80)+IF(AW80=1,0,VLOOKUP($AW$1,'TTL NORMAL'!$A$2:$B$46,2,0)*(J80+L80)*AW80)+IF(AX80=1,0,VLOOKUP($AX$1,'TTL NORMAL'!$A$2:$B$46,2,0)*(J80+L80)*AX80)+IF(AY80=1,0,VLOOKUP($AY$1,'TTL NORMAL'!$A$2:$B$46,2,0)*(J80+L80)*AY80)+IF(AZ80=1,0,VLOOKUP($AZ$1,'TTL NORMAL'!$A$2:$B$46,2,0)*(J80+L80)*AZ80)+IF(BA80=1,0,VLOOKUP($BA$1,'TTL NORMAL'!$A$2:$B$46,2,0)*(J80+L80)*BA80)+IF(BB80=1,0,VLOOKUP($BB$1,'TTL NORMAL'!$A$2:$B$46,2,0)*(J80+L80)*BB80)+IF(BC80=1,0,VLOOKUP($BC$1,'TTL NORMAL'!$A$2:$B$46,2,0)*(J80+L80)*BC80)+IF(BD80=1,0,VLOOKUP($BD$1,'TTL NORMAL'!$A$2:$B$46,2,0)*(J80+L80)*BD80)+IF(BE80=1,0,VLOOKUP($BE$1,'TTL NORMAL'!$A$2:$B$46,2,0)*(J80+L80)*BE80)+IF(BF80=1,0,VLOOKUP($BF$1,'TTL NORMAL'!$A$2:$B$46,2,0)*(J80+L80)*BF80)+IF(BG80=1,0,VLOOKUP($BG$1,'TTL NORMAL'!$A$2:$B$46,2,0)*(J80+L80)*BG80)+IF(BH80=1,0,VLOOKUP($BH$1,'TTL NORMAL'!$A$2:$B$46,2,0)*(J80+L80)*BH80)</f>
        <v>470112.431813152</v>
      </c>
      <c r="O80" s="5" t="n">
        <v>2688000</v>
      </c>
      <c r="P80" s="18" t="n">
        <v>1</v>
      </c>
      <c r="Q80" s="17" t="n">
        <v>1</v>
      </c>
      <c r="R80" s="17" t="n">
        <v>1</v>
      </c>
      <c r="S80" s="17" t="n">
        <v>1</v>
      </c>
      <c r="T80" s="17" t="n">
        <v>1</v>
      </c>
      <c r="U80" s="17" t="n">
        <v>1</v>
      </c>
      <c r="V80" s="17" t="n">
        <v>1.26247919321804</v>
      </c>
      <c r="W80" s="17" t="n">
        <v>1.52495838643608</v>
      </c>
      <c r="X80" s="17" t="n">
        <v>1</v>
      </c>
      <c r="Y80" s="17" t="n">
        <v>1</v>
      </c>
      <c r="Z80" s="17" t="n">
        <v>1</v>
      </c>
      <c r="AA80" s="17" t="n">
        <v>1</v>
      </c>
      <c r="AB80" s="17" t="n">
        <v>1</v>
      </c>
      <c r="AC80" s="17" t="n">
        <v>1</v>
      </c>
      <c r="AD80" s="17" t="n">
        <v>1</v>
      </c>
      <c r="AE80" s="17" t="n">
        <v>1.26247919321804</v>
      </c>
      <c r="AF80" s="17" t="n">
        <v>1.52495838643608</v>
      </c>
      <c r="AG80" s="17" t="n">
        <v>1.26247919321804</v>
      </c>
      <c r="AH80" s="17" t="n">
        <v>1</v>
      </c>
      <c r="AI80" s="17" t="n">
        <v>1.26247919321804</v>
      </c>
      <c r="AJ80" s="17" t="n">
        <v>1.26247919321804</v>
      </c>
      <c r="AK80" s="17" t="n">
        <v>1.52495838643608</v>
      </c>
      <c r="AL80" s="17" t="n">
        <v>1</v>
      </c>
      <c r="AM80" s="17" t="n">
        <v>1</v>
      </c>
      <c r="AN80" s="17" t="n">
        <v>1</v>
      </c>
      <c r="AO80" s="17" t="n">
        <v>1</v>
      </c>
      <c r="AP80" s="17" t="n">
        <v>1.26247919321804</v>
      </c>
      <c r="AQ80" s="17" t="n">
        <v>1.26247919321804</v>
      </c>
      <c r="AR80" s="17" t="n">
        <v>1.26247919321804</v>
      </c>
      <c r="AS80" s="17" t="n">
        <v>1.52495838643608</v>
      </c>
      <c r="AT80" s="17" t="n">
        <v>1.26247919321804</v>
      </c>
      <c r="AU80" s="17" t="n">
        <v>1.26247919321804</v>
      </c>
      <c r="AV80" s="17" t="n">
        <v>1</v>
      </c>
      <c r="AW80" s="17" t="n">
        <v>1</v>
      </c>
      <c r="AX80" s="17" t="n">
        <v>1</v>
      </c>
      <c r="AY80" s="17" t="n">
        <v>1</v>
      </c>
      <c r="AZ80" s="17" t="n">
        <v>1</v>
      </c>
      <c r="BA80" s="17" t="n">
        <v>1</v>
      </c>
      <c r="BB80" s="17" t="n">
        <v>1</v>
      </c>
      <c r="BC80" s="17" t="n">
        <v>1</v>
      </c>
      <c r="BD80" s="17" t="n">
        <v>1.26247919321804</v>
      </c>
      <c r="BE80" s="20" t="n">
        <v>1.26247919321804</v>
      </c>
      <c r="BF80" s="17" t="n">
        <v>1</v>
      </c>
      <c r="BG80" s="17" t="n">
        <v>1</v>
      </c>
      <c r="BH80" s="17" t="n">
        <v>1</v>
      </c>
      <c r="BI80" s="17"/>
      <c r="BJ80" s="18"/>
    </row>
    <row r="81" customFormat="false" ht="15" hidden="false" customHeight="false" outlineLevel="0" collapsed="false">
      <c r="A81" s="2" t="n">
        <v>30</v>
      </c>
      <c r="B81" s="9" t="s">
        <v>81</v>
      </c>
      <c r="C81" s="0" t="n">
        <v>4</v>
      </c>
      <c r="D81" s="0" t="s">
        <v>119</v>
      </c>
      <c r="E81" s="0" t="str">
        <f aca="false">CONCATENATE("Als onderdeel van het programma 'Netwerk op zijn Best' omvat dit groot onderhoudsproject op de ",B81," een grootschalige vernieuwing van het asfalt.")</f>
        <v>Als onderdeel van het programma 'Netwerk op zijn Best' omvat dit groot onderhoudsproject op de B15-C een grootschalige vernieuwing van het asfalt.</v>
      </c>
      <c r="F81" s="13" t="s">
        <v>120</v>
      </c>
      <c r="G81" s="1" t="s">
        <v>121</v>
      </c>
      <c r="H81" s="1" t="n">
        <v>1680</v>
      </c>
      <c r="I81" s="14" t="n">
        <v>1680000</v>
      </c>
      <c r="J81" s="1" t="n">
        <v>3.5</v>
      </c>
      <c r="K81" s="15" t="n">
        <f aca="false">1/3</f>
        <v>0.333333333333333</v>
      </c>
      <c r="L81" s="1" t="n">
        <v>1</v>
      </c>
      <c r="M81" s="10" t="n">
        <f aca="false">O81-I81</f>
        <v>1008000</v>
      </c>
      <c r="N81" s="10" t="n">
        <f aca="false">IF(P81=1,0,VLOOKUP($P$1,'TTL NORMAL'!$A$2:$B$46,2,0)*(J81+L81)*P81)+IF(Q81=1,0,VLOOKUP($Q$1,'TTL NORMAL'!$A$2:$B$46,2,0)*(J81+L81)*Q81)+IF(R81=1,0,VLOOKUP($R$1,'TTL NORMAL'!$A$2:$B$46,2,0)*(J81+L81)*R81)+IF(S81=1,0,VLOOKUP($S$1,'TTL NORMAL'!$A$2:$B$46,2,0)*(J81+L81)*S81)+IF(T81=1,0,VLOOKUP($T$1,'TTL NORMAL'!$A$2:$B$46,2,0)*(J81+L81)*T81)+IF(U81=1,0,VLOOKUP($U$1,'TTL NORMAL'!$A$2:$B$46,2,0)*(J81+L81)*U81)+IF(V81=1,0,VLOOKUP($V$1,'TTL NORMAL'!$A$2:$B$46,2,0)*(J81+L81)*V81)+IF(W81=1,0,VLOOKUP($W$1,'TTL NORMAL'!$A$2:$B$46,2,0)*(J81+L81)*W81)+IF(X81=1,0,VLOOKUP($X$1,'TTL NORMAL'!$A$2:$B$46,2,0)*(J81+L81)*X81)+IF(Y81=1,0,VLOOKUP($Y$1,'TTL NORMAL'!$A$2:$B$46,2,0)*(J81+L81)*Y81)+IF(Z81=1,0,VLOOKUP($Z$1,'TTL NORMAL'!$A$2:$B$46,2,0)*(J81+L81)*Z81)+IF(AA81=1,0,VLOOKUP($AA$1,'TTL NORMAL'!$A$2:$B$46,2,0)*(J81+L81)*AA81)+IF(AB81=1,0,VLOOKUP($AB$1,'TTL NORMAL'!$A$2:$B$46,2,0)*(J81+L81)*AB81)+IF(AC81=1,0,VLOOKUP($AC$1,'TTL NORMAL'!$A$2:$B$46,2,0)*(J81+L81)*AC81)+IF(AD81=1,0,VLOOKUP($AD$1,'TTL NORMAL'!$A$2:$B$46,2,0)*(J81+L81)*AD81)+IF(AE81=1,0,VLOOKUP($AE$1,'TTL NORMAL'!$A$2:$B$46,2,0)*(J81+L81)*AE81)+IF(AF81=1,0,VLOOKUP($AF$1,'TTL NORMAL'!$A$2:$B$46,2,0)*(J81+L81)*AF81)+IF(AG81=1,0,VLOOKUP($AG$1,'TTL NORMAL'!$A$2:$B$46,2,0)*(J81+L81)*AG81)+IF(AH81=1,0,VLOOKUP($AH$1,'TTL NORMAL'!$A$2:$B$46,2,0)*(J81+L81)*AH81)+IF(AI81=1,0,VLOOKUP($AI$1,'TTL NORMAL'!$A$2:$B$46,2,0)*(J81+L81)*AI81)+IF(AJ81=1,0,VLOOKUP($AJ$1,'TTL NORMAL'!$A$2:$B$46,2,0)*(J81+L81)*AJ81)+IF(AK81=1,0,VLOOKUP($AK$1,'TTL NORMAL'!$A$2:$B$46,2,0)*(J81+L81)*AK81)+IF(AL81=1,0,VLOOKUP($AL$1,'TTL NORMAL'!$A$2:$B$46,2,0)*(J81+L81)*AL81)+IF(AM81=1,0,VLOOKUP($AM$1,'TTL NORMAL'!$A$2:$B$46,2,0)*(J81+L81)*AM81)+IF(AN81=1,0,VLOOKUP($AN$1,'TTL NORMAL'!$A$2:$B$46,2,0)*(J81+L81)*AN81)+IF(AO81=1,0,VLOOKUP($AO$1,'TTL NORMAL'!$A$2:$B$46,2,0)*(J81+L81)*AO81)+IF(AP81=1,0,VLOOKUP($AP$1,'TTL NORMAL'!$A$2:$B$46,2,0)*(J81+L81)*AP81)+IF(AQ81=1,0,VLOOKUP($AQ$1,'TTL NORMAL'!$A$2:$B$46,2,0)*(J81+L81)*AQ81)+IF(AR81=1,0,VLOOKUP($AR$1,'TTL NORMAL'!$A$2:$B$46,2,0)*(J81+L81)*AR81)+IF(AS81=1,0,VLOOKUP($AS$1,'TTL NORMAL'!$A$2:$B$46,2,0)*(J81+L81)*AS81)+IF(AT81=1,0,VLOOKUP($AT$1,'TTL NORMAL'!$A$2:$B$46,2,0)*(J81+L81)*AT81)+IF(AU81=1,0,VLOOKUP($AU$1,'TTL NORMAL'!$A$2:$B$46,2,0)*(J81+L81)*AU81)+IF(AV81=1,0,VLOOKUP($AV$1,'TTL NORMAL'!$A$2:$B$46,2,0)*(J81+L81)*AV81)+IF(AW81=1,0,VLOOKUP($AW$1,'TTL NORMAL'!$A$2:$B$46,2,0)*(J81+L81)*AW81)+IF(AX81=1,0,VLOOKUP($AX$1,'TTL NORMAL'!$A$2:$B$46,2,0)*(J81+L81)*AX81)+IF(AY81=1,0,VLOOKUP($AY$1,'TTL NORMAL'!$A$2:$B$46,2,0)*(J81+L81)*AY81)+IF(AZ81=1,0,VLOOKUP($AZ$1,'TTL NORMAL'!$A$2:$B$46,2,0)*(J81+L81)*AZ81)+IF(BA81=1,0,VLOOKUP($BA$1,'TTL NORMAL'!$A$2:$B$46,2,0)*(J81+L81)*BA81)+IF(BB81=1,0,VLOOKUP($BB$1,'TTL NORMAL'!$A$2:$B$46,2,0)*(J81+L81)*BB81)+IF(BC81=1,0,VLOOKUP($BC$1,'TTL NORMAL'!$A$2:$B$46,2,0)*(J81+L81)*BC81)+IF(BD81=1,0,VLOOKUP($BD$1,'TTL NORMAL'!$A$2:$B$46,2,0)*(J81+L81)*BD81)+IF(BE81=1,0,VLOOKUP($BE$1,'TTL NORMAL'!$A$2:$B$46,2,0)*(J81+L81)*BE81)+IF(BF81=1,0,VLOOKUP($BF$1,'TTL NORMAL'!$A$2:$B$46,2,0)*(J81+L81)*BF81)+IF(BG81=1,0,VLOOKUP($BG$1,'TTL NORMAL'!$A$2:$B$46,2,0)*(J81+L81)*BG81)+IF(BH81=1,0,VLOOKUP($BH$1,'TTL NORMAL'!$A$2:$B$46,2,0)*(J81+L81)*BH81)</f>
        <v>444314.939072031</v>
      </c>
      <c r="O81" s="5" t="n">
        <v>2688000</v>
      </c>
      <c r="P81" s="18" t="n">
        <v>1</v>
      </c>
      <c r="Q81" s="17" t="n">
        <v>1</v>
      </c>
      <c r="R81" s="17" t="n">
        <v>1</v>
      </c>
      <c r="S81" s="17" t="n">
        <v>1</v>
      </c>
      <c r="T81" s="17" t="n">
        <v>1</v>
      </c>
      <c r="U81" s="17" t="n">
        <v>1</v>
      </c>
      <c r="V81" s="17" t="n">
        <v>1.31497503186165</v>
      </c>
      <c r="W81" s="17" t="n">
        <v>1.6299500637233</v>
      </c>
      <c r="X81" s="17" t="n">
        <v>1</v>
      </c>
      <c r="Y81" s="17" t="n">
        <v>1</v>
      </c>
      <c r="Z81" s="17" t="n">
        <v>1</v>
      </c>
      <c r="AA81" s="17" t="n">
        <v>1</v>
      </c>
      <c r="AB81" s="17" t="n">
        <v>1</v>
      </c>
      <c r="AC81" s="17" t="n">
        <v>1</v>
      </c>
      <c r="AD81" s="17" t="n">
        <v>1</v>
      </c>
      <c r="AE81" s="17" t="n">
        <v>1.31497503186165</v>
      </c>
      <c r="AF81" s="17" t="n">
        <v>1.6299500637233</v>
      </c>
      <c r="AG81" s="17" t="n">
        <v>1.31497503186165</v>
      </c>
      <c r="AH81" s="17" t="n">
        <v>1</v>
      </c>
      <c r="AI81" s="17" t="n">
        <v>1.31497503186165</v>
      </c>
      <c r="AJ81" s="17" t="n">
        <v>1.31497503186165</v>
      </c>
      <c r="AK81" s="17" t="n">
        <v>1.6299500637233</v>
      </c>
      <c r="AL81" s="17" t="n">
        <v>1</v>
      </c>
      <c r="AM81" s="17" t="n">
        <v>1</v>
      </c>
      <c r="AN81" s="17" t="n">
        <v>1</v>
      </c>
      <c r="AO81" s="17" t="n">
        <v>1</v>
      </c>
      <c r="AP81" s="17" t="n">
        <v>1.31497503186165</v>
      </c>
      <c r="AQ81" s="17" t="n">
        <v>1.31497503186165</v>
      </c>
      <c r="AR81" s="17" t="n">
        <v>1.31497503186165</v>
      </c>
      <c r="AS81" s="17" t="n">
        <v>1.6299500637233</v>
      </c>
      <c r="AT81" s="17" t="n">
        <v>1.6299500637233</v>
      </c>
      <c r="AU81" s="17" t="n">
        <v>1.31497503186165</v>
      </c>
      <c r="AV81" s="17" t="n">
        <v>1</v>
      </c>
      <c r="AW81" s="17" t="n">
        <v>1</v>
      </c>
      <c r="AX81" s="17" t="n">
        <v>1</v>
      </c>
      <c r="AY81" s="17" t="n">
        <v>1</v>
      </c>
      <c r="AZ81" s="17" t="n">
        <v>1</v>
      </c>
      <c r="BA81" s="17" t="n">
        <v>1</v>
      </c>
      <c r="BB81" s="17" t="n">
        <v>1</v>
      </c>
      <c r="BC81" s="17" t="n">
        <v>1</v>
      </c>
      <c r="BD81" s="17" t="n">
        <v>1.31497503186165</v>
      </c>
      <c r="BE81" s="20" t="n">
        <v>1.31497503186165</v>
      </c>
      <c r="BF81" s="17" t="n">
        <v>1</v>
      </c>
      <c r="BG81" s="17" t="n">
        <v>1</v>
      </c>
      <c r="BH81" s="17" t="n">
        <v>1</v>
      </c>
      <c r="BI81" s="17"/>
      <c r="BJ81" s="18"/>
    </row>
    <row r="82" customFormat="false" ht="15" hidden="false" customHeight="false" outlineLevel="0" collapsed="false">
      <c r="M82" s="21"/>
      <c r="O82" s="6"/>
      <c r="P82" s="7"/>
      <c r="U82" s="7"/>
    </row>
    <row r="83" customFormat="false" ht="15" hidden="false" customHeight="false" outlineLevel="0" collapsed="false">
      <c r="M83" s="21"/>
      <c r="O83" s="6"/>
      <c r="P83" s="7"/>
      <c r="S83" s="8"/>
      <c r="U83" s="7"/>
      <c r="BD83" s="7" t="n">
        <f aca="false">SUM(BD2:BD81)</f>
        <v>82.8347752867549</v>
      </c>
      <c r="BE83" s="7" t="n">
        <f aca="false">SUM(BE2:BE81)</f>
        <v>101.764312240862</v>
      </c>
      <c r="BF83" s="7" t="n">
        <f aca="false">SUM(BF2:BF81)</f>
        <v>102.394262304585</v>
      </c>
      <c r="BG83" s="7" t="n">
        <f aca="false">SUM(BG2:BG81)</f>
        <v>101.764312240862</v>
      </c>
      <c r="BH83" s="7" t="n">
        <f aca="false">SUM(BH2:BH81)</f>
        <v>101.764312240862</v>
      </c>
    </row>
    <row r="84" customFormat="false" ht="15" hidden="false" customHeight="false" outlineLevel="0" collapsed="false">
      <c r="M84" s="21"/>
      <c r="O84" s="6"/>
      <c r="P84" s="7"/>
      <c r="S84" s="8"/>
      <c r="U84" s="7"/>
    </row>
    <row r="85" customFormat="false" ht="15" hidden="false" customHeight="false" outlineLevel="0" collapsed="false">
      <c r="M85" s="21"/>
      <c r="O85" s="6"/>
      <c r="P85" s="7"/>
      <c r="S85" s="8"/>
      <c r="U85" s="7"/>
    </row>
    <row r="86" customFormat="false" ht="15" hidden="false" customHeight="false" outlineLevel="0" collapsed="false">
      <c r="M86" s="21"/>
      <c r="O86" s="6"/>
      <c r="P86" s="7"/>
      <c r="S86" s="8"/>
      <c r="U86" s="7"/>
    </row>
    <row r="87" customFormat="false" ht="15" hidden="false" customHeight="false" outlineLevel="0" collapsed="false">
      <c r="M87" s="21"/>
      <c r="O87" s="6"/>
      <c r="P87" s="7"/>
      <c r="S87" s="8"/>
      <c r="U87" s="7"/>
    </row>
    <row r="88" customFormat="false" ht="15" hidden="false" customHeight="false" outlineLevel="0" collapsed="false">
      <c r="M88" s="21"/>
      <c r="O88" s="6"/>
      <c r="P88" s="7"/>
      <c r="S88" s="8"/>
      <c r="U88" s="7"/>
    </row>
    <row r="89" customFormat="false" ht="15" hidden="false" customHeight="false" outlineLevel="0" collapsed="false">
      <c r="M89" s="21"/>
      <c r="O89" s="6"/>
      <c r="P89" s="7"/>
      <c r="S89" s="8"/>
      <c r="U89" s="7"/>
    </row>
    <row r="90" customFormat="false" ht="15" hidden="false" customHeight="false" outlineLevel="0" collapsed="false">
      <c r="M90" s="21"/>
      <c r="O90" s="6"/>
      <c r="P90" s="7"/>
      <c r="S90" s="8"/>
      <c r="U90" s="7"/>
    </row>
    <row r="91" customFormat="false" ht="15" hidden="false" customHeight="false" outlineLevel="0" collapsed="false">
      <c r="M91" s="21"/>
      <c r="O91" s="6"/>
      <c r="P91" s="7"/>
      <c r="S91" s="8"/>
      <c r="U91" s="7"/>
    </row>
    <row r="92" customFormat="false" ht="15" hidden="false" customHeight="false" outlineLevel="0" collapsed="false">
      <c r="M92" s="21"/>
      <c r="O92" s="6"/>
      <c r="P92" s="7"/>
      <c r="S92" s="8"/>
      <c r="U92" s="7"/>
    </row>
    <row r="93" customFormat="false" ht="15" hidden="false" customHeight="false" outlineLevel="0" collapsed="false">
      <c r="M93" s="21"/>
      <c r="O93" s="6"/>
      <c r="P93" s="7"/>
      <c r="S93" s="8"/>
      <c r="U93" s="7"/>
    </row>
    <row r="94" customFormat="false" ht="15" hidden="false" customHeight="false" outlineLevel="0" collapsed="false">
      <c r="M94" s="21"/>
      <c r="O94" s="6"/>
      <c r="P94" s="7"/>
      <c r="S94" s="8"/>
      <c r="U94" s="7"/>
    </row>
    <row r="95" customFormat="false" ht="15" hidden="false" customHeight="false" outlineLevel="0" collapsed="false">
      <c r="M95" s="21"/>
      <c r="O95" s="6"/>
      <c r="P95" s="7"/>
      <c r="S95" s="8"/>
      <c r="U95" s="7"/>
    </row>
    <row r="96" customFormat="false" ht="15" hidden="false" customHeight="false" outlineLevel="0" collapsed="false">
      <c r="M96" s="21"/>
      <c r="O96" s="6"/>
      <c r="P96" s="7"/>
      <c r="S96" s="8"/>
      <c r="U96" s="7"/>
    </row>
    <row r="97" customFormat="false" ht="15" hidden="false" customHeight="false" outlineLevel="0" collapsed="false">
      <c r="M97" s="21"/>
      <c r="O97" s="6"/>
      <c r="P97" s="7"/>
      <c r="S97" s="8"/>
      <c r="U97" s="7"/>
    </row>
    <row r="98" customFormat="false" ht="15" hidden="false" customHeight="false" outlineLevel="0" collapsed="false">
      <c r="M98" s="21"/>
      <c r="O98" s="6"/>
      <c r="P98" s="7"/>
      <c r="S98" s="8"/>
      <c r="U98" s="7"/>
    </row>
    <row r="99" customFormat="false" ht="15" hidden="false" customHeight="false" outlineLevel="0" collapsed="false">
      <c r="M99" s="21"/>
      <c r="O99" s="6"/>
      <c r="P99" s="7"/>
      <c r="S99" s="8"/>
      <c r="U99" s="7"/>
    </row>
    <row r="100" customFormat="false" ht="15" hidden="false" customHeight="false" outlineLevel="0" collapsed="false">
      <c r="M100" s="21"/>
      <c r="O100" s="6"/>
      <c r="P100" s="7"/>
      <c r="S100" s="8"/>
      <c r="U100" s="7"/>
    </row>
    <row r="101" customFormat="false" ht="15" hidden="false" customHeight="false" outlineLevel="0" collapsed="false">
      <c r="M101" s="21"/>
      <c r="O101" s="6"/>
      <c r="P101" s="7"/>
      <c r="S101" s="8"/>
      <c r="U101" s="7"/>
    </row>
    <row r="102" customFormat="false" ht="15" hidden="false" customHeight="false" outlineLevel="0" collapsed="false">
      <c r="M102" s="21"/>
      <c r="O102" s="6"/>
      <c r="P102" s="7"/>
      <c r="S102" s="8"/>
      <c r="U102" s="7"/>
    </row>
    <row r="103" customFormat="false" ht="15" hidden="false" customHeight="false" outlineLevel="0" collapsed="false">
      <c r="M103" s="21"/>
      <c r="O103" s="6"/>
      <c r="P103" s="7"/>
      <c r="S103" s="8"/>
      <c r="U103" s="7"/>
    </row>
    <row r="104" customFormat="false" ht="15" hidden="false" customHeight="false" outlineLevel="0" collapsed="false">
      <c r="M104" s="21"/>
      <c r="O104" s="6"/>
      <c r="P104" s="7"/>
      <c r="S104" s="8"/>
      <c r="U104" s="7"/>
    </row>
    <row r="105" customFormat="false" ht="15" hidden="false" customHeight="false" outlineLevel="0" collapsed="false">
      <c r="M105" s="21"/>
      <c r="O105" s="6"/>
      <c r="P105" s="7"/>
      <c r="S105" s="8"/>
      <c r="U105" s="7"/>
    </row>
    <row r="106" customFormat="false" ht="15" hidden="false" customHeight="false" outlineLevel="0" collapsed="false">
      <c r="M106" s="21"/>
      <c r="O106" s="6"/>
      <c r="P106" s="7"/>
      <c r="S106" s="8"/>
      <c r="U106" s="7"/>
    </row>
    <row r="107" customFormat="false" ht="15" hidden="false" customHeight="false" outlineLevel="0" collapsed="false">
      <c r="M107" s="21"/>
      <c r="P107" s="7"/>
      <c r="T107" s="8"/>
      <c r="U107" s="7"/>
    </row>
    <row r="108" customFormat="false" ht="15" hidden="false" customHeight="false" outlineLevel="0" collapsed="false">
      <c r="M108" s="21"/>
      <c r="P108" s="7"/>
      <c r="T108" s="8"/>
      <c r="U108" s="7"/>
    </row>
    <row r="109" customFormat="false" ht="15" hidden="false" customHeight="false" outlineLevel="0" collapsed="false">
      <c r="M109" s="21"/>
      <c r="P109" s="7"/>
      <c r="T109" s="8"/>
      <c r="U109" s="7"/>
    </row>
    <row r="110" customFormat="false" ht="15" hidden="false" customHeight="false" outlineLevel="0" collapsed="false">
      <c r="M110" s="21"/>
      <c r="P110" s="7"/>
      <c r="T110" s="8"/>
      <c r="U110" s="7"/>
    </row>
    <row r="111" customFormat="false" ht="15" hidden="false" customHeight="false" outlineLevel="0" collapsed="false">
      <c r="M111" s="21"/>
      <c r="P111" s="7"/>
      <c r="T111" s="8"/>
      <c r="U111" s="7"/>
    </row>
    <row r="112" customFormat="false" ht="15" hidden="false" customHeight="false" outlineLevel="0" collapsed="false">
      <c r="M112" s="21"/>
      <c r="P112" s="7"/>
      <c r="T112" s="8"/>
      <c r="U112" s="7"/>
    </row>
    <row r="113" customFormat="false" ht="15" hidden="false" customHeight="false" outlineLevel="0" collapsed="false">
      <c r="M113" s="21"/>
      <c r="P113" s="7"/>
      <c r="T113" s="8"/>
      <c r="U113" s="7"/>
    </row>
    <row r="114" customFormat="false" ht="15" hidden="false" customHeight="false" outlineLevel="0" collapsed="false">
      <c r="M114" s="21"/>
      <c r="P114" s="7"/>
      <c r="T114" s="8"/>
      <c r="U114" s="7"/>
    </row>
    <row r="115" customFormat="false" ht="15" hidden="false" customHeight="false" outlineLevel="0" collapsed="false">
      <c r="M115" s="21"/>
      <c r="P115" s="7"/>
      <c r="T115" s="8"/>
      <c r="U115" s="7"/>
    </row>
    <row r="116" customFormat="false" ht="15" hidden="false" customHeight="false" outlineLevel="0" collapsed="false">
      <c r="M116" s="21"/>
      <c r="P116" s="7"/>
      <c r="T116" s="8"/>
      <c r="U116" s="7"/>
    </row>
    <row r="117" customFormat="false" ht="15" hidden="false" customHeight="false" outlineLevel="0" collapsed="false">
      <c r="M117" s="21"/>
      <c r="P117" s="7"/>
      <c r="T117" s="8"/>
      <c r="U117" s="7"/>
    </row>
    <row r="118" customFormat="false" ht="15" hidden="false" customHeight="false" outlineLevel="0" collapsed="false">
      <c r="M118" s="21"/>
      <c r="P118" s="7"/>
      <c r="T118" s="8"/>
      <c r="U118" s="7"/>
    </row>
    <row r="119" customFormat="false" ht="15" hidden="false" customHeight="false" outlineLevel="0" collapsed="false">
      <c r="M119" s="21"/>
      <c r="P119" s="7"/>
      <c r="T119" s="8"/>
      <c r="U119" s="7"/>
    </row>
    <row r="120" customFormat="false" ht="15" hidden="false" customHeight="false" outlineLevel="0" collapsed="false">
      <c r="M120" s="21"/>
      <c r="P120" s="7"/>
      <c r="T120" s="8"/>
      <c r="U120" s="7"/>
    </row>
    <row r="121" customFormat="false" ht="15" hidden="false" customHeight="false" outlineLevel="0" collapsed="false">
      <c r="M121" s="21"/>
      <c r="P121" s="7"/>
      <c r="T121" s="8"/>
      <c r="U121" s="7"/>
    </row>
    <row r="122" customFormat="false" ht="15" hidden="false" customHeight="false" outlineLevel="0" collapsed="false">
      <c r="M122" s="21"/>
      <c r="P122" s="7"/>
      <c r="T122" s="8"/>
      <c r="U122" s="7"/>
    </row>
    <row r="123" customFormat="false" ht="15" hidden="false" customHeight="false" outlineLevel="0" collapsed="false">
      <c r="M123" s="21"/>
      <c r="P123" s="7"/>
      <c r="T123" s="8"/>
      <c r="U123" s="7"/>
    </row>
    <row r="124" customFormat="false" ht="15" hidden="false" customHeight="false" outlineLevel="0" collapsed="false">
      <c r="M124" s="21"/>
      <c r="P124" s="7"/>
      <c r="T124" s="8"/>
      <c r="U124" s="7"/>
    </row>
    <row r="125" customFormat="false" ht="15" hidden="false" customHeight="false" outlineLevel="0" collapsed="false">
      <c r="M125" s="21"/>
      <c r="P125" s="7"/>
      <c r="T125" s="8"/>
      <c r="U125" s="7"/>
    </row>
    <row r="126" customFormat="false" ht="15" hidden="false" customHeight="false" outlineLevel="0" collapsed="false">
      <c r="M126" s="21"/>
      <c r="P126" s="7"/>
      <c r="T126" s="8"/>
      <c r="U126" s="7"/>
    </row>
    <row r="127" customFormat="false" ht="15" hidden="false" customHeight="false" outlineLevel="0" collapsed="false">
      <c r="M127" s="21"/>
      <c r="P127" s="7"/>
      <c r="T127" s="8"/>
      <c r="U127" s="7"/>
    </row>
    <row r="128" customFormat="false" ht="15" hidden="false" customHeight="false" outlineLevel="0" collapsed="false">
      <c r="M128" s="21"/>
      <c r="P128" s="7"/>
      <c r="T128" s="8"/>
      <c r="U128" s="7"/>
    </row>
    <row r="129" customFormat="false" ht="15" hidden="false" customHeight="false" outlineLevel="0" collapsed="false">
      <c r="M129" s="21"/>
      <c r="P129" s="7"/>
      <c r="T129" s="8"/>
      <c r="U129" s="7"/>
    </row>
    <row r="130" customFormat="false" ht="15" hidden="false" customHeight="false" outlineLevel="0" collapsed="false">
      <c r="M130" s="21"/>
      <c r="P130" s="7"/>
      <c r="T130" s="8"/>
      <c r="U130" s="7"/>
    </row>
    <row r="131" customFormat="false" ht="15" hidden="false" customHeight="false" outlineLevel="0" collapsed="false">
      <c r="M131" s="21"/>
      <c r="P131" s="7"/>
      <c r="T131" s="8"/>
      <c r="U131" s="7"/>
    </row>
    <row r="132" customFormat="false" ht="15" hidden="false" customHeight="false" outlineLevel="0" collapsed="false">
      <c r="M132" s="21"/>
      <c r="P132" s="7"/>
      <c r="T132" s="8"/>
      <c r="U132" s="7"/>
    </row>
    <row r="133" customFormat="false" ht="15" hidden="false" customHeight="false" outlineLevel="0" collapsed="false">
      <c r="M133" s="21"/>
      <c r="P133" s="7"/>
      <c r="T133" s="8"/>
      <c r="U133" s="7"/>
    </row>
    <row r="134" customFormat="false" ht="15" hidden="false" customHeight="false" outlineLevel="0" collapsed="false">
      <c r="M134" s="21"/>
      <c r="P134" s="7"/>
      <c r="T134" s="8"/>
      <c r="U134" s="7"/>
    </row>
    <row r="135" customFormat="false" ht="15" hidden="false" customHeight="false" outlineLevel="0" collapsed="false">
      <c r="M135" s="21"/>
      <c r="P135" s="7"/>
      <c r="T135" s="8"/>
      <c r="U135" s="7"/>
    </row>
    <row r="136" customFormat="false" ht="15" hidden="false" customHeight="false" outlineLevel="0" collapsed="false">
      <c r="M136" s="21"/>
      <c r="P136" s="7"/>
      <c r="T136" s="8"/>
      <c r="U136" s="7"/>
    </row>
    <row r="137" customFormat="false" ht="15" hidden="false" customHeight="false" outlineLevel="0" collapsed="false">
      <c r="M137" s="21"/>
      <c r="P137" s="7"/>
      <c r="T137" s="8"/>
      <c r="U137" s="7"/>
    </row>
    <row r="138" customFormat="false" ht="15" hidden="false" customHeight="false" outlineLevel="0" collapsed="false">
      <c r="M138" s="21"/>
      <c r="P138" s="7"/>
      <c r="T138" s="8"/>
      <c r="U138" s="7"/>
    </row>
    <row r="139" customFormat="false" ht="15" hidden="false" customHeight="false" outlineLevel="0" collapsed="false">
      <c r="M139" s="21"/>
      <c r="P139" s="7"/>
      <c r="T139" s="8"/>
      <c r="U139" s="7"/>
    </row>
    <row r="140" customFormat="false" ht="15" hidden="false" customHeight="false" outlineLevel="0" collapsed="false">
      <c r="M140" s="21"/>
      <c r="P140" s="7"/>
      <c r="T140" s="8"/>
      <c r="U140" s="7"/>
    </row>
    <row r="141" customFormat="false" ht="15" hidden="false" customHeight="false" outlineLevel="0" collapsed="false">
      <c r="M141" s="21"/>
      <c r="P141" s="7"/>
      <c r="T141" s="8"/>
      <c r="U141" s="7"/>
    </row>
    <row r="142" customFormat="false" ht="15" hidden="false" customHeight="false" outlineLevel="0" collapsed="false">
      <c r="M142" s="21"/>
      <c r="P142" s="7"/>
      <c r="T142" s="8"/>
      <c r="U142" s="7"/>
    </row>
    <row r="143" customFormat="false" ht="15" hidden="false" customHeight="false" outlineLevel="0" collapsed="false">
      <c r="M143" s="21"/>
      <c r="P143" s="7"/>
      <c r="T143" s="8"/>
      <c r="U143" s="7"/>
    </row>
    <row r="144" customFormat="false" ht="15" hidden="false" customHeight="false" outlineLevel="0" collapsed="false">
      <c r="M144" s="21"/>
      <c r="P144" s="7"/>
      <c r="T144" s="8"/>
      <c r="U144" s="7"/>
    </row>
    <row r="145" customFormat="false" ht="15" hidden="false" customHeight="false" outlineLevel="0" collapsed="false">
      <c r="M145" s="21"/>
      <c r="P145" s="7"/>
      <c r="T145" s="8"/>
      <c r="U145" s="7"/>
    </row>
    <row r="146" customFormat="false" ht="15" hidden="false" customHeight="false" outlineLevel="0" collapsed="false">
      <c r="M146" s="21"/>
      <c r="P146" s="7"/>
      <c r="T146" s="8"/>
      <c r="U146" s="7"/>
    </row>
    <row r="147" customFormat="false" ht="15" hidden="false" customHeight="false" outlineLevel="0" collapsed="false">
      <c r="M147" s="21"/>
      <c r="P147" s="7"/>
      <c r="T147" s="8"/>
      <c r="U147" s="7"/>
    </row>
    <row r="148" customFormat="false" ht="15" hidden="false" customHeight="false" outlineLevel="0" collapsed="false">
      <c r="M148" s="21"/>
      <c r="P148" s="7"/>
      <c r="T148" s="8"/>
      <c r="U148" s="7"/>
    </row>
    <row r="149" customFormat="false" ht="15" hidden="false" customHeight="false" outlineLevel="0" collapsed="false">
      <c r="M149" s="21"/>
      <c r="P149" s="7"/>
      <c r="T149" s="8"/>
      <c r="U149" s="7"/>
    </row>
    <row r="150" customFormat="false" ht="15" hidden="false" customHeight="false" outlineLevel="0" collapsed="false">
      <c r="M150" s="21"/>
      <c r="P150" s="7"/>
      <c r="T150" s="8"/>
      <c r="U150" s="7"/>
    </row>
    <row r="151" customFormat="false" ht="15" hidden="false" customHeight="false" outlineLevel="0" collapsed="false">
      <c r="M151" s="21"/>
      <c r="P151" s="7"/>
      <c r="T151" s="8"/>
      <c r="U151" s="7"/>
    </row>
    <row r="152" customFormat="false" ht="15" hidden="false" customHeight="false" outlineLevel="0" collapsed="false">
      <c r="M152" s="21"/>
      <c r="P152" s="7"/>
      <c r="T152" s="8"/>
      <c r="U152" s="7"/>
    </row>
    <row r="153" customFormat="false" ht="15" hidden="false" customHeight="false" outlineLevel="0" collapsed="false">
      <c r="M153" s="21"/>
      <c r="P153" s="7"/>
      <c r="T153" s="8"/>
      <c r="U153" s="7"/>
    </row>
    <row r="154" customFormat="false" ht="15" hidden="false" customHeight="false" outlineLevel="0" collapsed="false">
      <c r="M154" s="21"/>
      <c r="P154" s="7"/>
      <c r="T154" s="8"/>
      <c r="U154" s="7"/>
    </row>
    <row r="155" customFormat="false" ht="15" hidden="false" customHeight="false" outlineLevel="0" collapsed="false">
      <c r="M155" s="21"/>
      <c r="P155" s="7"/>
      <c r="T155" s="8"/>
      <c r="U155" s="7"/>
    </row>
    <row r="156" customFormat="false" ht="15" hidden="false" customHeight="false" outlineLevel="0" collapsed="false">
      <c r="M156" s="21"/>
      <c r="P156" s="7"/>
      <c r="T156" s="8"/>
      <c r="U156" s="7"/>
    </row>
    <row r="157" customFormat="false" ht="15" hidden="false" customHeight="false" outlineLevel="0" collapsed="false">
      <c r="M157" s="21"/>
      <c r="P157" s="7"/>
      <c r="T157" s="8"/>
      <c r="U157" s="7"/>
    </row>
    <row r="158" customFormat="false" ht="15" hidden="false" customHeight="false" outlineLevel="0" collapsed="false">
      <c r="M158" s="21"/>
      <c r="P158" s="7"/>
      <c r="T158" s="8"/>
      <c r="U158" s="7"/>
    </row>
    <row r="159" customFormat="false" ht="15" hidden="false" customHeight="false" outlineLevel="0" collapsed="false">
      <c r="M159" s="21"/>
      <c r="P159" s="7"/>
      <c r="T159" s="8"/>
      <c r="U159" s="7"/>
    </row>
    <row r="160" customFormat="false" ht="15" hidden="false" customHeight="false" outlineLevel="0" collapsed="false">
      <c r="M160" s="21"/>
      <c r="P160" s="7"/>
      <c r="T160" s="8"/>
      <c r="U160" s="7"/>
    </row>
    <row r="161" customFormat="false" ht="15" hidden="false" customHeight="false" outlineLevel="0" collapsed="false">
      <c r="M161" s="21"/>
      <c r="P161" s="7"/>
      <c r="T161" s="8"/>
      <c r="U161" s="7"/>
    </row>
    <row r="162" customFormat="false" ht="15" hidden="false" customHeight="false" outlineLevel="0" collapsed="false">
      <c r="M162" s="21"/>
      <c r="P162" s="7"/>
      <c r="T162" s="8"/>
      <c r="U162" s="7"/>
    </row>
    <row r="163" customFormat="false" ht="15" hidden="false" customHeight="false" outlineLevel="0" collapsed="false">
      <c r="M163" s="21"/>
      <c r="P163" s="7"/>
      <c r="T163" s="8"/>
      <c r="U163" s="7"/>
    </row>
    <row r="164" customFormat="false" ht="15" hidden="false" customHeight="false" outlineLevel="0" collapsed="false">
      <c r="M164" s="21"/>
      <c r="P164" s="7"/>
      <c r="T164" s="8"/>
      <c r="U164" s="7"/>
    </row>
    <row r="165" customFormat="false" ht="15" hidden="false" customHeight="false" outlineLevel="0" collapsed="false">
      <c r="M165" s="21"/>
      <c r="P165" s="7"/>
      <c r="T165" s="8"/>
      <c r="U165" s="7"/>
    </row>
    <row r="166" customFormat="false" ht="15" hidden="false" customHeight="false" outlineLevel="0" collapsed="false">
      <c r="M166" s="21"/>
      <c r="P166" s="7"/>
      <c r="T166" s="8"/>
      <c r="U166" s="7"/>
    </row>
    <row r="167" customFormat="false" ht="15" hidden="false" customHeight="false" outlineLevel="0" collapsed="false">
      <c r="M167" s="21"/>
      <c r="P167" s="7"/>
      <c r="T167" s="8"/>
      <c r="U167" s="7"/>
    </row>
    <row r="168" customFormat="false" ht="15" hidden="false" customHeight="false" outlineLevel="0" collapsed="false">
      <c r="M168" s="21"/>
      <c r="P168" s="7"/>
      <c r="T168" s="8"/>
      <c r="U168" s="7"/>
    </row>
    <row r="169" customFormat="false" ht="15" hidden="false" customHeight="false" outlineLevel="0" collapsed="false">
      <c r="M169" s="21"/>
      <c r="P169" s="7"/>
      <c r="T169" s="8"/>
      <c r="U169" s="7"/>
    </row>
    <row r="170" customFormat="false" ht="15" hidden="false" customHeight="false" outlineLevel="0" collapsed="false">
      <c r="M170" s="21"/>
      <c r="P170" s="7"/>
      <c r="T170" s="8"/>
      <c r="U170" s="7"/>
    </row>
    <row r="171" customFormat="false" ht="15" hidden="false" customHeight="false" outlineLevel="0" collapsed="false">
      <c r="M171" s="21"/>
      <c r="P171" s="7"/>
      <c r="T171" s="8"/>
      <c r="U171" s="7"/>
    </row>
    <row r="172" customFormat="false" ht="15" hidden="false" customHeight="false" outlineLevel="0" collapsed="false">
      <c r="M172" s="21"/>
      <c r="P172" s="7"/>
      <c r="T172" s="8"/>
      <c r="U172" s="7"/>
    </row>
    <row r="173" customFormat="false" ht="15" hidden="false" customHeight="false" outlineLevel="0" collapsed="false">
      <c r="M173" s="21"/>
      <c r="P173" s="7"/>
      <c r="T173" s="8"/>
      <c r="U173" s="7"/>
    </row>
    <row r="174" customFormat="false" ht="15" hidden="false" customHeight="false" outlineLevel="0" collapsed="false">
      <c r="P174" s="7"/>
      <c r="T174" s="8"/>
      <c r="U174" s="7"/>
    </row>
    <row r="175" customFormat="false" ht="15" hidden="false" customHeight="false" outlineLevel="0" collapsed="false">
      <c r="P175" s="7"/>
      <c r="T175" s="8"/>
      <c r="U175" s="7"/>
    </row>
    <row r="176" customFormat="false" ht="15" hidden="false" customHeight="false" outlineLevel="0" collapsed="false">
      <c r="P176" s="7"/>
      <c r="T176" s="8"/>
      <c r="U176" s="7"/>
    </row>
    <row r="177" customFormat="false" ht="15" hidden="false" customHeight="false" outlineLevel="0" collapsed="false">
      <c r="P177" s="7"/>
      <c r="T177" s="8"/>
      <c r="U177" s="7"/>
    </row>
    <row r="178" customFormat="false" ht="15" hidden="false" customHeight="false" outlineLevel="0" collapsed="false">
      <c r="P178" s="7"/>
      <c r="T178" s="8"/>
      <c r="U178" s="7"/>
    </row>
    <row r="179" customFormat="false" ht="15" hidden="false" customHeight="false" outlineLevel="0" collapsed="false">
      <c r="P179" s="7"/>
      <c r="T179" s="8"/>
      <c r="U179" s="7"/>
    </row>
    <row r="180" customFormat="false" ht="15" hidden="false" customHeight="false" outlineLevel="0" collapsed="false">
      <c r="P180" s="7"/>
      <c r="T180" s="8"/>
      <c r="U180" s="7"/>
    </row>
    <row r="181" customFormat="false" ht="15" hidden="false" customHeight="false" outlineLevel="0" collapsed="false">
      <c r="P181" s="7"/>
      <c r="T181" s="8"/>
      <c r="U181" s="7"/>
    </row>
    <row r="182" customFormat="false" ht="15" hidden="false" customHeight="false" outlineLevel="0" collapsed="false">
      <c r="P182" s="7"/>
      <c r="T182" s="8"/>
      <c r="U182" s="7"/>
    </row>
    <row r="183" customFormat="false" ht="15" hidden="false" customHeight="false" outlineLevel="0" collapsed="false">
      <c r="P183" s="7"/>
      <c r="T183" s="8"/>
      <c r="U183" s="7"/>
    </row>
    <row r="184" customFormat="false" ht="15" hidden="false" customHeight="false" outlineLevel="0" collapsed="false">
      <c r="P184" s="7"/>
      <c r="T184" s="8"/>
      <c r="U184" s="7"/>
    </row>
    <row r="185" customFormat="false" ht="15" hidden="false" customHeight="false" outlineLevel="0" collapsed="false">
      <c r="P185" s="7"/>
      <c r="T185" s="8"/>
      <c r="U185" s="7"/>
    </row>
    <row r="186" customFormat="false" ht="15" hidden="false" customHeight="false" outlineLevel="0" collapsed="false">
      <c r="P186" s="7"/>
      <c r="T186" s="8"/>
      <c r="U186" s="7"/>
    </row>
    <row r="187" customFormat="false" ht="15" hidden="false" customHeight="false" outlineLevel="0" collapsed="false">
      <c r="P187" s="7"/>
      <c r="T187" s="8"/>
      <c r="U187" s="7"/>
    </row>
    <row r="188" customFormat="false" ht="15" hidden="false" customHeight="false" outlineLevel="0" collapsed="false">
      <c r="P188" s="7"/>
      <c r="T188" s="8"/>
      <c r="U188" s="7"/>
    </row>
    <row r="189" customFormat="false" ht="15" hidden="false" customHeight="false" outlineLevel="0" collapsed="false">
      <c r="P189" s="7"/>
      <c r="T189" s="8"/>
      <c r="U189" s="7"/>
    </row>
    <row r="190" customFormat="false" ht="15" hidden="false" customHeight="false" outlineLevel="0" collapsed="false">
      <c r="P190" s="7"/>
      <c r="T190" s="8"/>
      <c r="U190" s="7"/>
    </row>
    <row r="191" customFormat="false" ht="15" hidden="false" customHeight="false" outlineLevel="0" collapsed="false">
      <c r="P191" s="7"/>
      <c r="T191" s="8"/>
      <c r="U191" s="7"/>
    </row>
    <row r="192" customFormat="false" ht="15" hidden="false" customHeight="false" outlineLevel="0" collapsed="false">
      <c r="P192" s="7"/>
      <c r="T192" s="8"/>
      <c r="U192" s="7"/>
    </row>
    <row r="193" customFormat="false" ht="15" hidden="false" customHeight="false" outlineLevel="0" collapsed="false">
      <c r="P193" s="7"/>
      <c r="T193" s="8"/>
      <c r="U193" s="7"/>
    </row>
    <row r="194" customFormat="false" ht="15" hidden="false" customHeight="false" outlineLevel="0" collapsed="false">
      <c r="P194" s="7"/>
      <c r="T194" s="8"/>
      <c r="U194" s="7"/>
    </row>
    <row r="195" customFormat="false" ht="15" hidden="false" customHeight="false" outlineLevel="0" collapsed="false">
      <c r="P195" s="7"/>
      <c r="T195" s="8"/>
      <c r="U195" s="7"/>
    </row>
    <row r="196" customFormat="false" ht="15" hidden="false" customHeight="false" outlineLevel="0" collapsed="false">
      <c r="P196" s="7"/>
      <c r="T196" s="8"/>
      <c r="U196" s="7"/>
    </row>
    <row r="197" customFormat="false" ht="15" hidden="false" customHeight="false" outlineLevel="0" collapsed="false">
      <c r="P197" s="7"/>
      <c r="T197" s="8"/>
      <c r="U197" s="7"/>
    </row>
    <row r="198" customFormat="false" ht="15" hidden="false" customHeight="false" outlineLevel="0" collapsed="false">
      <c r="P198" s="7"/>
      <c r="T198" s="8"/>
      <c r="U198" s="7"/>
    </row>
    <row r="199" customFormat="false" ht="15" hidden="false" customHeight="false" outlineLevel="0" collapsed="false">
      <c r="P199" s="7"/>
      <c r="T199" s="8"/>
      <c r="U199" s="7"/>
    </row>
    <row r="200" customFormat="false" ht="15" hidden="false" customHeight="false" outlineLevel="0" collapsed="false">
      <c r="P200" s="7"/>
      <c r="T200" s="8"/>
      <c r="U200" s="7"/>
    </row>
    <row r="201" customFormat="false" ht="15" hidden="false" customHeight="false" outlineLevel="0" collapsed="false">
      <c r="P201" s="7"/>
      <c r="T201" s="8"/>
      <c r="U201" s="7"/>
    </row>
    <row r="202" customFormat="false" ht="15" hidden="false" customHeight="false" outlineLevel="0" collapsed="false">
      <c r="P202" s="7"/>
      <c r="T202" s="8"/>
      <c r="U202" s="7"/>
    </row>
    <row r="203" customFormat="false" ht="15" hidden="false" customHeight="false" outlineLevel="0" collapsed="false">
      <c r="P203" s="7"/>
      <c r="T203" s="8"/>
      <c r="U203" s="7"/>
    </row>
    <row r="204" customFormat="false" ht="15" hidden="false" customHeight="false" outlineLevel="0" collapsed="false">
      <c r="P204" s="7"/>
      <c r="T204" s="8"/>
      <c r="U204" s="7"/>
    </row>
    <row r="205" customFormat="false" ht="15" hidden="false" customHeight="false" outlineLevel="0" collapsed="false">
      <c r="P205" s="7"/>
      <c r="T205" s="8"/>
      <c r="U205" s="7"/>
    </row>
    <row r="206" customFormat="false" ht="15" hidden="false" customHeight="false" outlineLevel="0" collapsed="false">
      <c r="P206" s="7"/>
      <c r="T206" s="8"/>
      <c r="U206" s="7"/>
    </row>
    <row r="207" customFormat="false" ht="15" hidden="false" customHeight="false" outlineLevel="0" collapsed="false">
      <c r="P207" s="7"/>
      <c r="T207" s="8"/>
      <c r="U207" s="7"/>
    </row>
    <row r="208" customFormat="false" ht="15" hidden="false" customHeight="false" outlineLevel="0" collapsed="false">
      <c r="P208" s="7"/>
      <c r="T208" s="8"/>
      <c r="U208" s="7"/>
    </row>
    <row r="209" customFormat="false" ht="15" hidden="false" customHeight="false" outlineLevel="0" collapsed="false">
      <c r="P209" s="7"/>
      <c r="T209" s="8"/>
      <c r="U209" s="7"/>
    </row>
    <row r="210" customFormat="false" ht="15" hidden="false" customHeight="false" outlineLevel="0" collapsed="false">
      <c r="P210" s="7"/>
      <c r="T210" s="8"/>
      <c r="U210" s="7"/>
    </row>
    <row r="211" customFormat="false" ht="15" hidden="false" customHeight="false" outlineLevel="0" collapsed="false">
      <c r="B211" s="1"/>
      <c r="P211" s="8"/>
      <c r="Q211" s="8"/>
      <c r="T211" s="8"/>
      <c r="U211" s="7"/>
    </row>
    <row r="212" customFormat="false" ht="15" hidden="false" customHeight="false" outlineLevel="0" collapsed="false">
      <c r="P212" s="7"/>
      <c r="T212" s="8"/>
      <c r="U212" s="7"/>
    </row>
    <row r="213" customFormat="false" ht="15" hidden="false" customHeight="false" outlineLevel="0" collapsed="false">
      <c r="P213" s="7"/>
      <c r="T213" s="8"/>
      <c r="U213" s="7"/>
    </row>
    <row r="214" customFormat="false" ht="15" hidden="false" customHeight="false" outlineLevel="0" collapsed="false">
      <c r="P214" s="7"/>
      <c r="T214" s="8"/>
      <c r="U214" s="7"/>
    </row>
    <row r="215" customFormat="false" ht="15" hidden="false" customHeight="false" outlineLevel="0" collapsed="false">
      <c r="P215" s="7"/>
      <c r="T215" s="8"/>
      <c r="U215" s="7"/>
    </row>
    <row r="216" customFormat="false" ht="15" hidden="false" customHeight="false" outlineLevel="0" collapsed="false">
      <c r="P216" s="7"/>
      <c r="T216" s="8"/>
      <c r="U216" s="7"/>
    </row>
    <row r="217" customFormat="false" ht="15" hidden="false" customHeight="false" outlineLevel="0" collapsed="false">
      <c r="P217" s="7"/>
      <c r="T217" s="8"/>
      <c r="U217" s="7"/>
    </row>
    <row r="218" customFormat="false" ht="15" hidden="false" customHeight="false" outlineLevel="0" collapsed="false">
      <c r="P218" s="7"/>
      <c r="T218" s="8"/>
      <c r="U218" s="7"/>
    </row>
    <row r="219" customFormat="false" ht="15" hidden="false" customHeight="false" outlineLevel="0" collapsed="false">
      <c r="P219" s="7"/>
      <c r="T219" s="8"/>
      <c r="U219" s="7"/>
    </row>
    <row r="220" customFormat="false" ht="15" hidden="false" customHeight="false" outlineLevel="0" collapsed="false">
      <c r="P220" s="7"/>
      <c r="T220" s="8"/>
      <c r="U220" s="7"/>
    </row>
    <row r="221" customFormat="false" ht="15" hidden="false" customHeight="false" outlineLevel="0" collapsed="false">
      <c r="P221" s="7"/>
      <c r="T221" s="8"/>
      <c r="U221" s="7"/>
    </row>
    <row r="222" customFormat="false" ht="15" hidden="false" customHeight="false" outlineLevel="0" collapsed="false">
      <c r="P222" s="7"/>
      <c r="T222" s="8"/>
      <c r="U222" s="7"/>
    </row>
    <row r="223" customFormat="false" ht="15" hidden="false" customHeight="false" outlineLevel="0" collapsed="false">
      <c r="P223" s="7"/>
      <c r="T223" s="8"/>
      <c r="U223" s="7"/>
    </row>
    <row r="224" customFormat="false" ht="15" hidden="false" customHeight="false" outlineLevel="0" collapsed="false">
      <c r="P224" s="7"/>
      <c r="T224" s="8"/>
      <c r="U224" s="7"/>
    </row>
    <row r="225" customFormat="false" ht="15" hidden="false" customHeight="false" outlineLevel="0" collapsed="false">
      <c r="P225" s="7"/>
      <c r="T225" s="8"/>
      <c r="U225" s="7"/>
    </row>
    <row r="226" customFormat="false" ht="15" hidden="false" customHeight="false" outlineLevel="0" collapsed="false">
      <c r="P226" s="7"/>
      <c r="T226" s="8"/>
      <c r="U226" s="7"/>
    </row>
    <row r="227" customFormat="false" ht="15" hidden="false" customHeight="false" outlineLevel="0" collapsed="false">
      <c r="P227" s="7"/>
      <c r="T227" s="8"/>
      <c r="U227" s="7"/>
    </row>
    <row r="228" customFormat="false" ht="15" hidden="false" customHeight="false" outlineLevel="0" collapsed="false">
      <c r="P228" s="7"/>
      <c r="T228" s="8"/>
      <c r="U228" s="7"/>
    </row>
    <row r="229" customFormat="false" ht="15" hidden="false" customHeight="false" outlineLevel="0" collapsed="false">
      <c r="P229" s="7"/>
      <c r="T229" s="8"/>
      <c r="U229" s="7"/>
    </row>
    <row r="230" customFormat="false" ht="15" hidden="false" customHeight="false" outlineLevel="0" collapsed="false">
      <c r="P230" s="7"/>
      <c r="T230" s="8"/>
      <c r="U230" s="7"/>
    </row>
    <row r="231" customFormat="false" ht="15" hidden="false" customHeight="false" outlineLevel="0" collapsed="false">
      <c r="P231" s="7"/>
      <c r="T231" s="8"/>
      <c r="U231" s="7"/>
    </row>
    <row r="232" customFormat="false" ht="15" hidden="false" customHeight="false" outlineLevel="0" collapsed="false">
      <c r="P232" s="7"/>
      <c r="T232" s="8"/>
      <c r="U232" s="7"/>
    </row>
    <row r="233" customFormat="false" ht="15" hidden="false" customHeight="false" outlineLevel="0" collapsed="false">
      <c r="P233" s="7"/>
      <c r="T233" s="8"/>
      <c r="U233" s="7"/>
    </row>
    <row r="234" customFormat="false" ht="15" hidden="false" customHeight="false" outlineLevel="0" collapsed="false">
      <c r="P234" s="7"/>
      <c r="T234" s="8"/>
      <c r="U234" s="7"/>
    </row>
    <row r="235" customFormat="false" ht="15" hidden="false" customHeight="false" outlineLevel="0" collapsed="false">
      <c r="P235" s="7"/>
      <c r="T235" s="8"/>
      <c r="U235" s="7"/>
    </row>
    <row r="236" customFormat="false" ht="15" hidden="false" customHeight="false" outlineLevel="0" collapsed="false">
      <c r="P236" s="7"/>
      <c r="T236" s="8"/>
      <c r="U236" s="7"/>
    </row>
    <row r="237" customFormat="false" ht="15" hidden="false" customHeight="false" outlineLevel="0" collapsed="false">
      <c r="P237" s="7"/>
      <c r="T237" s="8"/>
      <c r="U237" s="7"/>
    </row>
    <row r="238" customFormat="false" ht="15" hidden="false" customHeight="false" outlineLevel="0" collapsed="false">
      <c r="P238" s="7"/>
      <c r="T238" s="8"/>
      <c r="U238" s="7"/>
    </row>
    <row r="239" customFormat="false" ht="15" hidden="false" customHeight="false" outlineLevel="0" collapsed="false">
      <c r="P239" s="7"/>
      <c r="T239" s="8"/>
      <c r="U239" s="7"/>
    </row>
    <row r="240" customFormat="false" ht="15" hidden="false" customHeight="false" outlineLevel="0" collapsed="false">
      <c r="P240" s="7"/>
      <c r="T240" s="8"/>
      <c r="U240" s="7"/>
    </row>
    <row r="241" customFormat="false" ht="15" hidden="false" customHeight="false" outlineLevel="0" collapsed="false">
      <c r="P241" s="7"/>
      <c r="T241" s="8"/>
      <c r="U241" s="7"/>
    </row>
    <row r="242" customFormat="false" ht="15" hidden="false" customHeight="false" outlineLevel="0" collapsed="false">
      <c r="P242" s="7"/>
      <c r="T242" s="8"/>
      <c r="U242" s="7"/>
    </row>
    <row r="243" customFormat="false" ht="15" hidden="false" customHeight="false" outlineLevel="0" collapsed="false">
      <c r="P243" s="7"/>
      <c r="T243" s="8"/>
      <c r="U243" s="7"/>
    </row>
    <row r="244" customFormat="false" ht="15" hidden="false" customHeight="false" outlineLevel="0" collapsed="false">
      <c r="P244" s="7"/>
      <c r="T244" s="8"/>
      <c r="U244" s="7"/>
    </row>
    <row r="245" customFormat="false" ht="15" hidden="false" customHeight="false" outlineLevel="0" collapsed="false">
      <c r="P245" s="7"/>
      <c r="T245" s="8"/>
      <c r="U245" s="7"/>
    </row>
    <row r="246" customFormat="false" ht="15" hidden="false" customHeight="false" outlineLevel="0" collapsed="false">
      <c r="P246" s="7"/>
      <c r="T246" s="8"/>
      <c r="U246" s="7"/>
    </row>
    <row r="247" customFormat="false" ht="15" hidden="false" customHeight="false" outlineLevel="0" collapsed="false">
      <c r="P247" s="7"/>
      <c r="T247" s="8"/>
      <c r="U247" s="7"/>
    </row>
    <row r="248" customFormat="false" ht="15" hidden="false" customHeight="false" outlineLevel="0" collapsed="false">
      <c r="P248" s="7"/>
      <c r="T248" s="8"/>
      <c r="U248" s="7"/>
    </row>
    <row r="249" customFormat="false" ht="15" hidden="false" customHeight="false" outlineLevel="0" collapsed="false">
      <c r="P249" s="7"/>
      <c r="T249" s="8"/>
      <c r="U249" s="7"/>
    </row>
    <row r="250" customFormat="false" ht="15" hidden="false" customHeight="false" outlineLevel="0" collapsed="false">
      <c r="P250" s="7"/>
      <c r="T250" s="8"/>
      <c r="U250" s="7"/>
    </row>
    <row r="251" customFormat="false" ht="15" hidden="false" customHeight="false" outlineLevel="0" collapsed="false">
      <c r="P251" s="7"/>
      <c r="T251" s="8"/>
      <c r="U251" s="7"/>
    </row>
    <row r="252" customFormat="false" ht="15" hidden="false" customHeight="false" outlineLevel="0" collapsed="false">
      <c r="P252" s="7"/>
      <c r="T252" s="8"/>
      <c r="U252" s="7"/>
    </row>
    <row r="253" customFormat="false" ht="15" hidden="false" customHeight="false" outlineLevel="0" collapsed="false">
      <c r="P253" s="7"/>
      <c r="T253" s="8"/>
      <c r="U253" s="7"/>
    </row>
    <row r="254" customFormat="false" ht="15" hidden="false" customHeight="false" outlineLevel="0" collapsed="false">
      <c r="P254" s="7"/>
      <c r="T254" s="8"/>
      <c r="U254" s="7"/>
    </row>
    <row r="255" customFormat="false" ht="15" hidden="false" customHeight="false" outlineLevel="0" collapsed="false">
      <c r="P255" s="7"/>
      <c r="T255" s="8"/>
      <c r="U255" s="7"/>
    </row>
    <row r="256" customFormat="false" ht="15" hidden="false" customHeight="false" outlineLevel="0" collapsed="false">
      <c r="P256" s="7"/>
      <c r="T256" s="8"/>
      <c r="U256" s="7"/>
    </row>
    <row r="257" customFormat="false" ht="15" hidden="false" customHeight="false" outlineLevel="0" collapsed="false">
      <c r="P257" s="7"/>
      <c r="T257" s="8"/>
      <c r="U257" s="7"/>
    </row>
    <row r="258" customFormat="false" ht="15" hidden="false" customHeight="false" outlineLevel="0" collapsed="false">
      <c r="P258" s="7"/>
      <c r="T258" s="8"/>
      <c r="U258" s="7"/>
    </row>
    <row r="259" customFormat="false" ht="15" hidden="false" customHeight="false" outlineLevel="0" collapsed="false">
      <c r="P259" s="22"/>
      <c r="T259" s="8"/>
      <c r="U259" s="7"/>
    </row>
    <row r="260" customFormat="false" ht="15" hidden="false" customHeight="false" outlineLevel="0" collapsed="false">
      <c r="P260" s="7"/>
      <c r="T260" s="8"/>
      <c r="U260" s="7"/>
    </row>
    <row r="261" customFormat="false" ht="15" hidden="false" customHeight="false" outlineLevel="0" collapsed="false">
      <c r="P261" s="7"/>
      <c r="T261" s="8"/>
      <c r="U261" s="7"/>
    </row>
    <row r="262" customFormat="false" ht="15" hidden="false" customHeight="false" outlineLevel="0" collapsed="false">
      <c r="P262" s="7"/>
      <c r="T262" s="8"/>
      <c r="U262" s="7"/>
    </row>
    <row r="263" customFormat="false" ht="15" hidden="false" customHeight="false" outlineLevel="0" collapsed="false">
      <c r="P263" s="7"/>
      <c r="T263" s="8"/>
      <c r="U263" s="7"/>
    </row>
    <row r="264" customFormat="false" ht="15" hidden="false" customHeight="false" outlineLevel="0" collapsed="false">
      <c r="P264" s="7"/>
      <c r="T264" s="8"/>
      <c r="U264" s="7"/>
    </row>
    <row r="265" customFormat="false" ht="15" hidden="false" customHeight="false" outlineLevel="0" collapsed="false">
      <c r="P265" s="7"/>
      <c r="T265" s="8"/>
      <c r="U265" s="7"/>
    </row>
    <row r="266" customFormat="false" ht="15" hidden="false" customHeight="false" outlineLevel="0" collapsed="false">
      <c r="P266" s="7"/>
      <c r="T266" s="8"/>
      <c r="U266" s="7"/>
    </row>
    <row r="268" customFormat="false" ht="15" hidden="false" customHeight="false" outlineLevel="0" collapsed="false">
      <c r="M268" s="4"/>
      <c r="N268" s="4"/>
      <c r="O268" s="4"/>
    </row>
    <row r="269" customFormat="false" ht="15" hidden="false" customHeight="false" outlineLevel="0" collapsed="false">
      <c r="M269" s="4"/>
      <c r="N269" s="4"/>
      <c r="O269" s="4"/>
    </row>
    <row r="270" customFormat="false" ht="15" hidden="false" customHeight="false" outlineLevel="0" collapsed="false">
      <c r="M270" s="4"/>
      <c r="N270" s="4"/>
      <c r="O270" s="4"/>
    </row>
    <row r="271" customFormat="false" ht="15" hidden="false" customHeight="false" outlineLevel="0" collapsed="false">
      <c r="M271" s="4"/>
      <c r="N271" s="4"/>
      <c r="O271" s="4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6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E35" activeCellId="0" sqref="E35"/>
    </sheetView>
  </sheetViews>
  <sheetFormatPr defaultRowHeight="15" zeroHeight="false" outlineLevelRow="0" outlineLevelCol="0"/>
  <cols>
    <col collapsed="false" customWidth="true" hidden="false" outlineLevel="0" max="1025" min="1" style="0" width="8.67"/>
  </cols>
  <sheetData>
    <row r="1" customFormat="false" ht="15" hidden="false" customHeight="false" outlineLevel="0" collapsed="false">
      <c r="A1" s="0" t="s">
        <v>123</v>
      </c>
      <c r="B1" s="0" t="s">
        <v>124</v>
      </c>
      <c r="C1" s="0" t="s">
        <v>125</v>
      </c>
      <c r="D1" s="0" t="s">
        <v>126</v>
      </c>
      <c r="E1" s="0" t="s">
        <v>127</v>
      </c>
    </row>
    <row r="2" customFormat="false" ht="15" hidden="false" customHeight="false" outlineLevel="0" collapsed="false">
      <c r="A2" s="0" t="n">
        <v>1</v>
      </c>
      <c r="B2" s="0" t="s">
        <v>128</v>
      </c>
      <c r="C2" s="12" t="s">
        <v>129</v>
      </c>
      <c r="D2" s="0" t="str">
        <f aca="false">"T4; T16; T17; T18"</f>
        <v>T4; T16; T17; T18</v>
      </c>
      <c r="E2" s="0" t="s">
        <v>130</v>
      </c>
    </row>
    <row r="3" customFormat="false" ht="15" hidden="false" customHeight="false" outlineLevel="0" collapsed="false">
      <c r="A3" s="0" t="n">
        <v>2</v>
      </c>
      <c r="B3" s="0" t="s">
        <v>131</v>
      </c>
      <c r="C3" s="12" t="s">
        <v>129</v>
      </c>
      <c r="D3" s="0" t="str">
        <f aca="false">"T5; T22; T23; T24"</f>
        <v>T5; T22; T23; T24</v>
      </c>
      <c r="E3" s="0" t="s">
        <v>132</v>
      </c>
    </row>
    <row r="4" customFormat="false" ht="15" hidden="false" customHeight="false" outlineLevel="0" collapsed="false">
      <c r="A4" s="0" t="n">
        <v>3</v>
      </c>
      <c r="B4" s="0" t="s">
        <v>133</v>
      </c>
      <c r="C4" s="12" t="s">
        <v>129</v>
      </c>
      <c r="D4" s="0" t="str">
        <f aca="false">"T1;T25; T26; T27"</f>
        <v>T1;T25; T26; T27</v>
      </c>
      <c r="E4" s="0" t="s">
        <v>134</v>
      </c>
    </row>
    <row r="5" customFormat="false" ht="15" hidden="false" customHeight="false" outlineLevel="0" collapsed="false">
      <c r="A5" s="0" t="n">
        <v>4</v>
      </c>
      <c r="B5" s="0" t="s">
        <v>135</v>
      </c>
      <c r="C5" s="12" t="s">
        <v>129</v>
      </c>
      <c r="D5" s="0" t="str">
        <f aca="false">"T2; T28; T29; T30"</f>
        <v>T2; T28; T29; T30</v>
      </c>
      <c r="E5" s="0" t="s">
        <v>136</v>
      </c>
    </row>
    <row r="6" customFormat="false" ht="15" hidden="false" customHeight="false" outlineLevel="0" collapsed="false">
      <c r="A6" s="0" t="n">
        <v>5</v>
      </c>
      <c r="B6" s="0" t="s">
        <v>137</v>
      </c>
      <c r="C6" s="12" t="s">
        <v>129</v>
      </c>
      <c r="D6" s="0" t="str">
        <f aca="false">"T3; T19; T20; T21"</f>
        <v>T3; T19; T20; T21</v>
      </c>
      <c r="E6" s="0" t="s">
        <v>138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B80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D26" activeCellId="0" sqref="D26"/>
    </sheetView>
  </sheetViews>
  <sheetFormatPr defaultRowHeight="15" zeroHeight="false" outlineLevelRow="0" outlineLevelCol="0"/>
  <cols>
    <col collapsed="false" customWidth="true" hidden="false" outlineLevel="0" max="1025" min="1" style="0" width="8.67"/>
  </cols>
  <sheetData>
    <row r="1" customFormat="false" ht="15" hidden="false" customHeight="false" outlineLevel="0" collapsed="false">
      <c r="A1" s="0" t="n">
        <v>2123000</v>
      </c>
      <c r="B1" s="0" t="n">
        <f aca="false">A1*1.5</f>
        <v>3184500</v>
      </c>
    </row>
    <row r="2" customFormat="false" ht="15" hidden="false" customHeight="false" outlineLevel="0" collapsed="false">
      <c r="A2" s="0" t="n">
        <v>1351000</v>
      </c>
      <c r="B2" s="0" t="n">
        <f aca="false">A2*1.5</f>
        <v>2026500</v>
      </c>
    </row>
    <row r="3" customFormat="false" ht="15" hidden="false" customHeight="false" outlineLevel="0" collapsed="false">
      <c r="A3" s="0" t="n">
        <v>2123000</v>
      </c>
      <c r="B3" s="0" t="n">
        <f aca="false">A3*1.5</f>
        <v>3184500</v>
      </c>
    </row>
    <row r="4" customFormat="false" ht="15" hidden="false" customHeight="false" outlineLevel="0" collapsed="false">
      <c r="A4" s="0" t="n">
        <v>1930000</v>
      </c>
      <c r="B4" s="0" t="n">
        <f aca="false">A4*1.5</f>
        <v>2895000</v>
      </c>
    </row>
    <row r="5" customFormat="false" ht="15" hidden="false" customHeight="false" outlineLevel="0" collapsed="false">
      <c r="A5" s="0" t="n">
        <v>2123000</v>
      </c>
      <c r="B5" s="0" t="n">
        <f aca="false">A5*1.5</f>
        <v>3184500</v>
      </c>
    </row>
    <row r="6" customFormat="false" ht="15" hidden="false" customHeight="false" outlineLevel="0" collapsed="false">
      <c r="A6" s="0" t="n">
        <v>1351000</v>
      </c>
      <c r="B6" s="0" t="n">
        <f aca="false">A6*1.5</f>
        <v>2026500</v>
      </c>
    </row>
    <row r="7" customFormat="false" ht="15" hidden="false" customHeight="false" outlineLevel="0" collapsed="false">
      <c r="A7" s="0" t="n">
        <v>2123000</v>
      </c>
      <c r="B7" s="0" t="n">
        <f aca="false">A7*1.5</f>
        <v>3184500</v>
      </c>
    </row>
    <row r="8" customFormat="false" ht="15" hidden="false" customHeight="false" outlineLevel="0" collapsed="false">
      <c r="A8" s="0" t="n">
        <v>1930000</v>
      </c>
      <c r="B8" s="0" t="n">
        <f aca="false">A8*1.5</f>
        <v>2895000</v>
      </c>
    </row>
    <row r="9" customFormat="false" ht="15" hidden="false" customHeight="false" outlineLevel="0" collapsed="false">
      <c r="A9" s="0" t="n">
        <v>2123000</v>
      </c>
      <c r="B9" s="0" t="n">
        <f aca="false">A9*1.5</f>
        <v>3184500</v>
      </c>
    </row>
    <row r="10" customFormat="false" ht="15" hidden="false" customHeight="false" outlineLevel="0" collapsed="false">
      <c r="A10" s="0" t="n">
        <v>1351000</v>
      </c>
      <c r="B10" s="0" t="n">
        <f aca="false">A10*1.5</f>
        <v>2026500</v>
      </c>
    </row>
    <row r="11" customFormat="false" ht="15" hidden="false" customHeight="false" outlineLevel="0" collapsed="false">
      <c r="A11" s="0" t="n">
        <v>2123000</v>
      </c>
      <c r="B11" s="0" t="n">
        <f aca="false">A11*1.5</f>
        <v>3184500</v>
      </c>
    </row>
    <row r="12" customFormat="false" ht="15" hidden="false" customHeight="false" outlineLevel="0" collapsed="false">
      <c r="A12" s="0" t="n">
        <v>1930000</v>
      </c>
      <c r="B12" s="0" t="n">
        <f aca="false">A12*1.5</f>
        <v>2895000</v>
      </c>
    </row>
    <row r="13" customFormat="false" ht="15" hidden="false" customHeight="false" outlineLevel="0" collapsed="false">
      <c r="A13" s="0" t="n">
        <v>2123000</v>
      </c>
      <c r="B13" s="0" t="n">
        <f aca="false">A13*1.5</f>
        <v>3184500</v>
      </c>
    </row>
    <row r="14" customFormat="false" ht="15" hidden="false" customHeight="false" outlineLevel="0" collapsed="false">
      <c r="A14" s="0" t="n">
        <v>1351000</v>
      </c>
      <c r="B14" s="0" t="n">
        <f aca="false">A14*1.5</f>
        <v>2026500</v>
      </c>
    </row>
    <row r="15" customFormat="false" ht="15" hidden="false" customHeight="false" outlineLevel="0" collapsed="false">
      <c r="A15" s="0" t="n">
        <v>2123000</v>
      </c>
      <c r="B15" s="0" t="n">
        <f aca="false">A15*1.5</f>
        <v>3184500</v>
      </c>
    </row>
    <row r="16" customFormat="false" ht="15" hidden="false" customHeight="false" outlineLevel="0" collapsed="false">
      <c r="A16" s="0" t="n">
        <v>1930000</v>
      </c>
      <c r="B16" s="0" t="n">
        <f aca="false">A16*1.5</f>
        <v>2895000</v>
      </c>
    </row>
    <row r="17" customFormat="false" ht="15" hidden="false" customHeight="false" outlineLevel="0" collapsed="false">
      <c r="A17" s="0" t="n">
        <v>2123000</v>
      </c>
      <c r="B17" s="0" t="n">
        <f aca="false">A17*1.5</f>
        <v>3184500</v>
      </c>
    </row>
    <row r="18" customFormat="false" ht="15" hidden="false" customHeight="false" outlineLevel="0" collapsed="false">
      <c r="A18" s="0" t="n">
        <v>1351000</v>
      </c>
      <c r="B18" s="0" t="n">
        <f aca="false">A18*1.5</f>
        <v>2026500</v>
      </c>
    </row>
    <row r="19" customFormat="false" ht="15" hidden="false" customHeight="false" outlineLevel="0" collapsed="false">
      <c r="A19" s="0" t="n">
        <v>2123000</v>
      </c>
      <c r="B19" s="0" t="n">
        <f aca="false">A19*1.5</f>
        <v>3184500</v>
      </c>
    </row>
    <row r="20" customFormat="false" ht="15" hidden="false" customHeight="false" outlineLevel="0" collapsed="false">
      <c r="A20" s="0" t="n">
        <v>1930000</v>
      </c>
      <c r="B20" s="0" t="n">
        <f aca="false">A20*1.5</f>
        <v>2895000</v>
      </c>
    </row>
    <row r="21" customFormat="false" ht="15" hidden="false" customHeight="false" outlineLevel="0" collapsed="false">
      <c r="A21" s="0" t="n">
        <v>3852000</v>
      </c>
      <c r="B21" s="0" t="n">
        <f aca="false">A21*1.5</f>
        <v>5778000</v>
      </c>
    </row>
    <row r="22" customFormat="false" ht="15" hidden="false" customHeight="false" outlineLevel="0" collapsed="false">
      <c r="A22" s="0" t="n">
        <v>2451000</v>
      </c>
      <c r="B22" s="0" t="n">
        <f aca="false">A22*1.5</f>
        <v>3676500</v>
      </c>
    </row>
    <row r="23" customFormat="false" ht="15" hidden="false" customHeight="false" outlineLevel="0" collapsed="false">
      <c r="A23" s="0" t="n">
        <v>3852200</v>
      </c>
      <c r="B23" s="0" t="n">
        <f aca="false">A23*1.5</f>
        <v>5778300</v>
      </c>
    </row>
    <row r="24" customFormat="false" ht="15" hidden="false" customHeight="false" outlineLevel="0" collapsed="false">
      <c r="A24" s="0" t="n">
        <v>3502000</v>
      </c>
      <c r="B24" s="0" t="n">
        <f aca="false">A24*1.5</f>
        <v>5253000</v>
      </c>
    </row>
    <row r="25" customFormat="false" ht="15" hidden="false" customHeight="false" outlineLevel="0" collapsed="false">
      <c r="A25" s="0" t="n">
        <v>3079000</v>
      </c>
      <c r="B25" s="0" t="n">
        <f aca="false">A25*1.5</f>
        <v>4618500</v>
      </c>
    </row>
    <row r="26" customFormat="false" ht="15" hidden="false" customHeight="false" outlineLevel="0" collapsed="false">
      <c r="A26" s="0" t="n">
        <v>1959000</v>
      </c>
      <c r="B26" s="0" t="n">
        <f aca="false">A26*1.5</f>
        <v>2938500</v>
      </c>
    </row>
    <row r="27" customFormat="false" ht="15" hidden="false" customHeight="false" outlineLevel="0" collapsed="false">
      <c r="A27" s="0" t="n">
        <v>3078900</v>
      </c>
      <c r="B27" s="0" t="n">
        <f aca="false">A27*1.5</f>
        <v>4618350</v>
      </c>
    </row>
    <row r="28" customFormat="false" ht="15" hidden="false" customHeight="false" outlineLevel="0" collapsed="false">
      <c r="A28" s="0" t="n">
        <v>2799000</v>
      </c>
      <c r="B28" s="0" t="n">
        <f aca="false">A28*1.5</f>
        <v>4198500</v>
      </c>
    </row>
    <row r="29" customFormat="false" ht="15" hidden="false" customHeight="false" outlineLevel="0" collapsed="false">
      <c r="A29" s="0" t="n">
        <v>1232000</v>
      </c>
      <c r="B29" s="0" t="n">
        <f aca="false">A29*1.5</f>
        <v>1848000</v>
      </c>
    </row>
    <row r="30" customFormat="false" ht="15" hidden="false" customHeight="false" outlineLevel="0" collapsed="false">
      <c r="A30" s="0" t="n">
        <v>784000</v>
      </c>
      <c r="B30" s="0" t="n">
        <f aca="false">A30*1.5</f>
        <v>1176000</v>
      </c>
    </row>
    <row r="31" customFormat="false" ht="15" hidden="false" customHeight="false" outlineLevel="0" collapsed="false">
      <c r="A31" s="0" t="n">
        <v>1232000</v>
      </c>
      <c r="B31" s="0" t="n">
        <f aca="false">A31*1.5</f>
        <v>1848000</v>
      </c>
    </row>
    <row r="32" customFormat="false" ht="15" hidden="false" customHeight="false" outlineLevel="0" collapsed="false">
      <c r="A32" s="0" t="n">
        <v>1120000</v>
      </c>
      <c r="B32" s="0" t="n">
        <f aca="false">A32*1.5</f>
        <v>1680000</v>
      </c>
    </row>
    <row r="33" customFormat="false" ht="15" hidden="false" customHeight="false" outlineLevel="0" collapsed="false">
      <c r="A33" s="0" t="n">
        <v>3852000</v>
      </c>
      <c r="B33" s="0" t="n">
        <f aca="false">A33*1.5</f>
        <v>5778000</v>
      </c>
    </row>
    <row r="34" customFormat="false" ht="15" hidden="false" customHeight="false" outlineLevel="0" collapsed="false">
      <c r="A34" s="0" t="n">
        <v>2451000</v>
      </c>
      <c r="B34" s="0" t="n">
        <f aca="false">A34*1.5</f>
        <v>3676500</v>
      </c>
    </row>
    <row r="35" customFormat="false" ht="15" hidden="false" customHeight="false" outlineLevel="0" collapsed="false">
      <c r="A35" s="0" t="n">
        <v>3852200</v>
      </c>
      <c r="B35" s="0" t="n">
        <f aca="false">A35*1.5</f>
        <v>5778300</v>
      </c>
    </row>
    <row r="36" customFormat="false" ht="15" hidden="false" customHeight="false" outlineLevel="0" collapsed="false">
      <c r="A36" s="0" t="n">
        <v>3502000</v>
      </c>
      <c r="B36" s="0" t="n">
        <f aca="false">A36*1.5</f>
        <v>5253000</v>
      </c>
    </row>
    <row r="37" customFormat="false" ht="15" hidden="false" customHeight="false" outlineLevel="0" collapsed="false">
      <c r="A37" s="0" t="n">
        <v>3079000</v>
      </c>
      <c r="B37" s="0" t="n">
        <f aca="false">A37*1.5</f>
        <v>4618500</v>
      </c>
    </row>
    <row r="38" customFormat="false" ht="15" hidden="false" customHeight="false" outlineLevel="0" collapsed="false">
      <c r="A38" s="0" t="n">
        <v>1959000</v>
      </c>
      <c r="B38" s="0" t="n">
        <f aca="false">A38*1.5</f>
        <v>2938500</v>
      </c>
    </row>
    <row r="39" customFormat="false" ht="15" hidden="false" customHeight="false" outlineLevel="0" collapsed="false">
      <c r="A39" s="0" t="n">
        <v>3078900</v>
      </c>
      <c r="B39" s="0" t="n">
        <f aca="false">A39*1.5</f>
        <v>4618350</v>
      </c>
    </row>
    <row r="40" customFormat="false" ht="15" hidden="false" customHeight="false" outlineLevel="0" collapsed="false">
      <c r="A40" s="0" t="n">
        <v>2799000</v>
      </c>
      <c r="B40" s="0" t="n">
        <f aca="false">A40*1.5</f>
        <v>4198500</v>
      </c>
    </row>
    <row r="41" customFormat="false" ht="15" hidden="false" customHeight="false" outlineLevel="0" collapsed="false">
      <c r="A41" s="0" t="n">
        <v>1232000</v>
      </c>
      <c r="B41" s="0" t="n">
        <f aca="false">A41*1.5</f>
        <v>1848000</v>
      </c>
    </row>
    <row r="42" customFormat="false" ht="15" hidden="false" customHeight="false" outlineLevel="0" collapsed="false">
      <c r="A42" s="0" t="n">
        <v>784000</v>
      </c>
      <c r="B42" s="0" t="n">
        <f aca="false">A42*1.5</f>
        <v>1176000</v>
      </c>
    </row>
    <row r="43" customFormat="false" ht="15" hidden="false" customHeight="false" outlineLevel="0" collapsed="false">
      <c r="A43" s="0" t="n">
        <v>1232000</v>
      </c>
      <c r="B43" s="0" t="n">
        <f aca="false">A43*1.5</f>
        <v>1848000</v>
      </c>
    </row>
    <row r="44" customFormat="false" ht="15" hidden="false" customHeight="false" outlineLevel="0" collapsed="false">
      <c r="A44" s="0" t="n">
        <v>1120000</v>
      </c>
      <c r="B44" s="0" t="n">
        <f aca="false">A44*1.5</f>
        <v>1680000</v>
      </c>
    </row>
    <row r="45" customFormat="false" ht="15" hidden="false" customHeight="false" outlineLevel="0" collapsed="false">
      <c r="A45" s="0" t="n">
        <v>3852000</v>
      </c>
      <c r="B45" s="0" t="n">
        <f aca="false">A45*1.5</f>
        <v>5778000</v>
      </c>
    </row>
    <row r="46" customFormat="false" ht="15" hidden="false" customHeight="false" outlineLevel="0" collapsed="false">
      <c r="A46" s="0" t="n">
        <v>2451000</v>
      </c>
      <c r="B46" s="0" t="n">
        <f aca="false">A46*1.5</f>
        <v>3676500</v>
      </c>
    </row>
    <row r="47" customFormat="false" ht="15" hidden="false" customHeight="false" outlineLevel="0" collapsed="false">
      <c r="A47" s="0" t="n">
        <v>3852200</v>
      </c>
      <c r="B47" s="0" t="n">
        <f aca="false">A47*1.5</f>
        <v>5778300</v>
      </c>
    </row>
    <row r="48" customFormat="false" ht="15" hidden="false" customHeight="false" outlineLevel="0" collapsed="false">
      <c r="A48" s="0" t="n">
        <v>3502000</v>
      </c>
      <c r="B48" s="0" t="n">
        <f aca="false">A48*1.5</f>
        <v>5253000</v>
      </c>
    </row>
    <row r="49" customFormat="false" ht="15" hidden="false" customHeight="false" outlineLevel="0" collapsed="false">
      <c r="A49" s="0" t="n">
        <v>3079000</v>
      </c>
      <c r="B49" s="0" t="n">
        <f aca="false">A49*1.5</f>
        <v>4618500</v>
      </c>
    </row>
    <row r="50" customFormat="false" ht="15" hidden="false" customHeight="false" outlineLevel="0" collapsed="false">
      <c r="A50" s="0" t="n">
        <v>1959000</v>
      </c>
      <c r="B50" s="0" t="n">
        <f aca="false">A50*1.5</f>
        <v>2938500</v>
      </c>
    </row>
    <row r="51" customFormat="false" ht="15" hidden="false" customHeight="false" outlineLevel="0" collapsed="false">
      <c r="A51" s="0" t="n">
        <v>3078900</v>
      </c>
      <c r="B51" s="0" t="n">
        <f aca="false">A51*1.5</f>
        <v>4618350</v>
      </c>
    </row>
    <row r="52" customFormat="false" ht="15" hidden="false" customHeight="false" outlineLevel="0" collapsed="false">
      <c r="A52" s="0" t="n">
        <v>2799000</v>
      </c>
      <c r="B52" s="0" t="n">
        <f aca="false">A52*1.5</f>
        <v>4198500</v>
      </c>
    </row>
    <row r="53" customFormat="false" ht="15" hidden="false" customHeight="false" outlineLevel="0" collapsed="false">
      <c r="A53" s="0" t="n">
        <v>1232000</v>
      </c>
      <c r="B53" s="0" t="n">
        <f aca="false">A53*1.5</f>
        <v>1848000</v>
      </c>
    </row>
    <row r="54" customFormat="false" ht="15" hidden="false" customHeight="false" outlineLevel="0" collapsed="false">
      <c r="A54" s="0" t="n">
        <v>784000</v>
      </c>
      <c r="B54" s="0" t="n">
        <f aca="false">A54*1.5</f>
        <v>1176000</v>
      </c>
    </row>
    <row r="55" customFormat="false" ht="15" hidden="false" customHeight="false" outlineLevel="0" collapsed="false">
      <c r="A55" s="0" t="n">
        <v>1232000</v>
      </c>
      <c r="B55" s="0" t="n">
        <f aca="false">A55*1.5</f>
        <v>1848000</v>
      </c>
    </row>
    <row r="56" customFormat="false" ht="15" hidden="false" customHeight="false" outlineLevel="0" collapsed="false">
      <c r="A56" s="0" t="n">
        <v>1120000</v>
      </c>
      <c r="B56" s="0" t="n">
        <f aca="false">A56*1.5</f>
        <v>1680000</v>
      </c>
    </row>
    <row r="57" customFormat="false" ht="15" hidden="false" customHeight="false" outlineLevel="0" collapsed="false">
      <c r="A57" s="0" t="n">
        <v>3852000</v>
      </c>
      <c r="B57" s="0" t="n">
        <f aca="false">A57*1.5</f>
        <v>5778000</v>
      </c>
    </row>
    <row r="58" customFormat="false" ht="15" hidden="false" customHeight="false" outlineLevel="0" collapsed="false">
      <c r="A58" s="0" t="n">
        <v>2451000</v>
      </c>
      <c r="B58" s="0" t="n">
        <f aca="false">A58*1.5</f>
        <v>3676500</v>
      </c>
    </row>
    <row r="59" customFormat="false" ht="15" hidden="false" customHeight="false" outlineLevel="0" collapsed="false">
      <c r="A59" s="0" t="n">
        <v>3852200</v>
      </c>
      <c r="B59" s="0" t="n">
        <f aca="false">A59*1.5</f>
        <v>5778300</v>
      </c>
    </row>
    <row r="60" customFormat="false" ht="15" hidden="false" customHeight="false" outlineLevel="0" collapsed="false">
      <c r="A60" s="0" t="n">
        <v>3502000</v>
      </c>
      <c r="B60" s="0" t="n">
        <f aca="false">A60*1.5</f>
        <v>5253000</v>
      </c>
    </row>
    <row r="61" customFormat="false" ht="15" hidden="false" customHeight="false" outlineLevel="0" collapsed="false">
      <c r="A61" s="0" t="n">
        <v>3079000</v>
      </c>
      <c r="B61" s="0" t="n">
        <f aca="false">A61*1.5</f>
        <v>4618500</v>
      </c>
    </row>
    <row r="62" customFormat="false" ht="15" hidden="false" customHeight="false" outlineLevel="0" collapsed="false">
      <c r="A62" s="0" t="n">
        <v>1959000</v>
      </c>
      <c r="B62" s="0" t="n">
        <f aca="false">A62*1.5</f>
        <v>2938500</v>
      </c>
    </row>
    <row r="63" customFormat="false" ht="15" hidden="false" customHeight="false" outlineLevel="0" collapsed="false">
      <c r="A63" s="0" t="n">
        <v>3078900</v>
      </c>
      <c r="B63" s="0" t="n">
        <f aca="false">A63*1.5</f>
        <v>4618350</v>
      </c>
    </row>
    <row r="64" customFormat="false" ht="15" hidden="false" customHeight="false" outlineLevel="0" collapsed="false">
      <c r="A64" s="0" t="n">
        <v>2799000</v>
      </c>
      <c r="B64" s="0" t="n">
        <f aca="false">A64*1.5</f>
        <v>4198500</v>
      </c>
    </row>
    <row r="65" customFormat="false" ht="15" hidden="false" customHeight="false" outlineLevel="0" collapsed="false">
      <c r="A65" s="0" t="n">
        <v>1232000</v>
      </c>
      <c r="B65" s="0" t="n">
        <f aca="false">A65*1.5</f>
        <v>1848000</v>
      </c>
    </row>
    <row r="66" customFormat="false" ht="15" hidden="false" customHeight="false" outlineLevel="0" collapsed="false">
      <c r="A66" s="0" t="n">
        <v>784000</v>
      </c>
      <c r="B66" s="0" t="n">
        <f aca="false">A66*1.5</f>
        <v>1176000</v>
      </c>
    </row>
    <row r="67" customFormat="false" ht="15" hidden="false" customHeight="false" outlineLevel="0" collapsed="false">
      <c r="A67" s="0" t="n">
        <v>1232000</v>
      </c>
      <c r="B67" s="0" t="n">
        <f aca="false">A67*1.5</f>
        <v>1848000</v>
      </c>
    </row>
    <row r="68" customFormat="false" ht="15" hidden="false" customHeight="false" outlineLevel="0" collapsed="false">
      <c r="A68" s="0" t="n">
        <v>1120000</v>
      </c>
      <c r="B68" s="0" t="n">
        <f aca="false">A68*1.5</f>
        <v>1680000</v>
      </c>
    </row>
    <row r="69" customFormat="false" ht="15" hidden="false" customHeight="false" outlineLevel="0" collapsed="false">
      <c r="A69" s="0" t="n">
        <v>3852000</v>
      </c>
      <c r="B69" s="0" t="n">
        <f aca="false">A69*1.5</f>
        <v>5778000</v>
      </c>
    </row>
    <row r="70" customFormat="false" ht="15" hidden="false" customHeight="false" outlineLevel="0" collapsed="false">
      <c r="A70" s="0" t="n">
        <v>2451000</v>
      </c>
      <c r="B70" s="0" t="n">
        <f aca="false">A70*1.5</f>
        <v>3676500</v>
      </c>
    </row>
    <row r="71" customFormat="false" ht="15" hidden="false" customHeight="false" outlineLevel="0" collapsed="false">
      <c r="A71" s="0" t="n">
        <v>3852200</v>
      </c>
      <c r="B71" s="0" t="n">
        <f aca="false">A71*1.5</f>
        <v>5778300</v>
      </c>
    </row>
    <row r="72" customFormat="false" ht="15" hidden="false" customHeight="false" outlineLevel="0" collapsed="false">
      <c r="A72" s="0" t="n">
        <v>3502000</v>
      </c>
      <c r="B72" s="0" t="n">
        <f aca="false">A72*1.5</f>
        <v>5253000</v>
      </c>
    </row>
    <row r="73" customFormat="false" ht="15" hidden="false" customHeight="false" outlineLevel="0" collapsed="false">
      <c r="A73" s="0" t="n">
        <v>3079000</v>
      </c>
      <c r="B73" s="0" t="n">
        <f aca="false">A73*1.5</f>
        <v>4618500</v>
      </c>
    </row>
    <row r="74" customFormat="false" ht="15" hidden="false" customHeight="false" outlineLevel="0" collapsed="false">
      <c r="A74" s="0" t="n">
        <v>1959000</v>
      </c>
      <c r="B74" s="0" t="n">
        <f aca="false">A74*1.5</f>
        <v>2938500</v>
      </c>
    </row>
    <row r="75" customFormat="false" ht="15" hidden="false" customHeight="false" outlineLevel="0" collapsed="false">
      <c r="A75" s="0" t="n">
        <v>3078900</v>
      </c>
      <c r="B75" s="0" t="n">
        <f aca="false">A75*1.5</f>
        <v>4618350</v>
      </c>
    </row>
    <row r="76" customFormat="false" ht="15" hidden="false" customHeight="false" outlineLevel="0" collapsed="false">
      <c r="A76" s="0" t="n">
        <v>2799000</v>
      </c>
      <c r="B76" s="0" t="n">
        <f aca="false">A76*1.5</f>
        <v>4198500</v>
      </c>
    </row>
    <row r="77" customFormat="false" ht="15" hidden="false" customHeight="false" outlineLevel="0" collapsed="false">
      <c r="A77" s="0" t="n">
        <v>1232000</v>
      </c>
      <c r="B77" s="0" t="n">
        <f aca="false">A77*1.5</f>
        <v>1848000</v>
      </c>
    </row>
    <row r="78" customFormat="false" ht="15" hidden="false" customHeight="false" outlineLevel="0" collapsed="false">
      <c r="A78" s="0" t="n">
        <v>784000</v>
      </c>
      <c r="B78" s="0" t="n">
        <f aca="false">A78*1.5</f>
        <v>1176000</v>
      </c>
    </row>
    <row r="79" customFormat="false" ht="15" hidden="false" customHeight="false" outlineLevel="0" collapsed="false">
      <c r="A79" s="0" t="n">
        <v>1232000</v>
      </c>
      <c r="B79" s="0" t="n">
        <f aca="false">A79*1.5</f>
        <v>1848000</v>
      </c>
    </row>
    <row r="80" customFormat="false" ht="15" hidden="false" customHeight="false" outlineLevel="0" collapsed="false">
      <c r="A80" s="0" t="n">
        <v>1120000</v>
      </c>
      <c r="B80" s="0" t="n">
        <f aca="false">A80*1.5</f>
        <v>1680000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U211"/>
  <sheetViews>
    <sheetView showFormulas="false" showGridLines="true" showRowColHeaders="true" showZeros="true" rightToLeft="false" tabSelected="false" showOutlineSymbols="true" defaultGridColor="true" view="normal" topLeftCell="I1" colorId="64" zoomScale="110" zoomScaleNormal="110" zoomScalePageLayoutView="100" workbookViewId="0">
      <selection pane="topLeft" activeCell="M23" activeCellId="0" sqref="M23"/>
    </sheetView>
  </sheetViews>
  <sheetFormatPr defaultRowHeight="13.8" zeroHeight="false" outlineLevelRow="0" outlineLevelCol="0"/>
  <cols>
    <col collapsed="false" customWidth="true" hidden="false" outlineLevel="0" max="1" min="1" style="0" width="13.76"/>
    <col collapsed="false" customWidth="true" hidden="false" outlineLevel="0" max="2" min="2" style="0" width="22.23"/>
    <col collapsed="false" customWidth="false" hidden="false" outlineLevel="0" max="47" min="3" style="23" width="11.52"/>
  </cols>
  <sheetData>
    <row r="1" customFormat="false" ht="13.8" hidden="false" customHeight="false" outlineLevel="0" collapsed="false">
      <c r="A1" s="0" t="s">
        <v>98</v>
      </c>
      <c r="B1" s="0" t="s">
        <v>100</v>
      </c>
      <c r="C1" s="24" t="s">
        <v>52</v>
      </c>
      <c r="D1" s="24" t="s">
        <v>53</v>
      </c>
      <c r="E1" s="24" t="s">
        <v>54</v>
      </c>
      <c r="F1" s="24" t="s">
        <v>55</v>
      </c>
      <c r="G1" s="24" t="s">
        <v>56</v>
      </c>
      <c r="H1" s="24" t="s">
        <v>57</v>
      </c>
      <c r="I1" s="24" t="s">
        <v>58</v>
      </c>
      <c r="J1" s="24" t="s">
        <v>59</v>
      </c>
      <c r="K1" s="24" t="s">
        <v>60</v>
      </c>
      <c r="L1" s="24" t="s">
        <v>61</v>
      </c>
      <c r="M1" s="24" t="s">
        <v>62</v>
      </c>
      <c r="N1" s="24" t="s">
        <v>63</v>
      </c>
      <c r="O1" s="24" t="s">
        <v>64</v>
      </c>
      <c r="P1" s="24" t="s">
        <v>65</v>
      </c>
      <c r="Q1" s="24" t="s">
        <v>66</v>
      </c>
      <c r="R1" s="24" t="s">
        <v>67</v>
      </c>
      <c r="S1" s="24" t="s">
        <v>68</v>
      </c>
      <c r="T1" s="24" t="s">
        <v>69</v>
      </c>
      <c r="U1" s="24" t="s">
        <v>70</v>
      </c>
      <c r="V1" s="24" t="s">
        <v>71</v>
      </c>
      <c r="W1" s="24" t="s">
        <v>72</v>
      </c>
      <c r="X1" s="24" t="s">
        <v>73</v>
      </c>
      <c r="Y1" s="24" t="s">
        <v>74</v>
      </c>
      <c r="Z1" s="24" t="s">
        <v>75</v>
      </c>
      <c r="AA1" s="24" t="s">
        <v>76</v>
      </c>
      <c r="AB1" s="24" t="s">
        <v>77</v>
      </c>
      <c r="AC1" s="24" t="s">
        <v>78</v>
      </c>
      <c r="AD1" s="24" t="s">
        <v>79</v>
      </c>
      <c r="AE1" s="24" t="s">
        <v>80</v>
      </c>
      <c r="AF1" s="24" t="s">
        <v>81</v>
      </c>
      <c r="AG1" s="24" t="s">
        <v>82</v>
      </c>
      <c r="AH1" s="24" t="s">
        <v>83</v>
      </c>
      <c r="AI1" s="24" t="s">
        <v>84</v>
      </c>
      <c r="AJ1" s="24" t="s">
        <v>85</v>
      </c>
      <c r="AK1" s="24" t="s">
        <v>86</v>
      </c>
      <c r="AL1" s="24" t="s">
        <v>87</v>
      </c>
      <c r="AM1" s="24" t="s">
        <v>88</v>
      </c>
      <c r="AN1" s="24" t="s">
        <v>89</v>
      </c>
      <c r="AO1" s="24" t="s">
        <v>90</v>
      </c>
      <c r="AP1" s="24" t="s">
        <v>91</v>
      </c>
      <c r="AQ1" s="24" t="s">
        <v>92</v>
      </c>
      <c r="AR1" s="24" t="s">
        <v>93</v>
      </c>
      <c r="AS1" s="24" t="s">
        <v>94</v>
      </c>
      <c r="AT1" s="24" t="s">
        <v>95</v>
      </c>
      <c r="AU1" s="24" t="s">
        <v>96</v>
      </c>
    </row>
    <row r="2" customFormat="false" ht="13.8" hidden="false" customHeight="false" outlineLevel="0" collapsed="false">
      <c r="A2" s="11" t="s">
        <v>52</v>
      </c>
      <c r="B2" s="0" t="s">
        <v>112</v>
      </c>
      <c r="C2" s="23" t="str">
        <f aca="false">IF('TASKS AND ROAD SEGMENT MATRIX'!P2-1&gt;0,'TASKS AND ROAD SEGMENT MATRIX'!P2-1,"-")</f>
        <v>-</v>
      </c>
      <c r="D2" s="23" t="str">
        <f aca="false">IF('TASKS AND ROAD SEGMENT MATRIX'!Q2-1&gt;0,'TASKS AND ROAD SEGMENT MATRIX'!Q2-1,"-")</f>
        <v>-</v>
      </c>
      <c r="E2" s="23" t="n">
        <f aca="false">IF('TASKS AND ROAD SEGMENT MATRIX'!R2-1&gt;0,'TASKS AND ROAD SEGMENT MATRIX'!R2-1,"-")</f>
        <v>0.60302041926325</v>
      </c>
      <c r="F2" s="23" t="n">
        <f aca="false">IF('TASKS AND ROAD SEGMENT MATRIX'!S2-1&gt;0,'TASKS AND ROAD SEGMENT MATRIX'!S2-1,"-")</f>
        <v>0.301510209631625</v>
      </c>
      <c r="G2" s="23" t="n">
        <f aca="false">IF('TASKS AND ROAD SEGMENT MATRIX'!T2-1&gt;0,'TASKS AND ROAD SEGMENT MATRIX'!T2-1,"-")</f>
        <v>0.301510209631625</v>
      </c>
      <c r="H2" s="23" t="n">
        <f aca="false">IF('TASKS AND ROAD SEGMENT MATRIX'!U2-1&gt;0,'TASKS AND ROAD SEGMENT MATRIX'!U2-1,"-")</f>
        <v>0.60302041926325</v>
      </c>
      <c r="I2" s="23" t="str">
        <f aca="false">IF('TASKS AND ROAD SEGMENT MATRIX'!V2-1&gt;0,'TASKS AND ROAD SEGMENT MATRIX'!V2-1,"-")</f>
        <v>-</v>
      </c>
      <c r="J2" s="23" t="str">
        <f aca="false">IF('TASKS AND ROAD SEGMENT MATRIX'!W2-1&gt;0,'TASKS AND ROAD SEGMENT MATRIX'!W2-1,"-")</f>
        <v>-</v>
      </c>
      <c r="K2" s="23" t="str">
        <f aca="false">IF('TASKS AND ROAD SEGMENT MATRIX'!X2-1&gt;0,'TASKS AND ROAD SEGMENT MATRIX'!X2-1,"-")</f>
        <v>-</v>
      </c>
      <c r="L2" s="23" t="str">
        <f aca="false">IF('TASKS AND ROAD SEGMENT MATRIX'!Y2-1&gt;0,'TASKS AND ROAD SEGMENT MATRIX'!Y2-1,"-")</f>
        <v>-</v>
      </c>
      <c r="M2" s="23" t="str">
        <f aca="false">IF('TASKS AND ROAD SEGMENT MATRIX'!Z2-1&gt;0,'TASKS AND ROAD SEGMENT MATRIX'!Z2-1,"-")</f>
        <v>-</v>
      </c>
      <c r="N2" s="23" t="str">
        <f aca="false">IF('TASKS AND ROAD SEGMENT MATRIX'!AA2-1&gt;0,'TASKS AND ROAD SEGMENT MATRIX'!AA2-1,"-")</f>
        <v>-</v>
      </c>
      <c r="O2" s="23" t="str">
        <f aca="false">IF('TASKS AND ROAD SEGMENT MATRIX'!AB2-1&gt;0,'TASKS AND ROAD SEGMENT MATRIX'!AB2-1,"-")</f>
        <v>-</v>
      </c>
      <c r="P2" s="23" t="str">
        <f aca="false">IF('TASKS AND ROAD SEGMENT MATRIX'!AC2-1&gt;0,'TASKS AND ROAD SEGMENT MATRIX'!AC2-1,"-")</f>
        <v>-</v>
      </c>
      <c r="Q2" s="23" t="str">
        <f aca="false">IF('TASKS AND ROAD SEGMENT MATRIX'!AD2-1&gt;0,'TASKS AND ROAD SEGMENT MATRIX'!AD2-1,"-")</f>
        <v>-</v>
      </c>
      <c r="R2" s="23" t="str">
        <f aca="false">IF('TASKS AND ROAD SEGMENT MATRIX'!AE2-1&gt;0,'TASKS AND ROAD SEGMENT MATRIX'!AE2-1,"-")</f>
        <v>-</v>
      </c>
      <c r="S2" s="23" t="str">
        <f aca="false">IF('TASKS AND ROAD SEGMENT MATRIX'!AF2-1&gt;0,'TASKS AND ROAD SEGMENT MATRIX'!AF2-1,"-")</f>
        <v>-</v>
      </c>
      <c r="T2" s="23" t="n">
        <f aca="false">IF('TASKS AND ROAD SEGMENT MATRIX'!AG2-1&gt;0,'TASKS AND ROAD SEGMENT MATRIX'!AG2-1,"-")</f>
        <v>0.301510209631625</v>
      </c>
      <c r="U2" s="23" t="str">
        <f aca="false">IF('TASKS AND ROAD SEGMENT MATRIX'!AH2-1&gt;0,'TASKS AND ROAD SEGMENT MATRIX'!AH2-1,"-")</f>
        <v>-</v>
      </c>
      <c r="V2" s="23" t="str">
        <f aca="false">IF('TASKS AND ROAD SEGMENT MATRIX'!AI2-1&gt;0,'TASKS AND ROAD SEGMENT MATRIX'!AI2-1,"-")</f>
        <v>-</v>
      </c>
      <c r="W2" s="23" t="n">
        <f aca="false">IF('TASKS AND ROAD SEGMENT MATRIX'!AJ2-1&gt;0,'TASKS AND ROAD SEGMENT MATRIX'!AJ2-1,"-")</f>
        <v>0.301510209631625</v>
      </c>
      <c r="X2" s="23" t="str">
        <f aca="false">IF('TASKS AND ROAD SEGMENT MATRIX'!AK2-1&gt;0,'TASKS AND ROAD SEGMENT MATRIX'!AK2-1,"-")</f>
        <v>-</v>
      </c>
      <c r="Y2" s="23" t="str">
        <f aca="false">IF('TASKS AND ROAD SEGMENT MATRIX'!AL2-1&gt;0,'TASKS AND ROAD SEGMENT MATRIX'!AL2-1,"-")</f>
        <v>-</v>
      </c>
      <c r="Z2" s="23" t="str">
        <f aca="false">IF('TASKS AND ROAD SEGMENT MATRIX'!AM2-1&gt;0,'TASKS AND ROAD SEGMENT MATRIX'!AM2-1,"-")</f>
        <v>-</v>
      </c>
      <c r="AA2" s="23" t="str">
        <f aca="false">IF('TASKS AND ROAD SEGMENT MATRIX'!AN2-1&gt;0,'TASKS AND ROAD SEGMENT MATRIX'!AN2-1,"-")</f>
        <v>-</v>
      </c>
      <c r="AB2" s="23" t="str">
        <f aca="false">IF('TASKS AND ROAD SEGMENT MATRIX'!AO2-1&gt;0,'TASKS AND ROAD SEGMENT MATRIX'!AO2-1,"-")</f>
        <v>-</v>
      </c>
      <c r="AC2" s="23" t="str">
        <f aca="false">IF('TASKS AND ROAD SEGMENT MATRIX'!AP2-1&gt;0,'TASKS AND ROAD SEGMENT MATRIX'!AP2-1,"-")</f>
        <v>-</v>
      </c>
      <c r="AD2" s="23" t="str">
        <f aca="false">IF('TASKS AND ROAD SEGMENT MATRIX'!AQ2-1&gt;0,'TASKS AND ROAD SEGMENT MATRIX'!AQ2-1,"-")</f>
        <v>-</v>
      </c>
      <c r="AE2" s="23" t="str">
        <f aca="false">IF('TASKS AND ROAD SEGMENT MATRIX'!AR2-1&gt;0,'TASKS AND ROAD SEGMENT MATRIX'!AR2-1,"-")</f>
        <v>-</v>
      </c>
      <c r="AF2" s="23" t="str">
        <f aca="false">IF('TASKS AND ROAD SEGMENT MATRIX'!AS2-1&gt;0,'TASKS AND ROAD SEGMENT MATRIX'!AS2-1,"-")</f>
        <v>-</v>
      </c>
      <c r="AG2" s="23" t="str">
        <f aca="false">IF('TASKS AND ROAD SEGMENT MATRIX'!AT2-1&gt;0,'TASKS AND ROAD SEGMENT MATRIX'!AT2-1,"-")</f>
        <v>-</v>
      </c>
      <c r="AH2" s="23" t="str">
        <f aca="false">IF('TASKS AND ROAD SEGMENT MATRIX'!AU2-1&gt;0,'TASKS AND ROAD SEGMENT MATRIX'!AU2-1,"-")</f>
        <v>-</v>
      </c>
      <c r="AI2" s="23" t="str">
        <f aca="false">IF('TASKS AND ROAD SEGMENT MATRIX'!AV2-1&gt;0,'TASKS AND ROAD SEGMENT MATRIX'!AV2-1,"-")</f>
        <v>-</v>
      </c>
      <c r="AJ2" s="23" t="str">
        <f aca="false">IF('TASKS AND ROAD SEGMENT MATRIX'!AW2-1&gt;0,'TASKS AND ROAD SEGMENT MATRIX'!AW2-1,"-")</f>
        <v>-</v>
      </c>
      <c r="AK2" s="23" t="str">
        <f aca="false">IF('TASKS AND ROAD SEGMENT MATRIX'!AX2-1&gt;0,'TASKS AND ROAD SEGMENT MATRIX'!AX2-1,"-")</f>
        <v>-</v>
      </c>
      <c r="AL2" s="23" t="str">
        <f aca="false">IF('TASKS AND ROAD SEGMENT MATRIX'!AY2-1&gt;0,'TASKS AND ROAD SEGMENT MATRIX'!AY2-1,"-")</f>
        <v>-</v>
      </c>
      <c r="AM2" s="23" t="str">
        <f aca="false">IF('TASKS AND ROAD SEGMENT MATRIX'!AZ2-1&gt;0,'TASKS AND ROAD SEGMENT MATRIX'!AZ2-1,"-")</f>
        <v>-</v>
      </c>
      <c r="AN2" s="23" t="str">
        <f aca="false">IF('TASKS AND ROAD SEGMENT MATRIX'!BA2-1&gt;0,'TASKS AND ROAD SEGMENT MATRIX'!BA2-1,"-")</f>
        <v>-</v>
      </c>
      <c r="AO2" s="23" t="str">
        <f aca="false">IF('TASKS AND ROAD SEGMENT MATRIX'!BB2-1&gt;0,'TASKS AND ROAD SEGMENT MATRIX'!BB2-1,"-")</f>
        <v>-</v>
      </c>
      <c r="AP2" s="23" t="str">
        <f aca="false">IF('TASKS AND ROAD SEGMENT MATRIX'!BC2-1&gt;0,'TASKS AND ROAD SEGMENT MATRIX'!BC2-1,"-")</f>
        <v>-</v>
      </c>
      <c r="AQ2" s="23" t="str">
        <f aca="false">IF('TASKS AND ROAD SEGMENT MATRIX'!BD2-1&gt;0,'TASKS AND ROAD SEGMENT MATRIX'!BD2-1,"-")</f>
        <v>-</v>
      </c>
      <c r="AR2" s="23" t="n">
        <f aca="false">IF('TASKS AND ROAD SEGMENT MATRIX'!BE2-1&gt;0,'TASKS AND ROAD SEGMENT MATRIX'!BE2-1,"-")</f>
        <v>0.60302041926325</v>
      </c>
      <c r="AS2" s="23" t="n">
        <f aca="false">IF('TASKS AND ROAD SEGMENT MATRIX'!BF2-1&gt;0,'TASKS AND ROAD SEGMENT MATRIX'!BF2-1,"-")</f>
        <v>0.60302041926325</v>
      </c>
      <c r="AT2" s="23" t="n">
        <f aca="false">IF('TASKS AND ROAD SEGMENT MATRIX'!BG2-1&gt;0,'TASKS AND ROAD SEGMENT MATRIX'!BG2-1,"-")</f>
        <v>0.301510209631625</v>
      </c>
      <c r="AU2" s="23" t="str">
        <f aca="false">IF('TASKS AND ROAD SEGMENT MATRIX'!BH2-1&gt;0,'TASKS AND ROAD SEGMENT MATRIX'!BH2-1,"-")</f>
        <v>-</v>
      </c>
    </row>
    <row r="3" customFormat="false" ht="13.8" hidden="false" customHeight="false" outlineLevel="0" collapsed="false">
      <c r="A3" s="11" t="s">
        <v>52</v>
      </c>
      <c r="B3" s="0" t="s">
        <v>115</v>
      </c>
      <c r="C3" s="23" t="n">
        <f aca="false">IF('TASKS AND ROAD SEGMENT MATRIX'!P3-1&gt;0,'TASKS AND ROAD SEGMENT MATRIX'!P3-1,"-")</f>
        <v>0.904530628894875</v>
      </c>
      <c r="D3" s="23" t="n">
        <f aca="false">IF('TASKS AND ROAD SEGMENT MATRIX'!Q3-1&gt;0,'TASKS AND ROAD SEGMENT MATRIX'!Q3-1,"-")</f>
        <v>0.904530628894875</v>
      </c>
      <c r="E3" s="23" t="n">
        <f aca="false">IF('TASKS AND ROAD SEGMENT MATRIX'!R3-1&gt;0,'TASKS AND ROAD SEGMENT MATRIX'!R3-1,"-")</f>
        <v>0.904530628894875</v>
      </c>
      <c r="F3" s="23" t="n">
        <f aca="false">IF('TASKS AND ROAD SEGMENT MATRIX'!S3-1&gt;0,'TASKS AND ROAD SEGMENT MATRIX'!S3-1,"-")</f>
        <v>0.452265314447438</v>
      </c>
      <c r="G3" s="23" t="n">
        <f aca="false">IF('TASKS AND ROAD SEGMENT MATRIX'!T3-1&gt;0,'TASKS AND ROAD SEGMENT MATRIX'!T3-1,"-")</f>
        <v>0.452265314447438</v>
      </c>
      <c r="H3" s="23" t="n">
        <f aca="false">IF('TASKS AND ROAD SEGMENT MATRIX'!U3-1&gt;0,'TASKS AND ROAD SEGMENT MATRIX'!U3-1,"-")</f>
        <v>0.904530628894875</v>
      </c>
      <c r="I3" s="23" t="str">
        <f aca="false">IF('TASKS AND ROAD SEGMENT MATRIX'!V3-1&gt;0,'TASKS AND ROAD SEGMENT MATRIX'!V3-1,"-")</f>
        <v>-</v>
      </c>
      <c r="J3" s="23" t="str">
        <f aca="false">IF('TASKS AND ROAD SEGMENT MATRIX'!W3-1&gt;0,'TASKS AND ROAD SEGMENT MATRIX'!W3-1,"-")</f>
        <v>-</v>
      </c>
      <c r="K3" s="23" t="str">
        <f aca="false">IF('TASKS AND ROAD SEGMENT MATRIX'!X3-1&gt;0,'TASKS AND ROAD SEGMENT MATRIX'!X3-1,"-")</f>
        <v>-</v>
      </c>
      <c r="L3" s="23" t="str">
        <f aca="false">IF('TASKS AND ROAD SEGMENT MATRIX'!Y3-1&gt;0,'TASKS AND ROAD SEGMENT MATRIX'!Y3-1,"-")</f>
        <v>-</v>
      </c>
      <c r="M3" s="23" t="str">
        <f aca="false">IF('TASKS AND ROAD SEGMENT MATRIX'!Z3-1&gt;0,'TASKS AND ROAD SEGMENT MATRIX'!Z3-1,"-")</f>
        <v>-</v>
      </c>
      <c r="N3" s="23" t="str">
        <f aca="false">IF('TASKS AND ROAD SEGMENT MATRIX'!AA3-1&gt;0,'TASKS AND ROAD SEGMENT MATRIX'!AA3-1,"-")</f>
        <v>-</v>
      </c>
      <c r="O3" s="23" t="str">
        <f aca="false">IF('TASKS AND ROAD SEGMENT MATRIX'!AB3-1&gt;0,'TASKS AND ROAD SEGMENT MATRIX'!AB3-1,"-")</f>
        <v>-</v>
      </c>
      <c r="P3" s="23" t="str">
        <f aca="false">IF('TASKS AND ROAD SEGMENT MATRIX'!AC3-1&gt;0,'TASKS AND ROAD SEGMENT MATRIX'!AC3-1,"-")</f>
        <v>-</v>
      </c>
      <c r="Q3" s="23" t="str">
        <f aca="false">IF('TASKS AND ROAD SEGMENT MATRIX'!AD3-1&gt;0,'TASKS AND ROAD SEGMENT MATRIX'!AD3-1,"-")</f>
        <v>-</v>
      </c>
      <c r="R3" s="23" t="str">
        <f aca="false">IF('TASKS AND ROAD SEGMENT MATRIX'!AE3-1&gt;0,'TASKS AND ROAD SEGMENT MATRIX'!AE3-1,"-")</f>
        <v>-</v>
      </c>
      <c r="S3" s="23" t="str">
        <f aca="false">IF('TASKS AND ROAD SEGMENT MATRIX'!AF3-1&gt;0,'TASKS AND ROAD SEGMENT MATRIX'!AF3-1,"-")</f>
        <v>-</v>
      </c>
      <c r="T3" s="23" t="n">
        <f aca="false">IF('TASKS AND ROAD SEGMENT MATRIX'!AG3-1&gt;0,'TASKS AND ROAD SEGMENT MATRIX'!AG3-1,"-")</f>
        <v>0.452265314447438</v>
      </c>
      <c r="U3" s="23" t="str">
        <f aca="false">IF('TASKS AND ROAD SEGMENT MATRIX'!AH3-1&gt;0,'TASKS AND ROAD SEGMENT MATRIX'!AH3-1,"-")</f>
        <v>-</v>
      </c>
      <c r="V3" s="23" t="str">
        <f aca="false">IF('TASKS AND ROAD SEGMENT MATRIX'!AI3-1&gt;0,'TASKS AND ROAD SEGMENT MATRIX'!AI3-1,"-")</f>
        <v>-</v>
      </c>
      <c r="W3" s="23" t="n">
        <f aca="false">IF('TASKS AND ROAD SEGMENT MATRIX'!AJ3-1&gt;0,'TASKS AND ROAD SEGMENT MATRIX'!AJ3-1,"-")</f>
        <v>0.452265314447438</v>
      </c>
      <c r="X3" s="23" t="str">
        <f aca="false">IF('TASKS AND ROAD SEGMENT MATRIX'!AK3-1&gt;0,'TASKS AND ROAD SEGMENT MATRIX'!AK3-1,"-")</f>
        <v>-</v>
      </c>
      <c r="Y3" s="23" t="str">
        <f aca="false">IF('TASKS AND ROAD SEGMENT MATRIX'!AL3-1&gt;0,'TASKS AND ROAD SEGMENT MATRIX'!AL3-1,"-")</f>
        <v>-</v>
      </c>
      <c r="Z3" s="23" t="str">
        <f aca="false">IF('TASKS AND ROAD SEGMENT MATRIX'!AM3-1&gt;0,'TASKS AND ROAD SEGMENT MATRIX'!AM3-1,"-")</f>
        <v>-</v>
      </c>
      <c r="AA3" s="23" t="str">
        <f aca="false">IF('TASKS AND ROAD SEGMENT MATRIX'!AN3-1&gt;0,'TASKS AND ROAD SEGMENT MATRIX'!AN3-1,"-")</f>
        <v>-</v>
      </c>
      <c r="AB3" s="23" t="str">
        <f aca="false">IF('TASKS AND ROAD SEGMENT MATRIX'!AO3-1&gt;0,'TASKS AND ROAD SEGMENT MATRIX'!AO3-1,"-")</f>
        <v>-</v>
      </c>
      <c r="AC3" s="23" t="str">
        <f aca="false">IF('TASKS AND ROAD SEGMENT MATRIX'!AP3-1&gt;0,'TASKS AND ROAD SEGMENT MATRIX'!AP3-1,"-")</f>
        <v>-</v>
      </c>
      <c r="AD3" s="23" t="str">
        <f aca="false">IF('TASKS AND ROAD SEGMENT MATRIX'!AQ3-1&gt;0,'TASKS AND ROAD SEGMENT MATRIX'!AQ3-1,"-")</f>
        <v>-</v>
      </c>
      <c r="AE3" s="23" t="str">
        <f aca="false">IF('TASKS AND ROAD SEGMENT MATRIX'!AR3-1&gt;0,'TASKS AND ROAD SEGMENT MATRIX'!AR3-1,"-")</f>
        <v>-</v>
      </c>
      <c r="AF3" s="23" t="str">
        <f aca="false">IF('TASKS AND ROAD SEGMENT MATRIX'!AS3-1&gt;0,'TASKS AND ROAD SEGMENT MATRIX'!AS3-1,"-")</f>
        <v>-</v>
      </c>
      <c r="AG3" s="23" t="str">
        <f aca="false">IF('TASKS AND ROAD SEGMENT MATRIX'!AT3-1&gt;0,'TASKS AND ROAD SEGMENT MATRIX'!AT3-1,"-")</f>
        <v>-</v>
      </c>
      <c r="AH3" s="23" t="str">
        <f aca="false">IF('TASKS AND ROAD SEGMENT MATRIX'!AU3-1&gt;0,'TASKS AND ROAD SEGMENT MATRIX'!AU3-1,"-")</f>
        <v>-</v>
      </c>
      <c r="AI3" s="23" t="str">
        <f aca="false">IF('TASKS AND ROAD SEGMENT MATRIX'!AV3-1&gt;0,'TASKS AND ROAD SEGMENT MATRIX'!AV3-1,"-")</f>
        <v>-</v>
      </c>
      <c r="AJ3" s="23" t="str">
        <f aca="false">IF('TASKS AND ROAD SEGMENT MATRIX'!AW3-1&gt;0,'TASKS AND ROAD SEGMENT MATRIX'!AW3-1,"-")</f>
        <v>-</v>
      </c>
      <c r="AK3" s="23" t="str">
        <f aca="false">IF('TASKS AND ROAD SEGMENT MATRIX'!AX3-1&gt;0,'TASKS AND ROAD SEGMENT MATRIX'!AX3-1,"-")</f>
        <v>-</v>
      </c>
      <c r="AL3" s="23" t="str">
        <f aca="false">IF('TASKS AND ROAD SEGMENT MATRIX'!AY3-1&gt;0,'TASKS AND ROAD SEGMENT MATRIX'!AY3-1,"-")</f>
        <v>-</v>
      </c>
      <c r="AM3" s="23" t="str">
        <f aca="false">IF('TASKS AND ROAD SEGMENT MATRIX'!AZ3-1&gt;0,'TASKS AND ROAD SEGMENT MATRIX'!AZ3-1,"-")</f>
        <v>-</v>
      </c>
      <c r="AN3" s="23" t="str">
        <f aca="false">IF('TASKS AND ROAD SEGMENT MATRIX'!BA3-1&gt;0,'TASKS AND ROAD SEGMENT MATRIX'!BA3-1,"-")</f>
        <v>-</v>
      </c>
      <c r="AO3" s="23" t="str">
        <f aca="false">IF('TASKS AND ROAD SEGMENT MATRIX'!BB3-1&gt;0,'TASKS AND ROAD SEGMENT MATRIX'!BB3-1,"-")</f>
        <v>-</v>
      </c>
      <c r="AP3" s="23" t="str">
        <f aca="false">IF('TASKS AND ROAD SEGMENT MATRIX'!BC3-1&gt;0,'TASKS AND ROAD SEGMENT MATRIX'!BC3-1,"-")</f>
        <v>-</v>
      </c>
      <c r="AQ3" s="23" t="str">
        <f aca="false">IF('TASKS AND ROAD SEGMENT MATRIX'!BD3-1&gt;0,'TASKS AND ROAD SEGMENT MATRIX'!BD3-1,"-")</f>
        <v>-</v>
      </c>
      <c r="AR3" s="23" t="n">
        <f aca="false">IF('TASKS AND ROAD SEGMENT MATRIX'!BE3-1&gt;0,'TASKS AND ROAD SEGMENT MATRIX'!BE3-1,"-")</f>
        <v>0.904530628894875</v>
      </c>
      <c r="AS3" s="23" t="n">
        <f aca="false">IF('TASKS AND ROAD SEGMENT MATRIX'!BF3-1&gt;0,'TASKS AND ROAD SEGMENT MATRIX'!BF3-1,"-")</f>
        <v>0.904530628894875</v>
      </c>
      <c r="AT3" s="23" t="n">
        <f aca="false">IF('TASKS AND ROAD SEGMENT MATRIX'!BG3-1&gt;0,'TASKS AND ROAD SEGMENT MATRIX'!BG3-1,"-")</f>
        <v>0.452265314447438</v>
      </c>
      <c r="AU3" s="23" t="str">
        <f aca="false">IF('TASKS AND ROAD SEGMENT MATRIX'!BH3-1&gt;0,'TASKS AND ROAD SEGMENT MATRIX'!BH3-1,"-")</f>
        <v>-</v>
      </c>
    </row>
    <row r="4" customFormat="false" ht="13.8" hidden="false" customHeight="false" outlineLevel="0" collapsed="false">
      <c r="A4" s="11" t="s">
        <v>52</v>
      </c>
      <c r="B4" s="0" t="s">
        <v>117</v>
      </c>
      <c r="C4" s="23" t="n">
        <f aca="false">IF('TASKS AND ROAD SEGMENT MATRIX'!P4-1&gt;0,'TASKS AND ROAD SEGMENT MATRIX'!P4-1,"-")</f>
        <v>0.376887762039531</v>
      </c>
      <c r="D4" s="23" t="n">
        <f aca="false">IF('TASKS AND ROAD SEGMENT MATRIX'!Q4-1&gt;0,'TASKS AND ROAD SEGMENT MATRIX'!Q4-1,"-")</f>
        <v>0.376887762039531</v>
      </c>
      <c r="E4" s="23" t="n">
        <f aca="false">IF('TASKS AND ROAD SEGMENT MATRIX'!R4-1&gt;0,'TASKS AND ROAD SEGMENT MATRIX'!R4-1,"-")</f>
        <v>0.753775524079062</v>
      </c>
      <c r="F4" s="23" t="n">
        <f aca="false">IF('TASKS AND ROAD SEGMENT MATRIX'!S4-1&gt;0,'TASKS AND ROAD SEGMENT MATRIX'!S4-1,"-")</f>
        <v>0.376887762039531</v>
      </c>
      <c r="G4" s="23" t="n">
        <f aca="false">IF('TASKS AND ROAD SEGMENT MATRIX'!T4-1&gt;0,'TASKS AND ROAD SEGMENT MATRIX'!T4-1,"-")</f>
        <v>0.376887762039531</v>
      </c>
      <c r="H4" s="23" t="n">
        <f aca="false">IF('TASKS AND ROAD SEGMENT MATRIX'!U4-1&gt;0,'TASKS AND ROAD SEGMENT MATRIX'!U4-1,"-")</f>
        <v>0.753775524079062</v>
      </c>
      <c r="I4" s="23" t="str">
        <f aca="false">IF('TASKS AND ROAD SEGMENT MATRIX'!V4-1&gt;0,'TASKS AND ROAD SEGMENT MATRIX'!V4-1,"-")</f>
        <v>-</v>
      </c>
      <c r="J4" s="23" t="str">
        <f aca="false">IF('TASKS AND ROAD SEGMENT MATRIX'!W4-1&gt;0,'TASKS AND ROAD SEGMENT MATRIX'!W4-1,"-")</f>
        <v>-</v>
      </c>
      <c r="K4" s="23" t="str">
        <f aca="false">IF('TASKS AND ROAD SEGMENT MATRIX'!X4-1&gt;0,'TASKS AND ROAD SEGMENT MATRIX'!X4-1,"-")</f>
        <v>-</v>
      </c>
      <c r="L4" s="23" t="str">
        <f aca="false">IF('TASKS AND ROAD SEGMENT MATRIX'!Y4-1&gt;0,'TASKS AND ROAD SEGMENT MATRIX'!Y4-1,"-")</f>
        <v>-</v>
      </c>
      <c r="M4" s="23" t="str">
        <f aca="false">IF('TASKS AND ROAD SEGMENT MATRIX'!Z4-1&gt;0,'TASKS AND ROAD SEGMENT MATRIX'!Z4-1,"-")</f>
        <v>-</v>
      </c>
      <c r="N4" s="23" t="str">
        <f aca="false">IF('TASKS AND ROAD SEGMENT MATRIX'!AA4-1&gt;0,'TASKS AND ROAD SEGMENT MATRIX'!AA4-1,"-")</f>
        <v>-</v>
      </c>
      <c r="O4" s="23" t="str">
        <f aca="false">IF('TASKS AND ROAD SEGMENT MATRIX'!AB4-1&gt;0,'TASKS AND ROAD SEGMENT MATRIX'!AB4-1,"-")</f>
        <v>-</v>
      </c>
      <c r="P4" s="23" t="str">
        <f aca="false">IF('TASKS AND ROAD SEGMENT MATRIX'!AC4-1&gt;0,'TASKS AND ROAD SEGMENT MATRIX'!AC4-1,"-")</f>
        <v>-</v>
      </c>
      <c r="Q4" s="23" t="str">
        <f aca="false">IF('TASKS AND ROAD SEGMENT MATRIX'!AD4-1&gt;0,'TASKS AND ROAD SEGMENT MATRIX'!AD4-1,"-")</f>
        <v>-</v>
      </c>
      <c r="R4" s="23" t="str">
        <f aca="false">IF('TASKS AND ROAD SEGMENT MATRIX'!AE4-1&gt;0,'TASKS AND ROAD SEGMENT MATRIX'!AE4-1,"-")</f>
        <v>-</v>
      </c>
      <c r="S4" s="23" t="str">
        <f aca="false">IF('TASKS AND ROAD SEGMENT MATRIX'!AF4-1&gt;0,'TASKS AND ROAD SEGMENT MATRIX'!AF4-1,"-")</f>
        <v>-</v>
      </c>
      <c r="T4" s="23" t="n">
        <f aca="false">IF('TASKS AND ROAD SEGMENT MATRIX'!AG4-1&gt;0,'TASKS AND ROAD SEGMENT MATRIX'!AG4-1,"-")</f>
        <v>0.376887762039531</v>
      </c>
      <c r="U4" s="23" t="str">
        <f aca="false">IF('TASKS AND ROAD SEGMENT MATRIX'!AH4-1&gt;0,'TASKS AND ROAD SEGMENT MATRIX'!AH4-1,"-")</f>
        <v>-</v>
      </c>
      <c r="V4" s="23" t="str">
        <f aca="false">IF('TASKS AND ROAD SEGMENT MATRIX'!AI4-1&gt;0,'TASKS AND ROAD SEGMENT MATRIX'!AI4-1,"-")</f>
        <v>-</v>
      </c>
      <c r="W4" s="23" t="n">
        <f aca="false">IF('TASKS AND ROAD SEGMENT MATRIX'!AJ4-1&gt;0,'TASKS AND ROAD SEGMENT MATRIX'!AJ4-1,"-")</f>
        <v>0.376887762039531</v>
      </c>
      <c r="X4" s="23" t="str">
        <f aca="false">IF('TASKS AND ROAD SEGMENT MATRIX'!AK4-1&gt;0,'TASKS AND ROAD SEGMENT MATRIX'!AK4-1,"-")</f>
        <v>-</v>
      </c>
      <c r="Y4" s="23" t="str">
        <f aca="false">IF('TASKS AND ROAD SEGMENT MATRIX'!AL4-1&gt;0,'TASKS AND ROAD SEGMENT MATRIX'!AL4-1,"-")</f>
        <v>-</v>
      </c>
      <c r="Z4" s="23" t="str">
        <f aca="false">IF('TASKS AND ROAD SEGMENT MATRIX'!AM4-1&gt;0,'TASKS AND ROAD SEGMENT MATRIX'!AM4-1,"-")</f>
        <v>-</v>
      </c>
      <c r="AA4" s="23" t="str">
        <f aca="false">IF('TASKS AND ROAD SEGMENT MATRIX'!AN4-1&gt;0,'TASKS AND ROAD SEGMENT MATRIX'!AN4-1,"-")</f>
        <v>-</v>
      </c>
      <c r="AB4" s="23" t="str">
        <f aca="false">IF('TASKS AND ROAD SEGMENT MATRIX'!AO4-1&gt;0,'TASKS AND ROAD SEGMENT MATRIX'!AO4-1,"-")</f>
        <v>-</v>
      </c>
      <c r="AC4" s="23" t="str">
        <f aca="false">IF('TASKS AND ROAD SEGMENT MATRIX'!AP4-1&gt;0,'TASKS AND ROAD SEGMENT MATRIX'!AP4-1,"-")</f>
        <v>-</v>
      </c>
      <c r="AD4" s="23" t="str">
        <f aca="false">IF('TASKS AND ROAD SEGMENT MATRIX'!AQ4-1&gt;0,'TASKS AND ROAD SEGMENT MATRIX'!AQ4-1,"-")</f>
        <v>-</v>
      </c>
      <c r="AE4" s="23" t="str">
        <f aca="false">IF('TASKS AND ROAD SEGMENT MATRIX'!AR4-1&gt;0,'TASKS AND ROAD SEGMENT MATRIX'!AR4-1,"-")</f>
        <v>-</v>
      </c>
      <c r="AF4" s="23" t="str">
        <f aca="false">IF('TASKS AND ROAD SEGMENT MATRIX'!AS4-1&gt;0,'TASKS AND ROAD SEGMENT MATRIX'!AS4-1,"-")</f>
        <v>-</v>
      </c>
      <c r="AG4" s="23" t="str">
        <f aca="false">IF('TASKS AND ROAD SEGMENT MATRIX'!AT4-1&gt;0,'TASKS AND ROAD SEGMENT MATRIX'!AT4-1,"-")</f>
        <v>-</v>
      </c>
      <c r="AH4" s="23" t="str">
        <f aca="false">IF('TASKS AND ROAD SEGMENT MATRIX'!AU4-1&gt;0,'TASKS AND ROAD SEGMENT MATRIX'!AU4-1,"-")</f>
        <v>-</v>
      </c>
      <c r="AI4" s="23" t="str">
        <f aca="false">IF('TASKS AND ROAD SEGMENT MATRIX'!AV4-1&gt;0,'TASKS AND ROAD SEGMENT MATRIX'!AV4-1,"-")</f>
        <v>-</v>
      </c>
      <c r="AJ4" s="23" t="str">
        <f aca="false">IF('TASKS AND ROAD SEGMENT MATRIX'!AW4-1&gt;0,'TASKS AND ROAD SEGMENT MATRIX'!AW4-1,"-")</f>
        <v>-</v>
      </c>
      <c r="AK4" s="23" t="str">
        <f aca="false">IF('TASKS AND ROAD SEGMENT MATRIX'!AX4-1&gt;0,'TASKS AND ROAD SEGMENT MATRIX'!AX4-1,"-")</f>
        <v>-</v>
      </c>
      <c r="AL4" s="23" t="str">
        <f aca="false">IF('TASKS AND ROAD SEGMENT MATRIX'!AY4-1&gt;0,'TASKS AND ROAD SEGMENT MATRIX'!AY4-1,"-")</f>
        <v>-</v>
      </c>
      <c r="AM4" s="23" t="str">
        <f aca="false">IF('TASKS AND ROAD SEGMENT MATRIX'!AZ4-1&gt;0,'TASKS AND ROAD SEGMENT MATRIX'!AZ4-1,"-")</f>
        <v>-</v>
      </c>
      <c r="AN4" s="23" t="str">
        <f aca="false">IF('TASKS AND ROAD SEGMENT MATRIX'!BA4-1&gt;0,'TASKS AND ROAD SEGMENT MATRIX'!BA4-1,"-")</f>
        <v>-</v>
      </c>
      <c r="AO4" s="23" t="str">
        <f aca="false">IF('TASKS AND ROAD SEGMENT MATRIX'!BB4-1&gt;0,'TASKS AND ROAD SEGMENT MATRIX'!BB4-1,"-")</f>
        <v>-</v>
      </c>
      <c r="AP4" s="23" t="str">
        <f aca="false">IF('TASKS AND ROAD SEGMENT MATRIX'!BC4-1&gt;0,'TASKS AND ROAD SEGMENT MATRIX'!BC4-1,"-")</f>
        <v>-</v>
      </c>
      <c r="AQ4" s="23" t="str">
        <f aca="false">IF('TASKS AND ROAD SEGMENT MATRIX'!BD4-1&gt;0,'TASKS AND ROAD SEGMENT MATRIX'!BD4-1,"-")</f>
        <v>-</v>
      </c>
      <c r="AR4" s="23" t="n">
        <f aca="false">IF('TASKS AND ROAD SEGMENT MATRIX'!BE4-1&gt;0,'TASKS AND ROAD SEGMENT MATRIX'!BE4-1,"-")</f>
        <v>0.753775524079062</v>
      </c>
      <c r="AS4" s="23" t="n">
        <f aca="false">IF('TASKS AND ROAD SEGMENT MATRIX'!BF4-1&gt;0,'TASKS AND ROAD SEGMENT MATRIX'!BF4-1,"-")</f>
        <v>0.753775524079062</v>
      </c>
      <c r="AT4" s="23" t="n">
        <f aca="false">IF('TASKS AND ROAD SEGMENT MATRIX'!BG4-1&gt;0,'TASKS AND ROAD SEGMENT MATRIX'!BG4-1,"-")</f>
        <v>0.376887762039531</v>
      </c>
      <c r="AU4" s="23" t="str">
        <f aca="false">IF('TASKS AND ROAD SEGMENT MATRIX'!BH4-1&gt;0,'TASKS AND ROAD SEGMENT MATRIX'!BH4-1,"-")</f>
        <v>-</v>
      </c>
    </row>
    <row r="5" customFormat="false" ht="13.8" hidden="false" customHeight="false" outlineLevel="0" collapsed="false">
      <c r="A5" s="11" t="s">
        <v>52</v>
      </c>
      <c r="B5" s="0" t="s">
        <v>119</v>
      </c>
      <c r="C5" s="23" t="n">
        <f aca="false">IF('TASKS AND ROAD SEGMENT MATRIX'!P5-1&gt;0,'TASKS AND ROAD SEGMENT MATRIX'!P5-1,"-")</f>
        <v>0.904530628894875</v>
      </c>
      <c r="D5" s="23" t="n">
        <f aca="false">IF('TASKS AND ROAD SEGMENT MATRIX'!Q5-1&gt;0,'TASKS AND ROAD SEGMENT MATRIX'!Q5-1,"-")</f>
        <v>0.904530628894875</v>
      </c>
      <c r="E5" s="23" t="n">
        <f aca="false">IF('TASKS AND ROAD SEGMENT MATRIX'!R5-1&gt;0,'TASKS AND ROAD SEGMENT MATRIX'!R5-1,"-")</f>
        <v>0.904530628894875</v>
      </c>
      <c r="F5" s="23" t="n">
        <f aca="false">IF('TASKS AND ROAD SEGMENT MATRIX'!S5-1&gt;0,'TASKS AND ROAD SEGMENT MATRIX'!S5-1,"-")</f>
        <v>0.452265314447438</v>
      </c>
      <c r="G5" s="23" t="n">
        <f aca="false">IF('TASKS AND ROAD SEGMENT MATRIX'!T5-1&gt;0,'TASKS AND ROAD SEGMENT MATRIX'!T5-1,"-")</f>
        <v>0.452265314447438</v>
      </c>
      <c r="H5" s="23" t="n">
        <f aca="false">IF('TASKS AND ROAD SEGMENT MATRIX'!U5-1&gt;0,'TASKS AND ROAD SEGMENT MATRIX'!U5-1,"-")</f>
        <v>0.904530628894875</v>
      </c>
      <c r="I5" s="23" t="str">
        <f aca="false">IF('TASKS AND ROAD SEGMENT MATRIX'!V5-1&gt;0,'TASKS AND ROAD SEGMENT MATRIX'!V5-1,"-")</f>
        <v>-</v>
      </c>
      <c r="J5" s="23" t="str">
        <f aca="false">IF('TASKS AND ROAD SEGMENT MATRIX'!W5-1&gt;0,'TASKS AND ROAD SEGMENT MATRIX'!W5-1,"-")</f>
        <v>-</v>
      </c>
      <c r="K5" s="23" t="str">
        <f aca="false">IF('TASKS AND ROAD SEGMENT MATRIX'!X5-1&gt;0,'TASKS AND ROAD SEGMENT MATRIX'!X5-1,"-")</f>
        <v>-</v>
      </c>
      <c r="L5" s="23" t="str">
        <f aca="false">IF('TASKS AND ROAD SEGMENT MATRIX'!Y5-1&gt;0,'TASKS AND ROAD SEGMENT MATRIX'!Y5-1,"-")</f>
        <v>-</v>
      </c>
      <c r="M5" s="23" t="str">
        <f aca="false">IF('TASKS AND ROAD SEGMENT MATRIX'!Z5-1&gt;0,'TASKS AND ROAD SEGMENT MATRIX'!Z5-1,"-")</f>
        <v>-</v>
      </c>
      <c r="N5" s="23" t="str">
        <f aca="false">IF('TASKS AND ROAD SEGMENT MATRIX'!AA5-1&gt;0,'TASKS AND ROAD SEGMENT MATRIX'!AA5-1,"-")</f>
        <v>-</v>
      </c>
      <c r="O5" s="23" t="str">
        <f aca="false">IF('TASKS AND ROAD SEGMENT MATRIX'!AB5-1&gt;0,'TASKS AND ROAD SEGMENT MATRIX'!AB5-1,"-")</f>
        <v>-</v>
      </c>
      <c r="P5" s="23" t="str">
        <f aca="false">IF('TASKS AND ROAD SEGMENT MATRIX'!AC5-1&gt;0,'TASKS AND ROAD SEGMENT MATRIX'!AC5-1,"-")</f>
        <v>-</v>
      </c>
      <c r="Q5" s="23" t="str">
        <f aca="false">IF('TASKS AND ROAD SEGMENT MATRIX'!AD5-1&gt;0,'TASKS AND ROAD SEGMENT MATRIX'!AD5-1,"-")</f>
        <v>-</v>
      </c>
      <c r="R5" s="23" t="str">
        <f aca="false">IF('TASKS AND ROAD SEGMENT MATRIX'!AE5-1&gt;0,'TASKS AND ROAD SEGMENT MATRIX'!AE5-1,"-")</f>
        <v>-</v>
      </c>
      <c r="S5" s="23" t="str">
        <f aca="false">IF('TASKS AND ROAD SEGMENT MATRIX'!AF5-1&gt;0,'TASKS AND ROAD SEGMENT MATRIX'!AF5-1,"-")</f>
        <v>-</v>
      </c>
      <c r="T5" s="23" t="n">
        <f aca="false">IF('TASKS AND ROAD SEGMENT MATRIX'!AG5-1&gt;0,'TASKS AND ROAD SEGMENT MATRIX'!AG5-1,"-")</f>
        <v>0.452265314447438</v>
      </c>
      <c r="U5" s="23" t="str">
        <f aca="false">IF('TASKS AND ROAD SEGMENT MATRIX'!AH5-1&gt;0,'TASKS AND ROAD SEGMENT MATRIX'!AH5-1,"-")</f>
        <v>-</v>
      </c>
      <c r="V5" s="23" t="str">
        <f aca="false">IF('TASKS AND ROAD SEGMENT MATRIX'!AI5-1&gt;0,'TASKS AND ROAD SEGMENT MATRIX'!AI5-1,"-")</f>
        <v>-</v>
      </c>
      <c r="W5" s="23" t="n">
        <f aca="false">IF('TASKS AND ROAD SEGMENT MATRIX'!AJ5-1&gt;0,'TASKS AND ROAD SEGMENT MATRIX'!AJ5-1,"-")</f>
        <v>0.452265314447438</v>
      </c>
      <c r="X5" s="23" t="str">
        <f aca="false">IF('TASKS AND ROAD SEGMENT MATRIX'!AK5-1&gt;0,'TASKS AND ROAD SEGMENT MATRIX'!AK5-1,"-")</f>
        <v>-</v>
      </c>
      <c r="Y5" s="23" t="str">
        <f aca="false">IF('TASKS AND ROAD SEGMENT MATRIX'!AL5-1&gt;0,'TASKS AND ROAD SEGMENT MATRIX'!AL5-1,"-")</f>
        <v>-</v>
      </c>
      <c r="Z5" s="23" t="str">
        <f aca="false">IF('TASKS AND ROAD SEGMENT MATRIX'!AM5-1&gt;0,'TASKS AND ROAD SEGMENT MATRIX'!AM5-1,"-")</f>
        <v>-</v>
      </c>
      <c r="AA5" s="23" t="str">
        <f aca="false">IF('TASKS AND ROAD SEGMENT MATRIX'!AN5-1&gt;0,'TASKS AND ROAD SEGMENT MATRIX'!AN5-1,"-")</f>
        <v>-</v>
      </c>
      <c r="AB5" s="23" t="str">
        <f aca="false">IF('TASKS AND ROAD SEGMENT MATRIX'!AO5-1&gt;0,'TASKS AND ROAD SEGMENT MATRIX'!AO5-1,"-")</f>
        <v>-</v>
      </c>
      <c r="AC5" s="23" t="str">
        <f aca="false">IF('TASKS AND ROAD SEGMENT MATRIX'!AP5-1&gt;0,'TASKS AND ROAD SEGMENT MATRIX'!AP5-1,"-")</f>
        <v>-</v>
      </c>
      <c r="AD5" s="23" t="str">
        <f aca="false">IF('TASKS AND ROAD SEGMENT MATRIX'!AQ5-1&gt;0,'TASKS AND ROAD SEGMENT MATRIX'!AQ5-1,"-")</f>
        <v>-</v>
      </c>
      <c r="AE5" s="23" t="str">
        <f aca="false">IF('TASKS AND ROAD SEGMENT MATRIX'!AR5-1&gt;0,'TASKS AND ROAD SEGMENT MATRIX'!AR5-1,"-")</f>
        <v>-</v>
      </c>
      <c r="AF5" s="23" t="str">
        <f aca="false">IF('TASKS AND ROAD SEGMENT MATRIX'!AS5-1&gt;0,'TASKS AND ROAD SEGMENT MATRIX'!AS5-1,"-")</f>
        <v>-</v>
      </c>
      <c r="AG5" s="23" t="str">
        <f aca="false">IF('TASKS AND ROAD SEGMENT MATRIX'!AT5-1&gt;0,'TASKS AND ROAD SEGMENT MATRIX'!AT5-1,"-")</f>
        <v>-</v>
      </c>
      <c r="AH5" s="23" t="str">
        <f aca="false">IF('TASKS AND ROAD SEGMENT MATRIX'!AU5-1&gt;0,'TASKS AND ROAD SEGMENT MATRIX'!AU5-1,"-")</f>
        <v>-</v>
      </c>
      <c r="AI5" s="23" t="str">
        <f aca="false">IF('TASKS AND ROAD SEGMENT MATRIX'!AV5-1&gt;0,'TASKS AND ROAD SEGMENT MATRIX'!AV5-1,"-")</f>
        <v>-</v>
      </c>
      <c r="AJ5" s="23" t="str">
        <f aca="false">IF('TASKS AND ROAD SEGMENT MATRIX'!AW5-1&gt;0,'TASKS AND ROAD SEGMENT MATRIX'!AW5-1,"-")</f>
        <v>-</v>
      </c>
      <c r="AK5" s="23" t="str">
        <f aca="false">IF('TASKS AND ROAD SEGMENT MATRIX'!AX5-1&gt;0,'TASKS AND ROAD SEGMENT MATRIX'!AX5-1,"-")</f>
        <v>-</v>
      </c>
      <c r="AL5" s="23" t="str">
        <f aca="false">IF('TASKS AND ROAD SEGMENT MATRIX'!AY5-1&gt;0,'TASKS AND ROAD SEGMENT MATRIX'!AY5-1,"-")</f>
        <v>-</v>
      </c>
      <c r="AM5" s="23" t="str">
        <f aca="false">IF('TASKS AND ROAD SEGMENT MATRIX'!AZ5-1&gt;0,'TASKS AND ROAD SEGMENT MATRIX'!AZ5-1,"-")</f>
        <v>-</v>
      </c>
      <c r="AN5" s="23" t="str">
        <f aca="false">IF('TASKS AND ROAD SEGMENT MATRIX'!BA5-1&gt;0,'TASKS AND ROAD SEGMENT MATRIX'!BA5-1,"-")</f>
        <v>-</v>
      </c>
      <c r="AO5" s="23" t="str">
        <f aca="false">IF('TASKS AND ROAD SEGMENT MATRIX'!BB5-1&gt;0,'TASKS AND ROAD SEGMENT MATRIX'!BB5-1,"-")</f>
        <v>-</v>
      </c>
      <c r="AP5" s="23" t="str">
        <f aca="false">IF('TASKS AND ROAD SEGMENT MATRIX'!BC5-1&gt;0,'TASKS AND ROAD SEGMENT MATRIX'!BC5-1,"-")</f>
        <v>-</v>
      </c>
      <c r="AQ5" s="23" t="str">
        <f aca="false">IF('TASKS AND ROAD SEGMENT MATRIX'!BD5-1&gt;0,'TASKS AND ROAD SEGMENT MATRIX'!BD5-1,"-")</f>
        <v>-</v>
      </c>
      <c r="AR5" s="23" t="n">
        <f aca="false">IF('TASKS AND ROAD SEGMENT MATRIX'!BE5-1&gt;0,'TASKS AND ROAD SEGMENT MATRIX'!BE5-1,"-")</f>
        <v>0.904530628894875</v>
      </c>
      <c r="AS5" s="23" t="n">
        <f aca="false">IF('TASKS AND ROAD SEGMENT MATRIX'!BF5-1&gt;0,'TASKS AND ROAD SEGMENT MATRIX'!BF5-1,"-")</f>
        <v>0.904530628894875</v>
      </c>
      <c r="AT5" s="23" t="n">
        <f aca="false">IF('TASKS AND ROAD SEGMENT MATRIX'!BG5-1&gt;0,'TASKS AND ROAD SEGMENT MATRIX'!BG5-1,"-")</f>
        <v>0.452265314447438</v>
      </c>
      <c r="AU5" s="23" t="str">
        <f aca="false">IF('TASKS AND ROAD SEGMENT MATRIX'!BH5-1&gt;0,'TASKS AND ROAD SEGMENT MATRIX'!BH5-1,"-")</f>
        <v>-</v>
      </c>
    </row>
    <row r="6" customFormat="false" ht="13.8" hidden="false" customHeight="false" outlineLevel="0" collapsed="false">
      <c r="A6" s="11" t="s">
        <v>53</v>
      </c>
      <c r="B6" s="0" t="s">
        <v>112</v>
      </c>
      <c r="C6" s="23" t="n">
        <f aca="false">IF('TASKS AND ROAD SEGMENT MATRIX'!P6-1&gt;0,'TASKS AND ROAD SEGMENT MATRIX'!P6-1,"-")</f>
        <v>0.60302041926325</v>
      </c>
      <c r="D6" s="23" t="n">
        <f aca="false">IF('TASKS AND ROAD SEGMENT MATRIX'!Q6-1&gt;0,'TASKS AND ROAD SEGMENT MATRIX'!Q6-1,"-")</f>
        <v>0.60302041926325</v>
      </c>
      <c r="E6" s="23" t="str">
        <f aca="false">IF('TASKS AND ROAD SEGMENT MATRIX'!R6-1&gt;0,'TASKS AND ROAD SEGMENT MATRIX'!R6-1,"-")</f>
        <v>-</v>
      </c>
      <c r="F6" s="23" t="n">
        <f aca="false">IF('TASKS AND ROAD SEGMENT MATRIX'!S6-1&gt;0,'TASKS AND ROAD SEGMENT MATRIX'!S6-1,"-")</f>
        <v>0.60302041926325</v>
      </c>
      <c r="G6" s="23" t="n">
        <f aca="false">IF('TASKS AND ROAD SEGMENT MATRIX'!T6-1&gt;0,'TASKS AND ROAD SEGMENT MATRIX'!T6-1,"-")</f>
        <v>0.301510209631625</v>
      </c>
      <c r="H6" s="23" t="n">
        <f aca="false">IF('TASKS AND ROAD SEGMENT MATRIX'!U6-1&gt;0,'TASKS AND ROAD SEGMENT MATRIX'!U6-1,"-")</f>
        <v>0.301510209631625</v>
      </c>
      <c r="I6" s="23" t="str">
        <f aca="false">IF('TASKS AND ROAD SEGMENT MATRIX'!V6-1&gt;0,'TASKS AND ROAD SEGMENT MATRIX'!V6-1,"-")</f>
        <v>-</v>
      </c>
      <c r="J6" s="23" t="str">
        <f aca="false">IF('TASKS AND ROAD SEGMENT MATRIX'!W6-1&gt;0,'TASKS AND ROAD SEGMENT MATRIX'!W6-1,"-")</f>
        <v>-</v>
      </c>
      <c r="K6" s="23" t="str">
        <f aca="false">IF('TASKS AND ROAD SEGMENT MATRIX'!X6-1&gt;0,'TASKS AND ROAD SEGMENT MATRIX'!X6-1,"-")</f>
        <v>-</v>
      </c>
      <c r="L6" s="23" t="str">
        <f aca="false">IF('TASKS AND ROAD SEGMENT MATRIX'!Y6-1&gt;0,'TASKS AND ROAD SEGMENT MATRIX'!Y6-1,"-")</f>
        <v>-</v>
      </c>
      <c r="M6" s="23" t="str">
        <f aca="false">IF('TASKS AND ROAD SEGMENT MATRIX'!Z6-1&gt;0,'TASKS AND ROAD SEGMENT MATRIX'!Z6-1,"-")</f>
        <v>-</v>
      </c>
      <c r="N6" s="23" t="str">
        <f aca="false">IF('TASKS AND ROAD SEGMENT MATRIX'!AA6-1&gt;0,'TASKS AND ROAD SEGMENT MATRIX'!AA6-1,"-")</f>
        <v>-</v>
      </c>
      <c r="O6" s="23" t="str">
        <f aca="false">IF('TASKS AND ROAD SEGMENT MATRIX'!AB6-1&gt;0,'TASKS AND ROAD SEGMENT MATRIX'!AB6-1,"-")</f>
        <v>-</v>
      </c>
      <c r="P6" s="23" t="str">
        <f aca="false">IF('TASKS AND ROAD SEGMENT MATRIX'!AC6-1&gt;0,'TASKS AND ROAD SEGMENT MATRIX'!AC6-1,"-")</f>
        <v>-</v>
      </c>
      <c r="Q6" s="23" t="str">
        <f aca="false">IF('TASKS AND ROAD SEGMENT MATRIX'!AD6-1&gt;0,'TASKS AND ROAD SEGMENT MATRIX'!AD6-1,"-")</f>
        <v>-</v>
      </c>
      <c r="R6" s="23" t="str">
        <f aca="false">IF('TASKS AND ROAD SEGMENT MATRIX'!AE6-1&gt;0,'TASKS AND ROAD SEGMENT MATRIX'!AE6-1,"-")</f>
        <v>-</v>
      </c>
      <c r="S6" s="23" t="str">
        <f aca="false">IF('TASKS AND ROAD SEGMENT MATRIX'!AF6-1&gt;0,'TASKS AND ROAD SEGMENT MATRIX'!AF6-1,"-")</f>
        <v>-</v>
      </c>
      <c r="T6" s="23" t="n">
        <f aca="false">IF('TASKS AND ROAD SEGMENT MATRIX'!AG6-1&gt;0,'TASKS AND ROAD SEGMENT MATRIX'!AG6-1,"-")</f>
        <v>0.301510209631625</v>
      </c>
      <c r="U6" s="23" t="str">
        <f aca="false">IF('TASKS AND ROAD SEGMENT MATRIX'!AH6-1&gt;0,'TASKS AND ROAD SEGMENT MATRIX'!AH6-1,"-")</f>
        <v>-</v>
      </c>
      <c r="V6" s="23" t="str">
        <f aca="false">IF('TASKS AND ROAD SEGMENT MATRIX'!AI6-1&gt;0,'TASKS AND ROAD SEGMENT MATRIX'!AI6-1,"-")</f>
        <v>-</v>
      </c>
      <c r="W6" s="23" t="str">
        <f aca="false">IF('TASKS AND ROAD SEGMENT MATRIX'!AJ6-1&gt;0,'TASKS AND ROAD SEGMENT MATRIX'!AJ6-1,"-")</f>
        <v>-</v>
      </c>
      <c r="X6" s="23" t="str">
        <f aca="false">IF('TASKS AND ROAD SEGMENT MATRIX'!AK6-1&gt;0,'TASKS AND ROAD SEGMENT MATRIX'!AK6-1,"-")</f>
        <v>-</v>
      </c>
      <c r="Y6" s="23" t="str">
        <f aca="false">IF('TASKS AND ROAD SEGMENT MATRIX'!AL6-1&gt;0,'TASKS AND ROAD SEGMENT MATRIX'!AL6-1,"-")</f>
        <v>-</v>
      </c>
      <c r="Z6" s="23" t="n">
        <f aca="false">IF('TASKS AND ROAD SEGMENT MATRIX'!AM6-1&gt;0,'TASKS AND ROAD SEGMENT MATRIX'!AM6-1,"-")</f>
        <v>0.301510209631625</v>
      </c>
      <c r="AA6" s="23" t="str">
        <f aca="false">IF('TASKS AND ROAD SEGMENT MATRIX'!AN6-1&gt;0,'TASKS AND ROAD SEGMENT MATRIX'!AN6-1,"-")</f>
        <v>-</v>
      </c>
      <c r="AB6" s="23" t="str">
        <f aca="false">IF('TASKS AND ROAD SEGMENT MATRIX'!AO6-1&gt;0,'TASKS AND ROAD SEGMENT MATRIX'!AO6-1,"-")</f>
        <v>-</v>
      </c>
      <c r="AC6" s="23" t="str">
        <f aca="false">IF('TASKS AND ROAD SEGMENT MATRIX'!AP6-1&gt;0,'TASKS AND ROAD SEGMENT MATRIX'!AP6-1,"-")</f>
        <v>-</v>
      </c>
      <c r="AD6" s="23" t="str">
        <f aca="false">IF('TASKS AND ROAD SEGMENT MATRIX'!AQ6-1&gt;0,'TASKS AND ROAD SEGMENT MATRIX'!AQ6-1,"-")</f>
        <v>-</v>
      </c>
      <c r="AE6" s="23" t="str">
        <f aca="false">IF('TASKS AND ROAD SEGMENT MATRIX'!AR6-1&gt;0,'TASKS AND ROAD SEGMENT MATRIX'!AR6-1,"-")</f>
        <v>-</v>
      </c>
      <c r="AF6" s="23" t="str">
        <f aca="false">IF('TASKS AND ROAD SEGMENT MATRIX'!AS6-1&gt;0,'TASKS AND ROAD SEGMENT MATRIX'!AS6-1,"-")</f>
        <v>-</v>
      </c>
      <c r="AG6" s="23" t="str">
        <f aca="false">IF('TASKS AND ROAD SEGMENT MATRIX'!AT6-1&gt;0,'TASKS AND ROAD SEGMENT MATRIX'!AT6-1,"-")</f>
        <v>-</v>
      </c>
      <c r="AH6" s="23" t="str">
        <f aca="false">IF('TASKS AND ROAD SEGMENT MATRIX'!AU6-1&gt;0,'TASKS AND ROAD SEGMENT MATRIX'!AU6-1,"-")</f>
        <v>-</v>
      </c>
      <c r="AI6" s="23" t="str">
        <f aca="false">IF('TASKS AND ROAD SEGMENT MATRIX'!AV6-1&gt;0,'TASKS AND ROAD SEGMENT MATRIX'!AV6-1,"-")</f>
        <v>-</v>
      </c>
      <c r="AJ6" s="23" t="str">
        <f aca="false">IF('TASKS AND ROAD SEGMENT MATRIX'!AW6-1&gt;0,'TASKS AND ROAD SEGMENT MATRIX'!AW6-1,"-")</f>
        <v>-</v>
      </c>
      <c r="AK6" s="23" t="str">
        <f aca="false">IF('TASKS AND ROAD SEGMENT MATRIX'!AX6-1&gt;0,'TASKS AND ROAD SEGMENT MATRIX'!AX6-1,"-")</f>
        <v>-</v>
      </c>
      <c r="AL6" s="23" t="str">
        <f aca="false">IF('TASKS AND ROAD SEGMENT MATRIX'!AY6-1&gt;0,'TASKS AND ROAD SEGMENT MATRIX'!AY6-1,"-")</f>
        <v>-</v>
      </c>
      <c r="AM6" s="23" t="str">
        <f aca="false">IF('TASKS AND ROAD SEGMENT MATRIX'!AZ6-1&gt;0,'TASKS AND ROAD SEGMENT MATRIX'!AZ6-1,"-")</f>
        <v>-</v>
      </c>
      <c r="AN6" s="23" t="str">
        <f aca="false">IF('TASKS AND ROAD SEGMENT MATRIX'!BA6-1&gt;0,'TASKS AND ROAD SEGMENT MATRIX'!BA6-1,"-")</f>
        <v>-</v>
      </c>
      <c r="AO6" s="23" t="str">
        <f aca="false">IF('TASKS AND ROAD SEGMENT MATRIX'!BB6-1&gt;0,'TASKS AND ROAD SEGMENT MATRIX'!BB6-1,"-")</f>
        <v>-</v>
      </c>
      <c r="AP6" s="23" t="str">
        <f aca="false">IF('TASKS AND ROAD SEGMENT MATRIX'!BC6-1&gt;0,'TASKS AND ROAD SEGMENT MATRIX'!BC6-1,"-")</f>
        <v>-</v>
      </c>
      <c r="AQ6" s="23" t="str">
        <f aca="false">IF('TASKS AND ROAD SEGMENT MATRIX'!BD6-1&gt;0,'TASKS AND ROAD SEGMENT MATRIX'!BD6-1,"-")</f>
        <v>-</v>
      </c>
      <c r="AR6" s="23" t="n">
        <f aca="false">IF('TASKS AND ROAD SEGMENT MATRIX'!BE6-1&gt;0,'TASKS AND ROAD SEGMENT MATRIX'!BE6-1,"-")</f>
        <v>0.301510209631625</v>
      </c>
      <c r="AS6" s="23" t="n">
        <f aca="false">IF('TASKS AND ROAD SEGMENT MATRIX'!BF6-1&gt;0,'TASKS AND ROAD SEGMENT MATRIX'!BF6-1,"-")</f>
        <v>0.60302041926325</v>
      </c>
      <c r="AT6" s="23" t="n">
        <f aca="false">IF('TASKS AND ROAD SEGMENT MATRIX'!BG6-1&gt;0,'TASKS AND ROAD SEGMENT MATRIX'!BG6-1,"-")</f>
        <v>0.60302041926325</v>
      </c>
      <c r="AU6" s="23" t="n">
        <f aca="false">IF('TASKS AND ROAD SEGMENT MATRIX'!BH6-1&gt;0,'TASKS AND ROAD SEGMENT MATRIX'!BH6-1,"-")</f>
        <v>0.301510209631625</v>
      </c>
    </row>
    <row r="7" customFormat="false" ht="13.8" hidden="false" customHeight="false" outlineLevel="0" collapsed="false">
      <c r="A7" s="11" t="s">
        <v>53</v>
      </c>
      <c r="B7" s="0" t="s">
        <v>115</v>
      </c>
      <c r="C7" s="23" t="n">
        <f aca="false">IF('TASKS AND ROAD SEGMENT MATRIX'!P7-1&gt;0,'TASKS AND ROAD SEGMENT MATRIX'!P7-1,"-")</f>
        <v>0.904530628894875</v>
      </c>
      <c r="D7" s="23" t="n">
        <f aca="false">IF('TASKS AND ROAD SEGMENT MATRIX'!Q7-1&gt;0,'TASKS AND ROAD SEGMENT MATRIX'!Q7-1,"-")</f>
        <v>0.904530628894875</v>
      </c>
      <c r="E7" s="23" t="n">
        <f aca="false">IF('TASKS AND ROAD SEGMENT MATRIX'!R7-1&gt;0,'TASKS AND ROAD SEGMENT MATRIX'!R7-1,"-")</f>
        <v>0.904530628894875</v>
      </c>
      <c r="F7" s="23" t="n">
        <f aca="false">IF('TASKS AND ROAD SEGMENT MATRIX'!S7-1&gt;0,'TASKS AND ROAD SEGMENT MATRIX'!S7-1,"-")</f>
        <v>0.904530628894875</v>
      </c>
      <c r="G7" s="23" t="n">
        <f aca="false">IF('TASKS AND ROAD SEGMENT MATRIX'!T7-1&gt;0,'TASKS AND ROAD SEGMENT MATRIX'!T7-1,"-")</f>
        <v>0.452265314447438</v>
      </c>
      <c r="H7" s="23" t="n">
        <f aca="false">IF('TASKS AND ROAD SEGMENT MATRIX'!U7-1&gt;0,'TASKS AND ROAD SEGMENT MATRIX'!U7-1,"-")</f>
        <v>0.452265314447438</v>
      </c>
      <c r="I7" s="23" t="str">
        <f aca="false">IF('TASKS AND ROAD SEGMENT MATRIX'!V7-1&gt;0,'TASKS AND ROAD SEGMENT MATRIX'!V7-1,"-")</f>
        <v>-</v>
      </c>
      <c r="J7" s="23" t="str">
        <f aca="false">IF('TASKS AND ROAD SEGMENT MATRIX'!W7-1&gt;0,'TASKS AND ROAD SEGMENT MATRIX'!W7-1,"-")</f>
        <v>-</v>
      </c>
      <c r="K7" s="23" t="str">
        <f aca="false">IF('TASKS AND ROAD SEGMENT MATRIX'!X7-1&gt;0,'TASKS AND ROAD SEGMENT MATRIX'!X7-1,"-")</f>
        <v>-</v>
      </c>
      <c r="L7" s="23" t="str">
        <f aca="false">IF('TASKS AND ROAD SEGMENT MATRIX'!Y7-1&gt;0,'TASKS AND ROAD SEGMENT MATRIX'!Y7-1,"-")</f>
        <v>-</v>
      </c>
      <c r="M7" s="23" t="str">
        <f aca="false">IF('TASKS AND ROAD SEGMENT MATRIX'!Z7-1&gt;0,'TASKS AND ROAD SEGMENT MATRIX'!Z7-1,"-")</f>
        <v>-</v>
      </c>
      <c r="N7" s="23" t="str">
        <f aca="false">IF('TASKS AND ROAD SEGMENT MATRIX'!AA7-1&gt;0,'TASKS AND ROAD SEGMENT MATRIX'!AA7-1,"-")</f>
        <v>-</v>
      </c>
      <c r="O7" s="23" t="str">
        <f aca="false">IF('TASKS AND ROAD SEGMENT MATRIX'!AB7-1&gt;0,'TASKS AND ROAD SEGMENT MATRIX'!AB7-1,"-")</f>
        <v>-</v>
      </c>
      <c r="P7" s="23" t="str">
        <f aca="false">IF('TASKS AND ROAD SEGMENT MATRIX'!AC7-1&gt;0,'TASKS AND ROAD SEGMENT MATRIX'!AC7-1,"-")</f>
        <v>-</v>
      </c>
      <c r="Q7" s="23" t="str">
        <f aca="false">IF('TASKS AND ROAD SEGMENT MATRIX'!AD7-1&gt;0,'TASKS AND ROAD SEGMENT MATRIX'!AD7-1,"-")</f>
        <v>-</v>
      </c>
      <c r="R7" s="23" t="str">
        <f aca="false">IF('TASKS AND ROAD SEGMENT MATRIX'!AE7-1&gt;0,'TASKS AND ROAD SEGMENT MATRIX'!AE7-1,"-")</f>
        <v>-</v>
      </c>
      <c r="S7" s="23" t="str">
        <f aca="false">IF('TASKS AND ROAD SEGMENT MATRIX'!AF7-1&gt;0,'TASKS AND ROAD SEGMENT MATRIX'!AF7-1,"-")</f>
        <v>-</v>
      </c>
      <c r="T7" s="23" t="n">
        <f aca="false">IF('TASKS AND ROAD SEGMENT MATRIX'!AG7-1&gt;0,'TASKS AND ROAD SEGMENT MATRIX'!AG7-1,"-")</f>
        <v>0.452265314447438</v>
      </c>
      <c r="U7" s="23" t="str">
        <f aca="false">IF('TASKS AND ROAD SEGMENT MATRIX'!AH7-1&gt;0,'TASKS AND ROAD SEGMENT MATRIX'!AH7-1,"-")</f>
        <v>-</v>
      </c>
      <c r="V7" s="23" t="str">
        <f aca="false">IF('TASKS AND ROAD SEGMENT MATRIX'!AI7-1&gt;0,'TASKS AND ROAD SEGMENT MATRIX'!AI7-1,"-")</f>
        <v>-</v>
      </c>
      <c r="W7" s="23" t="str">
        <f aca="false">IF('TASKS AND ROAD SEGMENT MATRIX'!AJ7-1&gt;0,'TASKS AND ROAD SEGMENT MATRIX'!AJ7-1,"-")</f>
        <v>-</v>
      </c>
      <c r="X7" s="23" t="str">
        <f aca="false">IF('TASKS AND ROAD SEGMENT MATRIX'!AK7-1&gt;0,'TASKS AND ROAD SEGMENT MATRIX'!AK7-1,"-")</f>
        <v>-</v>
      </c>
      <c r="Y7" s="23" t="str">
        <f aca="false">IF('TASKS AND ROAD SEGMENT MATRIX'!AL7-1&gt;0,'TASKS AND ROAD SEGMENT MATRIX'!AL7-1,"-")</f>
        <v>-</v>
      </c>
      <c r="Z7" s="23" t="n">
        <f aca="false">IF('TASKS AND ROAD SEGMENT MATRIX'!AM7-1&gt;0,'TASKS AND ROAD SEGMENT MATRIX'!AM7-1,"-")</f>
        <v>0.452265314447438</v>
      </c>
      <c r="AA7" s="23" t="str">
        <f aca="false">IF('TASKS AND ROAD SEGMENT MATRIX'!AN7-1&gt;0,'TASKS AND ROAD SEGMENT MATRIX'!AN7-1,"-")</f>
        <v>-</v>
      </c>
      <c r="AB7" s="23" t="str">
        <f aca="false">IF('TASKS AND ROAD SEGMENT MATRIX'!AO7-1&gt;0,'TASKS AND ROAD SEGMENT MATRIX'!AO7-1,"-")</f>
        <v>-</v>
      </c>
      <c r="AC7" s="23" t="str">
        <f aca="false">IF('TASKS AND ROAD SEGMENT MATRIX'!AP7-1&gt;0,'TASKS AND ROAD SEGMENT MATRIX'!AP7-1,"-")</f>
        <v>-</v>
      </c>
      <c r="AD7" s="23" t="str">
        <f aca="false">IF('TASKS AND ROAD SEGMENT MATRIX'!AQ7-1&gt;0,'TASKS AND ROAD SEGMENT MATRIX'!AQ7-1,"-")</f>
        <v>-</v>
      </c>
      <c r="AE7" s="23" t="str">
        <f aca="false">IF('TASKS AND ROAD SEGMENT MATRIX'!AR7-1&gt;0,'TASKS AND ROAD SEGMENT MATRIX'!AR7-1,"-")</f>
        <v>-</v>
      </c>
      <c r="AF7" s="23" t="str">
        <f aca="false">IF('TASKS AND ROAD SEGMENT MATRIX'!AS7-1&gt;0,'TASKS AND ROAD SEGMENT MATRIX'!AS7-1,"-")</f>
        <v>-</v>
      </c>
      <c r="AG7" s="23" t="str">
        <f aca="false">IF('TASKS AND ROAD SEGMENT MATRIX'!AT7-1&gt;0,'TASKS AND ROAD SEGMENT MATRIX'!AT7-1,"-")</f>
        <v>-</v>
      </c>
      <c r="AH7" s="23" t="str">
        <f aca="false">IF('TASKS AND ROAD SEGMENT MATRIX'!AU7-1&gt;0,'TASKS AND ROAD SEGMENT MATRIX'!AU7-1,"-")</f>
        <v>-</v>
      </c>
      <c r="AI7" s="23" t="str">
        <f aca="false">IF('TASKS AND ROAD SEGMENT MATRIX'!AV7-1&gt;0,'TASKS AND ROAD SEGMENT MATRIX'!AV7-1,"-")</f>
        <v>-</v>
      </c>
      <c r="AJ7" s="23" t="str">
        <f aca="false">IF('TASKS AND ROAD SEGMENT MATRIX'!AW7-1&gt;0,'TASKS AND ROAD SEGMENT MATRIX'!AW7-1,"-")</f>
        <v>-</v>
      </c>
      <c r="AK7" s="23" t="str">
        <f aca="false">IF('TASKS AND ROAD SEGMENT MATRIX'!AX7-1&gt;0,'TASKS AND ROAD SEGMENT MATRIX'!AX7-1,"-")</f>
        <v>-</v>
      </c>
      <c r="AL7" s="23" t="str">
        <f aca="false">IF('TASKS AND ROAD SEGMENT MATRIX'!AY7-1&gt;0,'TASKS AND ROAD SEGMENT MATRIX'!AY7-1,"-")</f>
        <v>-</v>
      </c>
      <c r="AM7" s="23" t="str">
        <f aca="false">IF('TASKS AND ROAD SEGMENT MATRIX'!AZ7-1&gt;0,'TASKS AND ROAD SEGMENT MATRIX'!AZ7-1,"-")</f>
        <v>-</v>
      </c>
      <c r="AN7" s="23" t="str">
        <f aca="false">IF('TASKS AND ROAD SEGMENT MATRIX'!BA7-1&gt;0,'TASKS AND ROAD SEGMENT MATRIX'!BA7-1,"-")</f>
        <v>-</v>
      </c>
      <c r="AO7" s="23" t="str">
        <f aca="false">IF('TASKS AND ROAD SEGMENT MATRIX'!BB7-1&gt;0,'TASKS AND ROAD SEGMENT MATRIX'!BB7-1,"-")</f>
        <v>-</v>
      </c>
      <c r="AP7" s="23" t="str">
        <f aca="false">IF('TASKS AND ROAD SEGMENT MATRIX'!BC7-1&gt;0,'TASKS AND ROAD SEGMENT MATRIX'!BC7-1,"-")</f>
        <v>-</v>
      </c>
      <c r="AQ7" s="23" t="str">
        <f aca="false">IF('TASKS AND ROAD SEGMENT MATRIX'!BD7-1&gt;0,'TASKS AND ROAD SEGMENT MATRIX'!BD7-1,"-")</f>
        <v>-</v>
      </c>
      <c r="AR7" s="23" t="n">
        <f aca="false">IF('TASKS AND ROAD SEGMENT MATRIX'!BE7-1&gt;0,'TASKS AND ROAD SEGMENT MATRIX'!BE7-1,"-")</f>
        <v>0.452265314447438</v>
      </c>
      <c r="AS7" s="23" t="n">
        <f aca="false">IF('TASKS AND ROAD SEGMENT MATRIX'!BF7-1&gt;0,'TASKS AND ROAD SEGMENT MATRIX'!BF7-1,"-")</f>
        <v>0.904530628894875</v>
      </c>
      <c r="AT7" s="23" t="n">
        <f aca="false">IF('TASKS AND ROAD SEGMENT MATRIX'!BG7-1&gt;0,'TASKS AND ROAD SEGMENT MATRIX'!BG7-1,"-")</f>
        <v>0.904530628894875</v>
      </c>
      <c r="AU7" s="23" t="n">
        <f aca="false">IF('TASKS AND ROAD SEGMENT MATRIX'!BH7-1&gt;0,'TASKS AND ROAD SEGMENT MATRIX'!BH7-1,"-")</f>
        <v>0.452265314447438</v>
      </c>
    </row>
    <row r="8" customFormat="false" ht="13.8" hidden="false" customHeight="false" outlineLevel="0" collapsed="false">
      <c r="A8" s="11" t="s">
        <v>53</v>
      </c>
      <c r="B8" s="0" t="s">
        <v>117</v>
      </c>
      <c r="C8" s="23" t="n">
        <f aca="false">IF('TASKS AND ROAD SEGMENT MATRIX'!P8-1&gt;0,'TASKS AND ROAD SEGMENT MATRIX'!P8-1,"-")</f>
        <v>0.753775524079062</v>
      </c>
      <c r="D8" s="23" t="n">
        <f aca="false">IF('TASKS AND ROAD SEGMENT MATRIX'!Q8-1&gt;0,'TASKS AND ROAD SEGMENT MATRIX'!Q8-1,"-")</f>
        <v>0.753775524079062</v>
      </c>
      <c r="E8" s="23" t="n">
        <f aca="false">IF('TASKS AND ROAD SEGMENT MATRIX'!R8-1&gt;0,'TASKS AND ROAD SEGMENT MATRIX'!R8-1,"-")</f>
        <v>0.376887762039531</v>
      </c>
      <c r="F8" s="23" t="n">
        <f aca="false">IF('TASKS AND ROAD SEGMENT MATRIX'!S8-1&gt;0,'TASKS AND ROAD SEGMENT MATRIX'!S8-1,"-")</f>
        <v>0.753775524079062</v>
      </c>
      <c r="G8" s="23" t="n">
        <f aca="false">IF('TASKS AND ROAD SEGMENT MATRIX'!T8-1&gt;0,'TASKS AND ROAD SEGMENT MATRIX'!T8-1,"-")</f>
        <v>0.376887762039531</v>
      </c>
      <c r="H8" s="23" t="n">
        <f aca="false">IF('TASKS AND ROAD SEGMENT MATRIX'!U8-1&gt;0,'TASKS AND ROAD SEGMENT MATRIX'!U8-1,"-")</f>
        <v>0.376887762039531</v>
      </c>
      <c r="I8" s="23" t="str">
        <f aca="false">IF('TASKS AND ROAD SEGMENT MATRIX'!V8-1&gt;0,'TASKS AND ROAD SEGMENT MATRIX'!V8-1,"-")</f>
        <v>-</v>
      </c>
      <c r="J8" s="23" t="str">
        <f aca="false">IF('TASKS AND ROAD SEGMENT MATRIX'!W8-1&gt;0,'TASKS AND ROAD SEGMENT MATRIX'!W8-1,"-")</f>
        <v>-</v>
      </c>
      <c r="K8" s="23" t="str">
        <f aca="false">IF('TASKS AND ROAD SEGMENT MATRIX'!X8-1&gt;0,'TASKS AND ROAD SEGMENT MATRIX'!X8-1,"-")</f>
        <v>-</v>
      </c>
      <c r="L8" s="23" t="str">
        <f aca="false">IF('TASKS AND ROAD SEGMENT MATRIX'!Y8-1&gt;0,'TASKS AND ROAD SEGMENT MATRIX'!Y8-1,"-")</f>
        <v>-</v>
      </c>
      <c r="M8" s="23" t="str">
        <f aca="false">IF('TASKS AND ROAD SEGMENT MATRIX'!Z8-1&gt;0,'TASKS AND ROAD SEGMENT MATRIX'!Z8-1,"-")</f>
        <v>-</v>
      </c>
      <c r="N8" s="23" t="str">
        <f aca="false">IF('TASKS AND ROAD SEGMENT MATRIX'!AA8-1&gt;0,'TASKS AND ROAD SEGMENT MATRIX'!AA8-1,"-")</f>
        <v>-</v>
      </c>
      <c r="O8" s="23" t="str">
        <f aca="false">IF('TASKS AND ROAD SEGMENT MATRIX'!AB8-1&gt;0,'TASKS AND ROAD SEGMENT MATRIX'!AB8-1,"-")</f>
        <v>-</v>
      </c>
      <c r="P8" s="23" t="str">
        <f aca="false">IF('TASKS AND ROAD SEGMENT MATRIX'!AC8-1&gt;0,'TASKS AND ROAD SEGMENT MATRIX'!AC8-1,"-")</f>
        <v>-</v>
      </c>
      <c r="Q8" s="23" t="str">
        <f aca="false">IF('TASKS AND ROAD SEGMENT MATRIX'!AD8-1&gt;0,'TASKS AND ROAD SEGMENT MATRIX'!AD8-1,"-")</f>
        <v>-</v>
      </c>
      <c r="R8" s="23" t="str">
        <f aca="false">IF('TASKS AND ROAD SEGMENT MATRIX'!AE8-1&gt;0,'TASKS AND ROAD SEGMENT MATRIX'!AE8-1,"-")</f>
        <v>-</v>
      </c>
      <c r="S8" s="23" t="str">
        <f aca="false">IF('TASKS AND ROAD SEGMENT MATRIX'!AF8-1&gt;0,'TASKS AND ROAD SEGMENT MATRIX'!AF8-1,"-")</f>
        <v>-</v>
      </c>
      <c r="T8" s="23" t="n">
        <f aca="false">IF('TASKS AND ROAD SEGMENT MATRIX'!AG8-1&gt;0,'TASKS AND ROAD SEGMENT MATRIX'!AG8-1,"-")</f>
        <v>0.376887762039531</v>
      </c>
      <c r="U8" s="23" t="str">
        <f aca="false">IF('TASKS AND ROAD SEGMENT MATRIX'!AH8-1&gt;0,'TASKS AND ROAD SEGMENT MATRIX'!AH8-1,"-")</f>
        <v>-</v>
      </c>
      <c r="V8" s="23" t="str">
        <f aca="false">IF('TASKS AND ROAD SEGMENT MATRIX'!AI8-1&gt;0,'TASKS AND ROAD SEGMENT MATRIX'!AI8-1,"-")</f>
        <v>-</v>
      </c>
      <c r="W8" s="23" t="str">
        <f aca="false">IF('TASKS AND ROAD SEGMENT MATRIX'!AJ8-1&gt;0,'TASKS AND ROAD SEGMENT MATRIX'!AJ8-1,"-")</f>
        <v>-</v>
      </c>
      <c r="X8" s="23" t="str">
        <f aca="false">IF('TASKS AND ROAD SEGMENT MATRIX'!AK8-1&gt;0,'TASKS AND ROAD SEGMENT MATRIX'!AK8-1,"-")</f>
        <v>-</v>
      </c>
      <c r="Y8" s="23" t="str">
        <f aca="false">IF('TASKS AND ROAD SEGMENT MATRIX'!AL8-1&gt;0,'TASKS AND ROAD SEGMENT MATRIX'!AL8-1,"-")</f>
        <v>-</v>
      </c>
      <c r="Z8" s="23" t="n">
        <f aca="false">IF('TASKS AND ROAD SEGMENT MATRIX'!AM8-1&gt;0,'TASKS AND ROAD SEGMENT MATRIX'!AM8-1,"-")</f>
        <v>0.376887762039531</v>
      </c>
      <c r="AA8" s="23" t="str">
        <f aca="false">IF('TASKS AND ROAD SEGMENT MATRIX'!AN8-1&gt;0,'TASKS AND ROAD SEGMENT MATRIX'!AN8-1,"-")</f>
        <v>-</v>
      </c>
      <c r="AB8" s="23" t="str">
        <f aca="false">IF('TASKS AND ROAD SEGMENT MATRIX'!AO8-1&gt;0,'TASKS AND ROAD SEGMENT MATRIX'!AO8-1,"-")</f>
        <v>-</v>
      </c>
      <c r="AC8" s="23" t="str">
        <f aca="false">IF('TASKS AND ROAD SEGMENT MATRIX'!AP8-1&gt;0,'TASKS AND ROAD SEGMENT MATRIX'!AP8-1,"-")</f>
        <v>-</v>
      </c>
      <c r="AD8" s="23" t="str">
        <f aca="false">IF('TASKS AND ROAD SEGMENT MATRIX'!AQ8-1&gt;0,'TASKS AND ROAD SEGMENT MATRIX'!AQ8-1,"-")</f>
        <v>-</v>
      </c>
      <c r="AE8" s="23" t="str">
        <f aca="false">IF('TASKS AND ROAD SEGMENT MATRIX'!AR8-1&gt;0,'TASKS AND ROAD SEGMENT MATRIX'!AR8-1,"-")</f>
        <v>-</v>
      </c>
      <c r="AF8" s="23" t="str">
        <f aca="false">IF('TASKS AND ROAD SEGMENT MATRIX'!AS8-1&gt;0,'TASKS AND ROAD SEGMENT MATRIX'!AS8-1,"-")</f>
        <v>-</v>
      </c>
      <c r="AG8" s="23" t="str">
        <f aca="false">IF('TASKS AND ROAD SEGMENT MATRIX'!AT8-1&gt;0,'TASKS AND ROAD SEGMENT MATRIX'!AT8-1,"-")</f>
        <v>-</v>
      </c>
      <c r="AH8" s="23" t="str">
        <f aca="false">IF('TASKS AND ROAD SEGMENT MATRIX'!AU8-1&gt;0,'TASKS AND ROAD SEGMENT MATRIX'!AU8-1,"-")</f>
        <v>-</v>
      </c>
      <c r="AI8" s="23" t="str">
        <f aca="false">IF('TASKS AND ROAD SEGMENT MATRIX'!AV8-1&gt;0,'TASKS AND ROAD SEGMENT MATRIX'!AV8-1,"-")</f>
        <v>-</v>
      </c>
      <c r="AJ8" s="23" t="str">
        <f aca="false">IF('TASKS AND ROAD SEGMENT MATRIX'!AW8-1&gt;0,'TASKS AND ROAD SEGMENT MATRIX'!AW8-1,"-")</f>
        <v>-</v>
      </c>
      <c r="AK8" s="23" t="str">
        <f aca="false">IF('TASKS AND ROAD SEGMENT MATRIX'!AX8-1&gt;0,'TASKS AND ROAD SEGMENT MATRIX'!AX8-1,"-")</f>
        <v>-</v>
      </c>
      <c r="AL8" s="23" t="str">
        <f aca="false">IF('TASKS AND ROAD SEGMENT MATRIX'!AY8-1&gt;0,'TASKS AND ROAD SEGMENT MATRIX'!AY8-1,"-")</f>
        <v>-</v>
      </c>
      <c r="AM8" s="23" t="str">
        <f aca="false">IF('TASKS AND ROAD SEGMENT MATRIX'!AZ8-1&gt;0,'TASKS AND ROAD SEGMENT MATRIX'!AZ8-1,"-")</f>
        <v>-</v>
      </c>
      <c r="AN8" s="23" t="str">
        <f aca="false">IF('TASKS AND ROAD SEGMENT MATRIX'!BA8-1&gt;0,'TASKS AND ROAD SEGMENT MATRIX'!BA8-1,"-")</f>
        <v>-</v>
      </c>
      <c r="AO8" s="23" t="str">
        <f aca="false">IF('TASKS AND ROAD SEGMENT MATRIX'!BB8-1&gt;0,'TASKS AND ROAD SEGMENT MATRIX'!BB8-1,"-")</f>
        <v>-</v>
      </c>
      <c r="AP8" s="23" t="str">
        <f aca="false">IF('TASKS AND ROAD SEGMENT MATRIX'!BC8-1&gt;0,'TASKS AND ROAD SEGMENT MATRIX'!BC8-1,"-")</f>
        <v>-</v>
      </c>
      <c r="AQ8" s="23" t="str">
        <f aca="false">IF('TASKS AND ROAD SEGMENT MATRIX'!BD8-1&gt;0,'TASKS AND ROAD SEGMENT MATRIX'!BD8-1,"-")</f>
        <v>-</v>
      </c>
      <c r="AR8" s="23" t="n">
        <f aca="false">IF('TASKS AND ROAD SEGMENT MATRIX'!BE8-1&gt;0,'TASKS AND ROAD SEGMENT MATRIX'!BE8-1,"-")</f>
        <v>0.376887762039531</v>
      </c>
      <c r="AS8" s="23" t="n">
        <f aca="false">IF('TASKS AND ROAD SEGMENT MATRIX'!BF8-1&gt;0,'TASKS AND ROAD SEGMENT MATRIX'!BF8-1,"-")</f>
        <v>0.753775524079062</v>
      </c>
      <c r="AT8" s="23" t="n">
        <f aca="false">IF('TASKS AND ROAD SEGMENT MATRIX'!BG8-1&gt;0,'TASKS AND ROAD SEGMENT MATRIX'!BG8-1,"-")</f>
        <v>0.753775524079062</v>
      </c>
      <c r="AU8" s="23" t="n">
        <f aca="false">IF('TASKS AND ROAD SEGMENT MATRIX'!BH8-1&gt;0,'TASKS AND ROAD SEGMENT MATRIX'!BH8-1,"-")</f>
        <v>0.376887762039531</v>
      </c>
    </row>
    <row r="9" customFormat="false" ht="13.8" hidden="false" customHeight="false" outlineLevel="0" collapsed="false">
      <c r="A9" s="11" t="s">
        <v>53</v>
      </c>
      <c r="B9" s="0" t="s">
        <v>119</v>
      </c>
      <c r="C9" s="23" t="n">
        <f aca="false">IF('TASKS AND ROAD SEGMENT MATRIX'!P9-1&gt;0,'TASKS AND ROAD SEGMENT MATRIX'!P9-1,"-")</f>
        <v>0.904530628894875</v>
      </c>
      <c r="D9" s="23" t="n">
        <f aca="false">IF('TASKS AND ROAD SEGMENT MATRIX'!Q9-1&gt;0,'TASKS AND ROAD SEGMENT MATRIX'!Q9-1,"-")</f>
        <v>0.904530628894875</v>
      </c>
      <c r="E9" s="23" t="n">
        <f aca="false">IF('TASKS AND ROAD SEGMENT MATRIX'!R9-1&gt;0,'TASKS AND ROAD SEGMENT MATRIX'!R9-1,"-")</f>
        <v>0.904530628894875</v>
      </c>
      <c r="F9" s="23" t="n">
        <f aca="false">IF('TASKS AND ROAD SEGMENT MATRIX'!S9-1&gt;0,'TASKS AND ROAD SEGMENT MATRIX'!S9-1,"-")</f>
        <v>0.904530628894875</v>
      </c>
      <c r="G9" s="23" t="n">
        <f aca="false">IF('TASKS AND ROAD SEGMENT MATRIX'!T9-1&gt;0,'TASKS AND ROAD SEGMENT MATRIX'!T9-1,"-")</f>
        <v>0.452265314447438</v>
      </c>
      <c r="H9" s="23" t="n">
        <f aca="false">IF('TASKS AND ROAD SEGMENT MATRIX'!U9-1&gt;0,'TASKS AND ROAD SEGMENT MATRIX'!U9-1,"-")</f>
        <v>0.452265314447438</v>
      </c>
      <c r="I9" s="23" t="str">
        <f aca="false">IF('TASKS AND ROAD SEGMENT MATRIX'!V9-1&gt;0,'TASKS AND ROAD SEGMENT MATRIX'!V9-1,"-")</f>
        <v>-</v>
      </c>
      <c r="J9" s="23" t="str">
        <f aca="false">IF('TASKS AND ROAD SEGMENT MATRIX'!W9-1&gt;0,'TASKS AND ROAD SEGMENT MATRIX'!W9-1,"-")</f>
        <v>-</v>
      </c>
      <c r="K9" s="23" t="str">
        <f aca="false">IF('TASKS AND ROAD SEGMENT MATRIX'!X9-1&gt;0,'TASKS AND ROAD SEGMENT MATRIX'!X9-1,"-")</f>
        <v>-</v>
      </c>
      <c r="L9" s="23" t="str">
        <f aca="false">IF('TASKS AND ROAD SEGMENT MATRIX'!Y9-1&gt;0,'TASKS AND ROAD SEGMENT MATRIX'!Y9-1,"-")</f>
        <v>-</v>
      </c>
      <c r="M9" s="23" t="str">
        <f aca="false">IF('TASKS AND ROAD SEGMENT MATRIX'!Z9-1&gt;0,'TASKS AND ROAD SEGMENT MATRIX'!Z9-1,"-")</f>
        <v>-</v>
      </c>
      <c r="N9" s="23" t="str">
        <f aca="false">IF('TASKS AND ROAD SEGMENT MATRIX'!AA9-1&gt;0,'TASKS AND ROAD SEGMENT MATRIX'!AA9-1,"-")</f>
        <v>-</v>
      </c>
      <c r="O9" s="23" t="str">
        <f aca="false">IF('TASKS AND ROAD SEGMENT MATRIX'!AB9-1&gt;0,'TASKS AND ROAD SEGMENT MATRIX'!AB9-1,"-")</f>
        <v>-</v>
      </c>
      <c r="P9" s="23" t="str">
        <f aca="false">IF('TASKS AND ROAD SEGMENT MATRIX'!AC9-1&gt;0,'TASKS AND ROAD SEGMENT MATRIX'!AC9-1,"-")</f>
        <v>-</v>
      </c>
      <c r="Q9" s="23" t="str">
        <f aca="false">IF('TASKS AND ROAD SEGMENT MATRIX'!AD9-1&gt;0,'TASKS AND ROAD SEGMENT MATRIX'!AD9-1,"-")</f>
        <v>-</v>
      </c>
      <c r="R9" s="23" t="str">
        <f aca="false">IF('TASKS AND ROAD SEGMENT MATRIX'!AE9-1&gt;0,'TASKS AND ROAD SEGMENT MATRIX'!AE9-1,"-")</f>
        <v>-</v>
      </c>
      <c r="S9" s="23" t="str">
        <f aca="false">IF('TASKS AND ROAD SEGMENT MATRIX'!AF9-1&gt;0,'TASKS AND ROAD SEGMENT MATRIX'!AF9-1,"-")</f>
        <v>-</v>
      </c>
      <c r="T9" s="23" t="n">
        <f aca="false">IF('TASKS AND ROAD SEGMENT MATRIX'!AG9-1&gt;0,'TASKS AND ROAD SEGMENT MATRIX'!AG9-1,"-")</f>
        <v>0.452265314447438</v>
      </c>
      <c r="U9" s="23" t="str">
        <f aca="false">IF('TASKS AND ROAD SEGMENT MATRIX'!AH9-1&gt;0,'TASKS AND ROAD SEGMENT MATRIX'!AH9-1,"-")</f>
        <v>-</v>
      </c>
      <c r="V9" s="23" t="str">
        <f aca="false">IF('TASKS AND ROAD SEGMENT MATRIX'!AI9-1&gt;0,'TASKS AND ROAD SEGMENT MATRIX'!AI9-1,"-")</f>
        <v>-</v>
      </c>
      <c r="W9" s="23" t="str">
        <f aca="false">IF('TASKS AND ROAD SEGMENT MATRIX'!AJ9-1&gt;0,'TASKS AND ROAD SEGMENT MATRIX'!AJ9-1,"-")</f>
        <v>-</v>
      </c>
      <c r="X9" s="23" t="str">
        <f aca="false">IF('TASKS AND ROAD SEGMENT MATRIX'!AK9-1&gt;0,'TASKS AND ROAD SEGMENT MATRIX'!AK9-1,"-")</f>
        <v>-</v>
      </c>
      <c r="Y9" s="23" t="str">
        <f aca="false">IF('TASKS AND ROAD SEGMENT MATRIX'!AL9-1&gt;0,'TASKS AND ROAD SEGMENT MATRIX'!AL9-1,"-")</f>
        <v>-</v>
      </c>
      <c r="Z9" s="23" t="n">
        <f aca="false">IF('TASKS AND ROAD SEGMENT MATRIX'!AM9-1&gt;0,'TASKS AND ROAD SEGMENT MATRIX'!AM9-1,"-")</f>
        <v>0.452265314447438</v>
      </c>
      <c r="AA9" s="23" t="str">
        <f aca="false">IF('TASKS AND ROAD SEGMENT MATRIX'!AN9-1&gt;0,'TASKS AND ROAD SEGMENT MATRIX'!AN9-1,"-")</f>
        <v>-</v>
      </c>
      <c r="AB9" s="23" t="str">
        <f aca="false">IF('TASKS AND ROAD SEGMENT MATRIX'!AO9-1&gt;0,'TASKS AND ROAD SEGMENT MATRIX'!AO9-1,"-")</f>
        <v>-</v>
      </c>
      <c r="AC9" s="23" t="str">
        <f aca="false">IF('TASKS AND ROAD SEGMENT MATRIX'!AP9-1&gt;0,'TASKS AND ROAD SEGMENT MATRIX'!AP9-1,"-")</f>
        <v>-</v>
      </c>
      <c r="AD9" s="23" t="str">
        <f aca="false">IF('TASKS AND ROAD SEGMENT MATRIX'!AQ9-1&gt;0,'TASKS AND ROAD SEGMENT MATRIX'!AQ9-1,"-")</f>
        <v>-</v>
      </c>
      <c r="AE9" s="23" t="str">
        <f aca="false">IF('TASKS AND ROAD SEGMENT MATRIX'!AR9-1&gt;0,'TASKS AND ROAD SEGMENT MATRIX'!AR9-1,"-")</f>
        <v>-</v>
      </c>
      <c r="AF9" s="23" t="str">
        <f aca="false">IF('TASKS AND ROAD SEGMENT MATRIX'!AS9-1&gt;0,'TASKS AND ROAD SEGMENT MATRIX'!AS9-1,"-")</f>
        <v>-</v>
      </c>
      <c r="AG9" s="23" t="str">
        <f aca="false">IF('TASKS AND ROAD SEGMENT MATRIX'!AT9-1&gt;0,'TASKS AND ROAD SEGMENT MATRIX'!AT9-1,"-")</f>
        <v>-</v>
      </c>
      <c r="AH9" s="23" t="str">
        <f aca="false">IF('TASKS AND ROAD SEGMENT MATRIX'!AU9-1&gt;0,'TASKS AND ROAD SEGMENT MATRIX'!AU9-1,"-")</f>
        <v>-</v>
      </c>
      <c r="AI9" s="23" t="str">
        <f aca="false">IF('TASKS AND ROAD SEGMENT MATRIX'!AV9-1&gt;0,'TASKS AND ROAD SEGMENT MATRIX'!AV9-1,"-")</f>
        <v>-</v>
      </c>
      <c r="AJ9" s="23" t="str">
        <f aca="false">IF('TASKS AND ROAD SEGMENT MATRIX'!AW9-1&gt;0,'TASKS AND ROAD SEGMENT MATRIX'!AW9-1,"-")</f>
        <v>-</v>
      </c>
      <c r="AK9" s="23" t="str">
        <f aca="false">IF('TASKS AND ROAD SEGMENT MATRIX'!AX9-1&gt;0,'TASKS AND ROAD SEGMENT MATRIX'!AX9-1,"-")</f>
        <v>-</v>
      </c>
      <c r="AL9" s="23" t="str">
        <f aca="false">IF('TASKS AND ROAD SEGMENT MATRIX'!AY9-1&gt;0,'TASKS AND ROAD SEGMENT MATRIX'!AY9-1,"-")</f>
        <v>-</v>
      </c>
      <c r="AM9" s="23" t="str">
        <f aca="false">IF('TASKS AND ROAD SEGMENT MATRIX'!AZ9-1&gt;0,'TASKS AND ROAD SEGMENT MATRIX'!AZ9-1,"-")</f>
        <v>-</v>
      </c>
      <c r="AN9" s="23" t="str">
        <f aca="false">IF('TASKS AND ROAD SEGMENT MATRIX'!BA9-1&gt;0,'TASKS AND ROAD SEGMENT MATRIX'!BA9-1,"-")</f>
        <v>-</v>
      </c>
      <c r="AO9" s="23" t="str">
        <f aca="false">IF('TASKS AND ROAD SEGMENT MATRIX'!BB9-1&gt;0,'TASKS AND ROAD SEGMENT MATRIX'!BB9-1,"-")</f>
        <v>-</v>
      </c>
      <c r="AP9" s="23" t="str">
        <f aca="false">IF('TASKS AND ROAD SEGMENT MATRIX'!BC9-1&gt;0,'TASKS AND ROAD SEGMENT MATRIX'!BC9-1,"-")</f>
        <v>-</v>
      </c>
      <c r="AQ9" s="23" t="str">
        <f aca="false">IF('TASKS AND ROAD SEGMENT MATRIX'!BD9-1&gt;0,'TASKS AND ROAD SEGMENT MATRIX'!BD9-1,"-")</f>
        <v>-</v>
      </c>
      <c r="AR9" s="23" t="n">
        <f aca="false">IF('TASKS AND ROAD SEGMENT MATRIX'!BE9-1&gt;0,'TASKS AND ROAD SEGMENT MATRIX'!BE9-1,"-")</f>
        <v>0.452265314447438</v>
      </c>
      <c r="AS9" s="23" t="n">
        <f aca="false">IF('TASKS AND ROAD SEGMENT MATRIX'!BF9-1&gt;0,'TASKS AND ROAD SEGMENT MATRIX'!BF9-1,"-")</f>
        <v>0.904530628894875</v>
      </c>
      <c r="AT9" s="23" t="n">
        <f aca="false">IF('TASKS AND ROAD SEGMENT MATRIX'!BG9-1&gt;0,'TASKS AND ROAD SEGMENT MATRIX'!BG9-1,"-")</f>
        <v>0.904530628894875</v>
      </c>
      <c r="AU9" s="23" t="n">
        <f aca="false">IF('TASKS AND ROAD SEGMENT MATRIX'!BH9-1&gt;0,'TASKS AND ROAD SEGMENT MATRIX'!BH9-1,"-")</f>
        <v>0.452265314447438</v>
      </c>
    </row>
    <row r="10" customFormat="false" ht="13.8" hidden="false" customHeight="false" outlineLevel="0" collapsed="false">
      <c r="A10" s="11" t="s">
        <v>54</v>
      </c>
      <c r="B10" s="0" t="s">
        <v>112</v>
      </c>
      <c r="C10" s="23" t="n">
        <f aca="false">IF('TASKS AND ROAD SEGMENT MATRIX'!P10-1&gt;0,'TASKS AND ROAD SEGMENT MATRIX'!P10-1,"-")</f>
        <v>0.301510209631625</v>
      </c>
      <c r="D10" s="23" t="n">
        <f aca="false">IF('TASKS AND ROAD SEGMENT MATRIX'!Q10-1&gt;0,'TASKS AND ROAD SEGMENT MATRIX'!Q10-1,"-")</f>
        <v>0.301510209631625</v>
      </c>
      <c r="E10" s="23" t="n">
        <f aca="false">IF('TASKS AND ROAD SEGMENT MATRIX'!R10-1&gt;0,'TASKS AND ROAD SEGMENT MATRIX'!R10-1,"-")</f>
        <v>0.60302041926325</v>
      </c>
      <c r="F10" s="23" t="str">
        <f aca="false">IF('TASKS AND ROAD SEGMENT MATRIX'!S10-1&gt;0,'TASKS AND ROAD SEGMENT MATRIX'!S10-1,"-")</f>
        <v>-</v>
      </c>
      <c r="G10" s="23" t="n">
        <f aca="false">IF('TASKS AND ROAD SEGMENT MATRIX'!T10-1&gt;0,'TASKS AND ROAD SEGMENT MATRIX'!T10-1,"-")</f>
        <v>0.60302041926325</v>
      </c>
      <c r="H10" s="23" t="n">
        <f aca="false">IF('TASKS AND ROAD SEGMENT MATRIX'!U10-1&gt;0,'TASKS AND ROAD SEGMENT MATRIX'!U10-1,"-")</f>
        <v>0.301510209631625</v>
      </c>
      <c r="I10" s="23" t="str">
        <f aca="false">IF('TASKS AND ROAD SEGMENT MATRIX'!V10-1&gt;0,'TASKS AND ROAD SEGMENT MATRIX'!V10-1,"-")</f>
        <v>-</v>
      </c>
      <c r="J10" s="23" t="str">
        <f aca="false">IF('TASKS AND ROAD SEGMENT MATRIX'!W10-1&gt;0,'TASKS AND ROAD SEGMENT MATRIX'!W10-1,"-")</f>
        <v>-</v>
      </c>
      <c r="K10" s="23" t="str">
        <f aca="false">IF('TASKS AND ROAD SEGMENT MATRIX'!X10-1&gt;0,'TASKS AND ROAD SEGMENT MATRIX'!X10-1,"-")</f>
        <v>-</v>
      </c>
      <c r="L10" s="23" t="str">
        <f aca="false">IF('TASKS AND ROAD SEGMENT MATRIX'!Y10-1&gt;0,'TASKS AND ROAD SEGMENT MATRIX'!Y10-1,"-")</f>
        <v>-</v>
      </c>
      <c r="M10" s="23" t="str">
        <f aca="false">IF('TASKS AND ROAD SEGMENT MATRIX'!Z10-1&gt;0,'TASKS AND ROAD SEGMENT MATRIX'!Z10-1,"-")</f>
        <v>-</v>
      </c>
      <c r="N10" s="23" t="str">
        <f aca="false">IF('TASKS AND ROAD SEGMENT MATRIX'!AA10-1&gt;0,'TASKS AND ROAD SEGMENT MATRIX'!AA10-1,"-")</f>
        <v>-</v>
      </c>
      <c r="O10" s="23" t="str">
        <f aca="false">IF('TASKS AND ROAD SEGMENT MATRIX'!AB10-1&gt;0,'TASKS AND ROAD SEGMENT MATRIX'!AB10-1,"-")</f>
        <v>-</v>
      </c>
      <c r="P10" s="23" t="str">
        <f aca="false">IF('TASKS AND ROAD SEGMENT MATRIX'!AC10-1&gt;0,'TASKS AND ROAD SEGMENT MATRIX'!AC10-1,"-")</f>
        <v>-</v>
      </c>
      <c r="Q10" s="23" t="str">
        <f aca="false">IF('TASKS AND ROAD SEGMENT MATRIX'!AD10-1&gt;0,'TASKS AND ROAD SEGMENT MATRIX'!AD10-1,"-")</f>
        <v>-</v>
      </c>
      <c r="R10" s="23" t="str">
        <f aca="false">IF('TASKS AND ROAD SEGMENT MATRIX'!AE10-1&gt;0,'TASKS AND ROAD SEGMENT MATRIX'!AE10-1,"-")</f>
        <v>-</v>
      </c>
      <c r="S10" s="23" t="str">
        <f aca="false">IF('TASKS AND ROAD SEGMENT MATRIX'!AF10-1&gt;0,'TASKS AND ROAD SEGMENT MATRIX'!AF10-1,"-")</f>
        <v>-</v>
      </c>
      <c r="T10" s="23" t="str">
        <f aca="false">IF('TASKS AND ROAD SEGMENT MATRIX'!AG10-1&gt;0,'TASKS AND ROAD SEGMENT MATRIX'!AG10-1,"-")</f>
        <v>-</v>
      </c>
      <c r="U10" s="23" t="str">
        <f aca="false">IF('TASKS AND ROAD SEGMENT MATRIX'!AH10-1&gt;0,'TASKS AND ROAD SEGMENT MATRIX'!AH10-1,"-")</f>
        <v>-</v>
      </c>
      <c r="V10" s="23" t="str">
        <f aca="false">IF('TASKS AND ROAD SEGMENT MATRIX'!AI10-1&gt;0,'TASKS AND ROAD SEGMENT MATRIX'!AI10-1,"-")</f>
        <v>-</v>
      </c>
      <c r="W10" s="23" t="str">
        <f aca="false">IF('TASKS AND ROAD SEGMENT MATRIX'!AJ10-1&gt;0,'TASKS AND ROAD SEGMENT MATRIX'!AJ10-1,"-")</f>
        <v>-</v>
      </c>
      <c r="X10" s="23" t="str">
        <f aca="false">IF('TASKS AND ROAD SEGMENT MATRIX'!AK10-1&gt;0,'TASKS AND ROAD SEGMENT MATRIX'!AK10-1,"-")</f>
        <v>-</v>
      </c>
      <c r="Y10" s="23" t="str">
        <f aca="false">IF('TASKS AND ROAD SEGMENT MATRIX'!AL10-1&gt;0,'TASKS AND ROAD SEGMENT MATRIX'!AL10-1,"-")</f>
        <v>-</v>
      </c>
      <c r="Z10" s="23" t="n">
        <f aca="false">IF('TASKS AND ROAD SEGMENT MATRIX'!AM10-1&gt;0,'TASKS AND ROAD SEGMENT MATRIX'!AM10-1,"-")</f>
        <v>0.301510209631625</v>
      </c>
      <c r="AA10" s="23" t="str">
        <f aca="false">IF('TASKS AND ROAD SEGMENT MATRIX'!AN10-1&gt;0,'TASKS AND ROAD SEGMENT MATRIX'!AN10-1,"-")</f>
        <v>-</v>
      </c>
      <c r="AB10" s="23" t="str">
        <f aca="false">IF('TASKS AND ROAD SEGMENT MATRIX'!AO10-1&gt;0,'TASKS AND ROAD SEGMENT MATRIX'!AO10-1,"-")</f>
        <v>-</v>
      </c>
      <c r="AC10" s="23" t="n">
        <f aca="false">IF('TASKS AND ROAD SEGMENT MATRIX'!AP10-1&gt;0,'TASKS AND ROAD SEGMENT MATRIX'!AP10-1,"-")</f>
        <v>0.301510209631625</v>
      </c>
      <c r="AD10" s="23" t="str">
        <f aca="false">IF('TASKS AND ROAD SEGMENT MATRIX'!AQ10-1&gt;0,'TASKS AND ROAD SEGMENT MATRIX'!AQ10-1,"-")</f>
        <v>-</v>
      </c>
      <c r="AE10" s="23" t="str">
        <f aca="false">IF('TASKS AND ROAD SEGMENT MATRIX'!AR10-1&gt;0,'TASKS AND ROAD SEGMENT MATRIX'!AR10-1,"-")</f>
        <v>-</v>
      </c>
      <c r="AF10" s="23" t="str">
        <f aca="false">IF('TASKS AND ROAD SEGMENT MATRIX'!AS10-1&gt;0,'TASKS AND ROAD SEGMENT MATRIX'!AS10-1,"-")</f>
        <v>-</v>
      </c>
      <c r="AG10" s="23" t="str">
        <f aca="false">IF('TASKS AND ROAD SEGMENT MATRIX'!AT10-1&gt;0,'TASKS AND ROAD SEGMENT MATRIX'!AT10-1,"-")</f>
        <v>-</v>
      </c>
      <c r="AH10" s="23" t="str">
        <f aca="false">IF('TASKS AND ROAD SEGMENT MATRIX'!AU10-1&gt;0,'TASKS AND ROAD SEGMENT MATRIX'!AU10-1,"-")</f>
        <v>-</v>
      </c>
      <c r="AI10" s="23" t="str">
        <f aca="false">IF('TASKS AND ROAD SEGMENT MATRIX'!AV10-1&gt;0,'TASKS AND ROAD SEGMENT MATRIX'!AV10-1,"-")</f>
        <v>-</v>
      </c>
      <c r="AJ10" s="23" t="str">
        <f aca="false">IF('TASKS AND ROAD SEGMENT MATRIX'!AW10-1&gt;0,'TASKS AND ROAD SEGMENT MATRIX'!AW10-1,"-")</f>
        <v>-</v>
      </c>
      <c r="AK10" s="23" t="str">
        <f aca="false">IF('TASKS AND ROAD SEGMENT MATRIX'!AX10-1&gt;0,'TASKS AND ROAD SEGMENT MATRIX'!AX10-1,"-")</f>
        <v>-</v>
      </c>
      <c r="AL10" s="23" t="str">
        <f aca="false">IF('TASKS AND ROAD SEGMENT MATRIX'!AY10-1&gt;0,'TASKS AND ROAD SEGMENT MATRIX'!AY10-1,"-")</f>
        <v>-</v>
      </c>
      <c r="AM10" s="23" t="str">
        <f aca="false">IF('TASKS AND ROAD SEGMENT MATRIX'!AZ10-1&gt;0,'TASKS AND ROAD SEGMENT MATRIX'!AZ10-1,"-")</f>
        <v>-</v>
      </c>
      <c r="AN10" s="23" t="str">
        <f aca="false">IF('TASKS AND ROAD SEGMENT MATRIX'!BA10-1&gt;0,'TASKS AND ROAD SEGMENT MATRIX'!BA10-1,"-")</f>
        <v>-</v>
      </c>
      <c r="AO10" s="23" t="str">
        <f aca="false">IF('TASKS AND ROAD SEGMENT MATRIX'!BB10-1&gt;0,'TASKS AND ROAD SEGMENT MATRIX'!BB10-1,"-")</f>
        <v>-</v>
      </c>
      <c r="AP10" s="23" t="str">
        <f aca="false">IF('TASKS AND ROAD SEGMENT MATRIX'!BC10-1&gt;0,'TASKS AND ROAD SEGMENT MATRIX'!BC10-1,"-")</f>
        <v>-</v>
      </c>
      <c r="AQ10" s="23" t="str">
        <f aca="false">IF('TASKS AND ROAD SEGMENT MATRIX'!BD10-1&gt;0,'TASKS AND ROAD SEGMENT MATRIX'!BD10-1,"-")</f>
        <v>-</v>
      </c>
      <c r="AR10" s="23" t="str">
        <f aca="false">IF('TASKS AND ROAD SEGMENT MATRIX'!BE10-1&gt;0,'TASKS AND ROAD SEGMENT MATRIX'!BE10-1,"-")</f>
        <v>-</v>
      </c>
      <c r="AS10" s="23" t="n">
        <f aca="false">IF('TASKS AND ROAD SEGMENT MATRIX'!BF10-1&gt;0,'TASKS AND ROAD SEGMENT MATRIX'!BF10-1,"-")</f>
        <v>0.301510209631625</v>
      </c>
      <c r="AT10" s="23" t="n">
        <f aca="false">IF('TASKS AND ROAD SEGMENT MATRIX'!BG10-1&gt;0,'TASKS AND ROAD SEGMENT MATRIX'!BG10-1,"-")</f>
        <v>0.60302041926325</v>
      </c>
      <c r="AU10" s="23" t="n">
        <f aca="false">IF('TASKS AND ROAD SEGMENT MATRIX'!BH10-1&gt;0,'TASKS AND ROAD SEGMENT MATRIX'!BH10-1,"-")</f>
        <v>0.60302041926325</v>
      </c>
    </row>
    <row r="11" customFormat="false" ht="13.8" hidden="false" customHeight="false" outlineLevel="0" collapsed="false">
      <c r="A11" s="11" t="s">
        <v>54</v>
      </c>
      <c r="B11" s="0" t="s">
        <v>115</v>
      </c>
      <c r="C11" s="23" t="n">
        <f aca="false">IF('TASKS AND ROAD SEGMENT MATRIX'!P11-1&gt;0,'TASKS AND ROAD SEGMENT MATRIX'!P11-1,"-")</f>
        <v>0.452265314447438</v>
      </c>
      <c r="D11" s="23" t="n">
        <f aca="false">IF('TASKS AND ROAD SEGMENT MATRIX'!Q11-1&gt;0,'TASKS AND ROAD SEGMENT MATRIX'!Q11-1,"-")</f>
        <v>0.452265314447438</v>
      </c>
      <c r="E11" s="23" t="n">
        <f aca="false">IF('TASKS AND ROAD SEGMENT MATRIX'!R11-1&gt;0,'TASKS AND ROAD SEGMENT MATRIX'!R11-1,"-")</f>
        <v>0.904530628894875</v>
      </c>
      <c r="F11" s="23" t="n">
        <f aca="false">IF('TASKS AND ROAD SEGMENT MATRIX'!S11-1&gt;0,'TASKS AND ROAD SEGMENT MATRIX'!S11-1,"-")</f>
        <v>0.904530628894875</v>
      </c>
      <c r="G11" s="23" t="n">
        <f aca="false">IF('TASKS AND ROAD SEGMENT MATRIX'!T11-1&gt;0,'TASKS AND ROAD SEGMENT MATRIX'!T11-1,"-")</f>
        <v>0.904530628894875</v>
      </c>
      <c r="H11" s="23" t="n">
        <f aca="false">IF('TASKS AND ROAD SEGMENT MATRIX'!U11-1&gt;0,'TASKS AND ROAD SEGMENT MATRIX'!U11-1,"-")</f>
        <v>0.452265314447438</v>
      </c>
      <c r="I11" s="23" t="str">
        <f aca="false">IF('TASKS AND ROAD SEGMENT MATRIX'!V11-1&gt;0,'TASKS AND ROAD SEGMENT MATRIX'!V11-1,"-")</f>
        <v>-</v>
      </c>
      <c r="J11" s="23" t="str">
        <f aca="false">IF('TASKS AND ROAD SEGMENT MATRIX'!W11-1&gt;0,'TASKS AND ROAD SEGMENT MATRIX'!W11-1,"-")</f>
        <v>-</v>
      </c>
      <c r="K11" s="23" t="str">
        <f aca="false">IF('TASKS AND ROAD SEGMENT MATRIX'!X11-1&gt;0,'TASKS AND ROAD SEGMENT MATRIX'!X11-1,"-")</f>
        <v>-</v>
      </c>
      <c r="L11" s="23" t="str">
        <f aca="false">IF('TASKS AND ROAD SEGMENT MATRIX'!Y11-1&gt;0,'TASKS AND ROAD SEGMENT MATRIX'!Y11-1,"-")</f>
        <v>-</v>
      </c>
      <c r="M11" s="23" t="str">
        <f aca="false">IF('TASKS AND ROAD SEGMENT MATRIX'!Z11-1&gt;0,'TASKS AND ROAD SEGMENT MATRIX'!Z11-1,"-")</f>
        <v>-</v>
      </c>
      <c r="N11" s="23" t="str">
        <f aca="false">IF('TASKS AND ROAD SEGMENT MATRIX'!AA11-1&gt;0,'TASKS AND ROAD SEGMENT MATRIX'!AA11-1,"-")</f>
        <v>-</v>
      </c>
      <c r="O11" s="23" t="str">
        <f aca="false">IF('TASKS AND ROAD SEGMENT MATRIX'!AB11-1&gt;0,'TASKS AND ROAD SEGMENT MATRIX'!AB11-1,"-")</f>
        <v>-</v>
      </c>
      <c r="P11" s="23" t="str">
        <f aca="false">IF('TASKS AND ROAD SEGMENT MATRIX'!AC11-1&gt;0,'TASKS AND ROAD SEGMENT MATRIX'!AC11-1,"-")</f>
        <v>-</v>
      </c>
      <c r="Q11" s="23" t="str">
        <f aca="false">IF('TASKS AND ROAD SEGMENT MATRIX'!AD11-1&gt;0,'TASKS AND ROAD SEGMENT MATRIX'!AD11-1,"-")</f>
        <v>-</v>
      </c>
      <c r="R11" s="23" t="str">
        <f aca="false">IF('TASKS AND ROAD SEGMENT MATRIX'!AE11-1&gt;0,'TASKS AND ROAD SEGMENT MATRIX'!AE11-1,"-")</f>
        <v>-</v>
      </c>
      <c r="S11" s="23" t="str">
        <f aca="false">IF('TASKS AND ROAD SEGMENT MATRIX'!AF11-1&gt;0,'TASKS AND ROAD SEGMENT MATRIX'!AF11-1,"-")</f>
        <v>-</v>
      </c>
      <c r="T11" s="23" t="str">
        <f aca="false">IF('TASKS AND ROAD SEGMENT MATRIX'!AG11-1&gt;0,'TASKS AND ROAD SEGMENT MATRIX'!AG11-1,"-")</f>
        <v>-</v>
      </c>
      <c r="U11" s="23" t="str">
        <f aca="false">IF('TASKS AND ROAD SEGMENT MATRIX'!AH11-1&gt;0,'TASKS AND ROAD SEGMENT MATRIX'!AH11-1,"-")</f>
        <v>-</v>
      </c>
      <c r="V11" s="23" t="str">
        <f aca="false">IF('TASKS AND ROAD SEGMENT MATRIX'!AI11-1&gt;0,'TASKS AND ROAD SEGMENT MATRIX'!AI11-1,"-")</f>
        <v>-</v>
      </c>
      <c r="W11" s="23" t="str">
        <f aca="false">IF('TASKS AND ROAD SEGMENT MATRIX'!AJ11-1&gt;0,'TASKS AND ROAD SEGMENT MATRIX'!AJ11-1,"-")</f>
        <v>-</v>
      </c>
      <c r="X11" s="23" t="str">
        <f aca="false">IF('TASKS AND ROAD SEGMENT MATRIX'!AK11-1&gt;0,'TASKS AND ROAD SEGMENT MATRIX'!AK11-1,"-")</f>
        <v>-</v>
      </c>
      <c r="Y11" s="23" t="str">
        <f aca="false">IF('TASKS AND ROAD SEGMENT MATRIX'!AL11-1&gt;0,'TASKS AND ROAD SEGMENT MATRIX'!AL11-1,"-")</f>
        <v>-</v>
      </c>
      <c r="Z11" s="23" t="n">
        <f aca="false">IF('TASKS AND ROAD SEGMENT MATRIX'!AM11-1&gt;0,'TASKS AND ROAD SEGMENT MATRIX'!AM11-1,"-")</f>
        <v>0.452265314447438</v>
      </c>
      <c r="AA11" s="23" t="str">
        <f aca="false">IF('TASKS AND ROAD SEGMENT MATRIX'!AN11-1&gt;0,'TASKS AND ROAD SEGMENT MATRIX'!AN11-1,"-")</f>
        <v>-</v>
      </c>
      <c r="AB11" s="23" t="str">
        <f aca="false">IF('TASKS AND ROAD SEGMENT MATRIX'!AO11-1&gt;0,'TASKS AND ROAD SEGMENT MATRIX'!AO11-1,"-")</f>
        <v>-</v>
      </c>
      <c r="AC11" s="23" t="n">
        <f aca="false">IF('TASKS AND ROAD SEGMENT MATRIX'!AP11-1&gt;0,'TASKS AND ROAD SEGMENT MATRIX'!AP11-1,"-")</f>
        <v>0.452265314447438</v>
      </c>
      <c r="AD11" s="23" t="str">
        <f aca="false">IF('TASKS AND ROAD SEGMENT MATRIX'!AQ11-1&gt;0,'TASKS AND ROAD SEGMENT MATRIX'!AQ11-1,"-")</f>
        <v>-</v>
      </c>
      <c r="AE11" s="23" t="str">
        <f aca="false">IF('TASKS AND ROAD SEGMENT MATRIX'!AR11-1&gt;0,'TASKS AND ROAD SEGMENT MATRIX'!AR11-1,"-")</f>
        <v>-</v>
      </c>
      <c r="AF11" s="23" t="str">
        <f aca="false">IF('TASKS AND ROAD SEGMENT MATRIX'!AS11-1&gt;0,'TASKS AND ROAD SEGMENT MATRIX'!AS11-1,"-")</f>
        <v>-</v>
      </c>
      <c r="AG11" s="23" t="str">
        <f aca="false">IF('TASKS AND ROAD SEGMENT MATRIX'!AT11-1&gt;0,'TASKS AND ROAD SEGMENT MATRIX'!AT11-1,"-")</f>
        <v>-</v>
      </c>
      <c r="AH11" s="23" t="str">
        <f aca="false">IF('TASKS AND ROAD SEGMENT MATRIX'!AU11-1&gt;0,'TASKS AND ROAD SEGMENT MATRIX'!AU11-1,"-")</f>
        <v>-</v>
      </c>
      <c r="AI11" s="23" t="str">
        <f aca="false">IF('TASKS AND ROAD SEGMENT MATRIX'!AV11-1&gt;0,'TASKS AND ROAD SEGMENT MATRIX'!AV11-1,"-")</f>
        <v>-</v>
      </c>
      <c r="AJ11" s="23" t="str">
        <f aca="false">IF('TASKS AND ROAD SEGMENT MATRIX'!AW11-1&gt;0,'TASKS AND ROAD SEGMENT MATRIX'!AW11-1,"-")</f>
        <v>-</v>
      </c>
      <c r="AK11" s="23" t="str">
        <f aca="false">IF('TASKS AND ROAD SEGMENT MATRIX'!AX11-1&gt;0,'TASKS AND ROAD SEGMENT MATRIX'!AX11-1,"-")</f>
        <v>-</v>
      </c>
      <c r="AL11" s="23" t="str">
        <f aca="false">IF('TASKS AND ROAD SEGMENT MATRIX'!AY11-1&gt;0,'TASKS AND ROAD SEGMENT MATRIX'!AY11-1,"-")</f>
        <v>-</v>
      </c>
      <c r="AM11" s="23" t="str">
        <f aca="false">IF('TASKS AND ROAD SEGMENT MATRIX'!AZ11-1&gt;0,'TASKS AND ROAD SEGMENT MATRIX'!AZ11-1,"-")</f>
        <v>-</v>
      </c>
      <c r="AN11" s="23" t="str">
        <f aca="false">IF('TASKS AND ROAD SEGMENT MATRIX'!BA11-1&gt;0,'TASKS AND ROAD SEGMENT MATRIX'!BA11-1,"-")</f>
        <v>-</v>
      </c>
      <c r="AO11" s="23" t="str">
        <f aca="false">IF('TASKS AND ROAD SEGMENT MATRIX'!BB11-1&gt;0,'TASKS AND ROAD SEGMENT MATRIX'!BB11-1,"-")</f>
        <v>-</v>
      </c>
      <c r="AP11" s="23" t="str">
        <f aca="false">IF('TASKS AND ROAD SEGMENT MATRIX'!BC11-1&gt;0,'TASKS AND ROAD SEGMENT MATRIX'!BC11-1,"-")</f>
        <v>-</v>
      </c>
      <c r="AQ11" s="23" t="str">
        <f aca="false">IF('TASKS AND ROAD SEGMENT MATRIX'!BD11-1&gt;0,'TASKS AND ROAD SEGMENT MATRIX'!BD11-1,"-")</f>
        <v>-</v>
      </c>
      <c r="AR11" s="23" t="str">
        <f aca="false">IF('TASKS AND ROAD SEGMENT MATRIX'!BE11-1&gt;0,'TASKS AND ROAD SEGMENT MATRIX'!BE11-1,"-")</f>
        <v>-</v>
      </c>
      <c r="AS11" s="23" t="n">
        <f aca="false">IF('TASKS AND ROAD SEGMENT MATRIX'!BF11-1&gt;0,'TASKS AND ROAD SEGMENT MATRIX'!BF11-1,"-")</f>
        <v>0.452265314447438</v>
      </c>
      <c r="AT11" s="23" t="n">
        <f aca="false">IF('TASKS AND ROAD SEGMENT MATRIX'!BG11-1&gt;0,'TASKS AND ROAD SEGMENT MATRIX'!BG11-1,"-")</f>
        <v>0.904530628894875</v>
      </c>
      <c r="AU11" s="23" t="n">
        <f aca="false">IF('TASKS AND ROAD SEGMENT MATRIX'!BH11-1&gt;0,'TASKS AND ROAD SEGMENT MATRIX'!BH11-1,"-")</f>
        <v>0.904530628894875</v>
      </c>
    </row>
    <row r="12" customFormat="false" ht="13.8" hidden="false" customHeight="false" outlineLevel="0" collapsed="false">
      <c r="A12" s="11" t="s">
        <v>54</v>
      </c>
      <c r="B12" s="0" t="s">
        <v>117</v>
      </c>
      <c r="C12" s="23" t="n">
        <f aca="false">IF('TASKS AND ROAD SEGMENT MATRIX'!P12-1&gt;0,'TASKS AND ROAD SEGMENT MATRIX'!P12-1,"-")</f>
        <v>0.376887762039531</v>
      </c>
      <c r="D12" s="23" t="n">
        <f aca="false">IF('TASKS AND ROAD SEGMENT MATRIX'!Q12-1&gt;0,'TASKS AND ROAD SEGMENT MATRIX'!Q12-1,"-")</f>
        <v>0.376887762039531</v>
      </c>
      <c r="E12" s="23" t="n">
        <f aca="false">IF('TASKS AND ROAD SEGMENT MATRIX'!R12-1&gt;0,'TASKS AND ROAD SEGMENT MATRIX'!R12-1,"-")</f>
        <v>0.753775524079062</v>
      </c>
      <c r="F12" s="23" t="n">
        <f aca="false">IF('TASKS AND ROAD SEGMENT MATRIX'!S12-1&gt;0,'TASKS AND ROAD SEGMENT MATRIX'!S12-1,"-")</f>
        <v>0.376887762039531</v>
      </c>
      <c r="G12" s="23" t="n">
        <f aca="false">IF('TASKS AND ROAD SEGMENT MATRIX'!T12-1&gt;0,'TASKS AND ROAD SEGMENT MATRIX'!T12-1,"-")</f>
        <v>0.753775524079062</v>
      </c>
      <c r="H12" s="23" t="n">
        <f aca="false">IF('TASKS AND ROAD SEGMENT MATRIX'!U12-1&gt;0,'TASKS AND ROAD SEGMENT MATRIX'!U12-1,"-")</f>
        <v>0.376887762039531</v>
      </c>
      <c r="I12" s="23" t="str">
        <f aca="false">IF('TASKS AND ROAD SEGMENT MATRIX'!V12-1&gt;0,'TASKS AND ROAD SEGMENT MATRIX'!V12-1,"-")</f>
        <v>-</v>
      </c>
      <c r="J12" s="23" t="str">
        <f aca="false">IF('TASKS AND ROAD SEGMENT MATRIX'!W12-1&gt;0,'TASKS AND ROAD SEGMENT MATRIX'!W12-1,"-")</f>
        <v>-</v>
      </c>
      <c r="K12" s="23" t="str">
        <f aca="false">IF('TASKS AND ROAD SEGMENT MATRIX'!X12-1&gt;0,'TASKS AND ROAD SEGMENT MATRIX'!X12-1,"-")</f>
        <v>-</v>
      </c>
      <c r="L12" s="23" t="str">
        <f aca="false">IF('TASKS AND ROAD SEGMENT MATRIX'!Y12-1&gt;0,'TASKS AND ROAD SEGMENT MATRIX'!Y12-1,"-")</f>
        <v>-</v>
      </c>
      <c r="M12" s="23" t="str">
        <f aca="false">IF('TASKS AND ROAD SEGMENT MATRIX'!Z12-1&gt;0,'TASKS AND ROAD SEGMENT MATRIX'!Z12-1,"-")</f>
        <v>-</v>
      </c>
      <c r="N12" s="23" t="str">
        <f aca="false">IF('TASKS AND ROAD SEGMENT MATRIX'!AA12-1&gt;0,'TASKS AND ROAD SEGMENT MATRIX'!AA12-1,"-")</f>
        <v>-</v>
      </c>
      <c r="O12" s="23" t="str">
        <f aca="false">IF('TASKS AND ROAD SEGMENT MATRIX'!AB12-1&gt;0,'TASKS AND ROAD SEGMENT MATRIX'!AB12-1,"-")</f>
        <v>-</v>
      </c>
      <c r="P12" s="23" t="str">
        <f aca="false">IF('TASKS AND ROAD SEGMENT MATRIX'!AC12-1&gt;0,'TASKS AND ROAD SEGMENT MATRIX'!AC12-1,"-")</f>
        <v>-</v>
      </c>
      <c r="Q12" s="23" t="str">
        <f aca="false">IF('TASKS AND ROAD SEGMENT MATRIX'!AD12-1&gt;0,'TASKS AND ROAD SEGMENT MATRIX'!AD12-1,"-")</f>
        <v>-</v>
      </c>
      <c r="R12" s="23" t="str">
        <f aca="false">IF('TASKS AND ROAD SEGMENT MATRIX'!AE12-1&gt;0,'TASKS AND ROAD SEGMENT MATRIX'!AE12-1,"-")</f>
        <v>-</v>
      </c>
      <c r="S12" s="23" t="str">
        <f aca="false">IF('TASKS AND ROAD SEGMENT MATRIX'!AF12-1&gt;0,'TASKS AND ROAD SEGMENT MATRIX'!AF12-1,"-")</f>
        <v>-</v>
      </c>
      <c r="T12" s="23" t="str">
        <f aca="false">IF('TASKS AND ROAD SEGMENT MATRIX'!AG12-1&gt;0,'TASKS AND ROAD SEGMENT MATRIX'!AG12-1,"-")</f>
        <v>-</v>
      </c>
      <c r="U12" s="23" t="str">
        <f aca="false">IF('TASKS AND ROAD SEGMENT MATRIX'!AH12-1&gt;0,'TASKS AND ROAD SEGMENT MATRIX'!AH12-1,"-")</f>
        <v>-</v>
      </c>
      <c r="V12" s="23" t="str">
        <f aca="false">IF('TASKS AND ROAD SEGMENT MATRIX'!AI12-1&gt;0,'TASKS AND ROAD SEGMENT MATRIX'!AI12-1,"-")</f>
        <v>-</v>
      </c>
      <c r="W12" s="23" t="str">
        <f aca="false">IF('TASKS AND ROAD SEGMENT MATRIX'!AJ12-1&gt;0,'TASKS AND ROAD SEGMENT MATRIX'!AJ12-1,"-")</f>
        <v>-</v>
      </c>
      <c r="X12" s="23" t="str">
        <f aca="false">IF('TASKS AND ROAD SEGMENT MATRIX'!AK12-1&gt;0,'TASKS AND ROAD SEGMENT MATRIX'!AK12-1,"-")</f>
        <v>-</v>
      </c>
      <c r="Y12" s="23" t="str">
        <f aca="false">IF('TASKS AND ROAD SEGMENT MATRIX'!AL12-1&gt;0,'TASKS AND ROAD SEGMENT MATRIX'!AL12-1,"-")</f>
        <v>-</v>
      </c>
      <c r="Z12" s="23" t="n">
        <f aca="false">IF('TASKS AND ROAD SEGMENT MATRIX'!AM12-1&gt;0,'TASKS AND ROAD SEGMENT MATRIX'!AM12-1,"-")</f>
        <v>0.376887762039531</v>
      </c>
      <c r="AA12" s="23" t="str">
        <f aca="false">IF('TASKS AND ROAD SEGMENT MATRIX'!AN12-1&gt;0,'TASKS AND ROAD SEGMENT MATRIX'!AN12-1,"-")</f>
        <v>-</v>
      </c>
      <c r="AB12" s="23" t="str">
        <f aca="false">IF('TASKS AND ROAD SEGMENT MATRIX'!AO12-1&gt;0,'TASKS AND ROAD SEGMENT MATRIX'!AO12-1,"-")</f>
        <v>-</v>
      </c>
      <c r="AC12" s="23" t="n">
        <f aca="false">IF('TASKS AND ROAD SEGMENT MATRIX'!AP12-1&gt;0,'TASKS AND ROAD SEGMENT MATRIX'!AP12-1,"-")</f>
        <v>0.376887762039531</v>
      </c>
      <c r="AD12" s="23" t="str">
        <f aca="false">IF('TASKS AND ROAD SEGMENT MATRIX'!AQ12-1&gt;0,'TASKS AND ROAD SEGMENT MATRIX'!AQ12-1,"-")</f>
        <v>-</v>
      </c>
      <c r="AE12" s="23" t="str">
        <f aca="false">IF('TASKS AND ROAD SEGMENT MATRIX'!AR12-1&gt;0,'TASKS AND ROAD SEGMENT MATRIX'!AR12-1,"-")</f>
        <v>-</v>
      </c>
      <c r="AF12" s="23" t="str">
        <f aca="false">IF('TASKS AND ROAD SEGMENT MATRIX'!AS12-1&gt;0,'TASKS AND ROAD SEGMENT MATRIX'!AS12-1,"-")</f>
        <v>-</v>
      </c>
      <c r="AG12" s="23" t="str">
        <f aca="false">IF('TASKS AND ROAD SEGMENT MATRIX'!AT12-1&gt;0,'TASKS AND ROAD SEGMENT MATRIX'!AT12-1,"-")</f>
        <v>-</v>
      </c>
      <c r="AH12" s="23" t="str">
        <f aca="false">IF('TASKS AND ROAD SEGMENT MATRIX'!AU12-1&gt;0,'TASKS AND ROAD SEGMENT MATRIX'!AU12-1,"-")</f>
        <v>-</v>
      </c>
      <c r="AI12" s="23" t="str">
        <f aca="false">IF('TASKS AND ROAD SEGMENT MATRIX'!AV12-1&gt;0,'TASKS AND ROAD SEGMENT MATRIX'!AV12-1,"-")</f>
        <v>-</v>
      </c>
      <c r="AJ12" s="23" t="str">
        <f aca="false">IF('TASKS AND ROAD SEGMENT MATRIX'!AW12-1&gt;0,'TASKS AND ROAD SEGMENT MATRIX'!AW12-1,"-")</f>
        <v>-</v>
      </c>
      <c r="AK12" s="23" t="str">
        <f aca="false">IF('TASKS AND ROAD SEGMENT MATRIX'!AX12-1&gt;0,'TASKS AND ROAD SEGMENT MATRIX'!AX12-1,"-")</f>
        <v>-</v>
      </c>
      <c r="AL12" s="23" t="str">
        <f aca="false">IF('TASKS AND ROAD SEGMENT MATRIX'!AY12-1&gt;0,'TASKS AND ROAD SEGMENT MATRIX'!AY12-1,"-")</f>
        <v>-</v>
      </c>
      <c r="AM12" s="23" t="str">
        <f aca="false">IF('TASKS AND ROAD SEGMENT MATRIX'!AZ12-1&gt;0,'TASKS AND ROAD SEGMENT MATRIX'!AZ12-1,"-")</f>
        <v>-</v>
      </c>
      <c r="AN12" s="23" t="str">
        <f aca="false">IF('TASKS AND ROAD SEGMENT MATRIX'!BA12-1&gt;0,'TASKS AND ROAD SEGMENT MATRIX'!BA12-1,"-")</f>
        <v>-</v>
      </c>
      <c r="AO12" s="23" t="str">
        <f aca="false">IF('TASKS AND ROAD SEGMENT MATRIX'!BB12-1&gt;0,'TASKS AND ROAD SEGMENT MATRIX'!BB12-1,"-")</f>
        <v>-</v>
      </c>
      <c r="AP12" s="23" t="str">
        <f aca="false">IF('TASKS AND ROAD SEGMENT MATRIX'!BC12-1&gt;0,'TASKS AND ROAD SEGMENT MATRIX'!BC12-1,"-")</f>
        <v>-</v>
      </c>
      <c r="AQ12" s="23" t="str">
        <f aca="false">IF('TASKS AND ROAD SEGMENT MATRIX'!BD12-1&gt;0,'TASKS AND ROAD SEGMENT MATRIX'!BD12-1,"-")</f>
        <v>-</v>
      </c>
      <c r="AR12" s="23" t="str">
        <f aca="false">IF('TASKS AND ROAD SEGMENT MATRIX'!BE12-1&gt;0,'TASKS AND ROAD SEGMENT MATRIX'!BE12-1,"-")</f>
        <v>-</v>
      </c>
      <c r="AS12" s="23" t="n">
        <f aca="false">IF('TASKS AND ROAD SEGMENT MATRIX'!BF12-1&gt;0,'TASKS AND ROAD SEGMENT MATRIX'!BF12-1,"-")</f>
        <v>0.376887762039531</v>
      </c>
      <c r="AT12" s="23" t="n">
        <f aca="false">IF('TASKS AND ROAD SEGMENT MATRIX'!BG12-1&gt;0,'TASKS AND ROAD SEGMENT MATRIX'!BG12-1,"-")</f>
        <v>0.753775524079062</v>
      </c>
      <c r="AU12" s="23" t="n">
        <f aca="false">IF('TASKS AND ROAD SEGMENT MATRIX'!BH12-1&gt;0,'TASKS AND ROAD SEGMENT MATRIX'!BH12-1,"-")</f>
        <v>0.753775524079062</v>
      </c>
    </row>
    <row r="13" customFormat="false" ht="13.8" hidden="false" customHeight="false" outlineLevel="0" collapsed="false">
      <c r="A13" s="11" t="s">
        <v>54</v>
      </c>
      <c r="B13" s="0" t="s">
        <v>119</v>
      </c>
      <c r="C13" s="23" t="n">
        <f aca="false">IF('TASKS AND ROAD SEGMENT MATRIX'!P13-1&gt;0,'TASKS AND ROAD SEGMENT MATRIX'!P13-1,"-")</f>
        <v>0.452265314447438</v>
      </c>
      <c r="D13" s="23" t="n">
        <f aca="false">IF('TASKS AND ROAD SEGMENT MATRIX'!Q13-1&gt;0,'TASKS AND ROAD SEGMENT MATRIX'!Q13-1,"-")</f>
        <v>0.452265314447438</v>
      </c>
      <c r="E13" s="23" t="n">
        <f aca="false">IF('TASKS AND ROAD SEGMENT MATRIX'!R13-1&gt;0,'TASKS AND ROAD SEGMENT MATRIX'!R13-1,"-")</f>
        <v>0.904530628894875</v>
      </c>
      <c r="F13" s="23" t="n">
        <f aca="false">IF('TASKS AND ROAD SEGMENT MATRIX'!S13-1&gt;0,'TASKS AND ROAD SEGMENT MATRIX'!S13-1,"-")</f>
        <v>0.904530628894875</v>
      </c>
      <c r="G13" s="23" t="n">
        <f aca="false">IF('TASKS AND ROAD SEGMENT MATRIX'!T13-1&gt;0,'TASKS AND ROAD SEGMENT MATRIX'!T13-1,"-")</f>
        <v>0.904530628894875</v>
      </c>
      <c r="H13" s="23" t="n">
        <f aca="false">IF('TASKS AND ROAD SEGMENT MATRIX'!U13-1&gt;0,'TASKS AND ROAD SEGMENT MATRIX'!U13-1,"-")</f>
        <v>0.452265314447438</v>
      </c>
      <c r="I13" s="23" t="str">
        <f aca="false">IF('TASKS AND ROAD SEGMENT MATRIX'!V13-1&gt;0,'TASKS AND ROAD SEGMENT MATRIX'!V13-1,"-")</f>
        <v>-</v>
      </c>
      <c r="J13" s="23" t="str">
        <f aca="false">IF('TASKS AND ROAD SEGMENT MATRIX'!W13-1&gt;0,'TASKS AND ROAD SEGMENT MATRIX'!W13-1,"-")</f>
        <v>-</v>
      </c>
      <c r="K13" s="23" t="str">
        <f aca="false">IF('TASKS AND ROAD SEGMENT MATRIX'!X13-1&gt;0,'TASKS AND ROAD SEGMENT MATRIX'!X13-1,"-")</f>
        <v>-</v>
      </c>
      <c r="L13" s="23" t="str">
        <f aca="false">IF('TASKS AND ROAD SEGMENT MATRIX'!Y13-1&gt;0,'TASKS AND ROAD SEGMENT MATRIX'!Y13-1,"-")</f>
        <v>-</v>
      </c>
      <c r="M13" s="23" t="str">
        <f aca="false">IF('TASKS AND ROAD SEGMENT MATRIX'!Z13-1&gt;0,'TASKS AND ROAD SEGMENT MATRIX'!Z13-1,"-")</f>
        <v>-</v>
      </c>
      <c r="N13" s="23" t="str">
        <f aca="false">IF('TASKS AND ROAD SEGMENT MATRIX'!AA13-1&gt;0,'TASKS AND ROAD SEGMENT MATRIX'!AA13-1,"-")</f>
        <v>-</v>
      </c>
      <c r="O13" s="23" t="str">
        <f aca="false">IF('TASKS AND ROAD SEGMENT MATRIX'!AB13-1&gt;0,'TASKS AND ROAD SEGMENT MATRIX'!AB13-1,"-")</f>
        <v>-</v>
      </c>
      <c r="P13" s="23" t="str">
        <f aca="false">IF('TASKS AND ROAD SEGMENT MATRIX'!AC13-1&gt;0,'TASKS AND ROAD SEGMENT MATRIX'!AC13-1,"-")</f>
        <v>-</v>
      </c>
      <c r="Q13" s="23" t="str">
        <f aca="false">IF('TASKS AND ROAD SEGMENT MATRIX'!AD13-1&gt;0,'TASKS AND ROAD SEGMENT MATRIX'!AD13-1,"-")</f>
        <v>-</v>
      </c>
      <c r="R13" s="23" t="str">
        <f aca="false">IF('TASKS AND ROAD SEGMENT MATRIX'!AE13-1&gt;0,'TASKS AND ROAD SEGMENT MATRIX'!AE13-1,"-")</f>
        <v>-</v>
      </c>
      <c r="S13" s="23" t="str">
        <f aca="false">IF('TASKS AND ROAD SEGMENT MATRIX'!AF13-1&gt;0,'TASKS AND ROAD SEGMENT MATRIX'!AF13-1,"-")</f>
        <v>-</v>
      </c>
      <c r="T13" s="23" t="str">
        <f aca="false">IF('TASKS AND ROAD SEGMENT MATRIX'!AG13-1&gt;0,'TASKS AND ROAD SEGMENT MATRIX'!AG13-1,"-")</f>
        <v>-</v>
      </c>
      <c r="U13" s="23" t="str">
        <f aca="false">IF('TASKS AND ROAD SEGMENT MATRIX'!AH13-1&gt;0,'TASKS AND ROAD SEGMENT MATRIX'!AH13-1,"-")</f>
        <v>-</v>
      </c>
      <c r="V13" s="23" t="str">
        <f aca="false">IF('TASKS AND ROAD SEGMENT MATRIX'!AI13-1&gt;0,'TASKS AND ROAD SEGMENT MATRIX'!AI13-1,"-")</f>
        <v>-</v>
      </c>
      <c r="W13" s="23" t="str">
        <f aca="false">IF('TASKS AND ROAD SEGMENT MATRIX'!AJ13-1&gt;0,'TASKS AND ROAD SEGMENT MATRIX'!AJ13-1,"-")</f>
        <v>-</v>
      </c>
      <c r="X13" s="23" t="str">
        <f aca="false">IF('TASKS AND ROAD SEGMENT MATRIX'!AK13-1&gt;0,'TASKS AND ROAD SEGMENT MATRIX'!AK13-1,"-")</f>
        <v>-</v>
      </c>
      <c r="Y13" s="23" t="str">
        <f aca="false">IF('TASKS AND ROAD SEGMENT MATRIX'!AL13-1&gt;0,'TASKS AND ROAD SEGMENT MATRIX'!AL13-1,"-")</f>
        <v>-</v>
      </c>
      <c r="Z13" s="23" t="n">
        <f aca="false">IF('TASKS AND ROAD SEGMENT MATRIX'!AM13-1&gt;0,'TASKS AND ROAD SEGMENT MATRIX'!AM13-1,"-")</f>
        <v>0.452265314447438</v>
      </c>
      <c r="AA13" s="23" t="str">
        <f aca="false">IF('TASKS AND ROAD SEGMENT MATRIX'!AN13-1&gt;0,'TASKS AND ROAD SEGMENT MATRIX'!AN13-1,"-")</f>
        <v>-</v>
      </c>
      <c r="AB13" s="23" t="str">
        <f aca="false">IF('TASKS AND ROAD SEGMENT MATRIX'!AO13-1&gt;0,'TASKS AND ROAD SEGMENT MATRIX'!AO13-1,"-")</f>
        <v>-</v>
      </c>
      <c r="AC13" s="23" t="n">
        <f aca="false">IF('TASKS AND ROAD SEGMENT MATRIX'!AP13-1&gt;0,'TASKS AND ROAD SEGMENT MATRIX'!AP13-1,"-")</f>
        <v>0.452265314447438</v>
      </c>
      <c r="AD13" s="23" t="str">
        <f aca="false">IF('TASKS AND ROAD SEGMENT MATRIX'!AQ13-1&gt;0,'TASKS AND ROAD SEGMENT MATRIX'!AQ13-1,"-")</f>
        <v>-</v>
      </c>
      <c r="AE13" s="23" t="str">
        <f aca="false">IF('TASKS AND ROAD SEGMENT MATRIX'!AR13-1&gt;0,'TASKS AND ROAD SEGMENT MATRIX'!AR13-1,"-")</f>
        <v>-</v>
      </c>
      <c r="AF13" s="23" t="str">
        <f aca="false">IF('TASKS AND ROAD SEGMENT MATRIX'!AS13-1&gt;0,'TASKS AND ROAD SEGMENT MATRIX'!AS13-1,"-")</f>
        <v>-</v>
      </c>
      <c r="AG13" s="23" t="str">
        <f aca="false">IF('TASKS AND ROAD SEGMENT MATRIX'!AT13-1&gt;0,'TASKS AND ROAD SEGMENT MATRIX'!AT13-1,"-")</f>
        <v>-</v>
      </c>
      <c r="AH13" s="23" t="str">
        <f aca="false">IF('TASKS AND ROAD SEGMENT MATRIX'!AU13-1&gt;0,'TASKS AND ROAD SEGMENT MATRIX'!AU13-1,"-")</f>
        <v>-</v>
      </c>
      <c r="AI13" s="23" t="str">
        <f aca="false">IF('TASKS AND ROAD SEGMENT MATRIX'!AV13-1&gt;0,'TASKS AND ROAD SEGMENT MATRIX'!AV13-1,"-")</f>
        <v>-</v>
      </c>
      <c r="AJ13" s="23" t="str">
        <f aca="false">IF('TASKS AND ROAD SEGMENT MATRIX'!AW13-1&gt;0,'TASKS AND ROAD SEGMENT MATRIX'!AW13-1,"-")</f>
        <v>-</v>
      </c>
      <c r="AK13" s="23" t="str">
        <f aca="false">IF('TASKS AND ROAD SEGMENT MATRIX'!AX13-1&gt;0,'TASKS AND ROAD SEGMENT MATRIX'!AX13-1,"-")</f>
        <v>-</v>
      </c>
      <c r="AL13" s="23" t="str">
        <f aca="false">IF('TASKS AND ROAD SEGMENT MATRIX'!AY13-1&gt;0,'TASKS AND ROAD SEGMENT MATRIX'!AY13-1,"-")</f>
        <v>-</v>
      </c>
      <c r="AM13" s="23" t="str">
        <f aca="false">IF('TASKS AND ROAD SEGMENT MATRIX'!AZ13-1&gt;0,'TASKS AND ROAD SEGMENT MATRIX'!AZ13-1,"-")</f>
        <v>-</v>
      </c>
      <c r="AN13" s="23" t="str">
        <f aca="false">IF('TASKS AND ROAD SEGMENT MATRIX'!BA13-1&gt;0,'TASKS AND ROAD SEGMENT MATRIX'!BA13-1,"-")</f>
        <v>-</v>
      </c>
      <c r="AO13" s="23" t="str">
        <f aca="false">IF('TASKS AND ROAD SEGMENT MATRIX'!BB13-1&gt;0,'TASKS AND ROAD SEGMENT MATRIX'!BB13-1,"-")</f>
        <v>-</v>
      </c>
      <c r="AP13" s="23" t="str">
        <f aca="false">IF('TASKS AND ROAD SEGMENT MATRIX'!BC13-1&gt;0,'TASKS AND ROAD SEGMENT MATRIX'!BC13-1,"-")</f>
        <v>-</v>
      </c>
      <c r="AQ13" s="23" t="str">
        <f aca="false">IF('TASKS AND ROAD SEGMENT MATRIX'!BD13-1&gt;0,'TASKS AND ROAD SEGMENT MATRIX'!BD13-1,"-")</f>
        <v>-</v>
      </c>
      <c r="AR13" s="23" t="str">
        <f aca="false">IF('TASKS AND ROAD SEGMENT MATRIX'!BE13-1&gt;0,'TASKS AND ROAD SEGMENT MATRIX'!BE13-1,"-")</f>
        <v>-</v>
      </c>
      <c r="AS13" s="23" t="n">
        <f aca="false">IF('TASKS AND ROAD SEGMENT MATRIX'!BF13-1&gt;0,'TASKS AND ROAD SEGMENT MATRIX'!BF13-1,"-")</f>
        <v>0.452265314447438</v>
      </c>
      <c r="AT13" s="23" t="n">
        <f aca="false">IF('TASKS AND ROAD SEGMENT MATRIX'!BG13-1&gt;0,'TASKS AND ROAD SEGMENT MATRIX'!BG13-1,"-")</f>
        <v>0.904530628894875</v>
      </c>
      <c r="AU13" s="23" t="n">
        <f aca="false">IF('TASKS AND ROAD SEGMENT MATRIX'!BH13-1&gt;0,'TASKS AND ROAD SEGMENT MATRIX'!BH13-1,"-")</f>
        <v>0.904530628894875</v>
      </c>
    </row>
    <row r="14" customFormat="false" ht="13.8" hidden="false" customHeight="false" outlineLevel="0" collapsed="false">
      <c r="A14" s="11" t="s">
        <v>55</v>
      </c>
      <c r="B14" s="0" t="s">
        <v>112</v>
      </c>
      <c r="C14" s="23" t="n">
        <f aca="false">IF('TASKS AND ROAD SEGMENT MATRIX'!P14-1&gt;0,'TASKS AND ROAD SEGMENT MATRIX'!P14-1,"-")</f>
        <v>0.301510209631625</v>
      </c>
      <c r="D14" s="23" t="n">
        <f aca="false">IF('TASKS AND ROAD SEGMENT MATRIX'!Q14-1&gt;0,'TASKS AND ROAD SEGMENT MATRIX'!Q14-1,"-")</f>
        <v>0.301510209631625</v>
      </c>
      <c r="E14" s="23" t="n">
        <f aca="false">IF('TASKS AND ROAD SEGMENT MATRIX'!R14-1&gt;0,'TASKS AND ROAD SEGMENT MATRIX'!R14-1,"-")</f>
        <v>0.301510209631625</v>
      </c>
      <c r="F14" s="23" t="n">
        <f aca="false">IF('TASKS AND ROAD SEGMENT MATRIX'!S14-1&gt;0,'TASKS AND ROAD SEGMENT MATRIX'!S14-1,"-")</f>
        <v>0.60302041926325</v>
      </c>
      <c r="G14" s="23" t="str">
        <f aca="false">IF('TASKS AND ROAD SEGMENT MATRIX'!T14-1&gt;0,'TASKS AND ROAD SEGMENT MATRIX'!T14-1,"-")</f>
        <v>-</v>
      </c>
      <c r="H14" s="23" t="n">
        <f aca="false">IF('TASKS AND ROAD SEGMENT MATRIX'!U14-1&gt;0,'TASKS AND ROAD SEGMENT MATRIX'!U14-1,"-")</f>
        <v>0.60302041926325</v>
      </c>
      <c r="I14" s="23" t="str">
        <f aca="false">IF('TASKS AND ROAD SEGMENT MATRIX'!V14-1&gt;0,'TASKS AND ROAD SEGMENT MATRIX'!V14-1,"-")</f>
        <v>-</v>
      </c>
      <c r="J14" s="23" t="str">
        <f aca="false">IF('TASKS AND ROAD SEGMENT MATRIX'!W14-1&gt;0,'TASKS AND ROAD SEGMENT MATRIX'!W14-1,"-")</f>
        <v>-</v>
      </c>
      <c r="K14" s="23" t="str">
        <f aca="false">IF('TASKS AND ROAD SEGMENT MATRIX'!X14-1&gt;0,'TASKS AND ROAD SEGMENT MATRIX'!X14-1,"-")</f>
        <v>-</v>
      </c>
      <c r="L14" s="23" t="str">
        <f aca="false">IF('TASKS AND ROAD SEGMENT MATRIX'!Y14-1&gt;0,'TASKS AND ROAD SEGMENT MATRIX'!Y14-1,"-")</f>
        <v>-</v>
      </c>
      <c r="M14" s="23" t="str">
        <f aca="false">IF('TASKS AND ROAD SEGMENT MATRIX'!Z14-1&gt;0,'TASKS AND ROAD SEGMENT MATRIX'!Z14-1,"-")</f>
        <v>-</v>
      </c>
      <c r="N14" s="23" t="str">
        <f aca="false">IF('TASKS AND ROAD SEGMENT MATRIX'!AA14-1&gt;0,'TASKS AND ROAD SEGMENT MATRIX'!AA14-1,"-")</f>
        <v>-</v>
      </c>
      <c r="O14" s="23" t="str">
        <f aca="false">IF('TASKS AND ROAD SEGMENT MATRIX'!AB14-1&gt;0,'TASKS AND ROAD SEGMENT MATRIX'!AB14-1,"-")</f>
        <v>-</v>
      </c>
      <c r="P14" s="23" t="str">
        <f aca="false">IF('TASKS AND ROAD SEGMENT MATRIX'!AC14-1&gt;0,'TASKS AND ROAD SEGMENT MATRIX'!AC14-1,"-")</f>
        <v>-</v>
      </c>
      <c r="Q14" s="23" t="str">
        <f aca="false">IF('TASKS AND ROAD SEGMENT MATRIX'!AD14-1&gt;0,'TASKS AND ROAD SEGMENT MATRIX'!AD14-1,"-")</f>
        <v>-</v>
      </c>
      <c r="R14" s="23" t="str">
        <f aca="false">IF('TASKS AND ROAD SEGMENT MATRIX'!AE14-1&gt;0,'TASKS AND ROAD SEGMENT MATRIX'!AE14-1,"-")</f>
        <v>-</v>
      </c>
      <c r="S14" s="23" t="str">
        <f aca="false">IF('TASKS AND ROAD SEGMENT MATRIX'!AF14-1&gt;0,'TASKS AND ROAD SEGMENT MATRIX'!AF14-1,"-")</f>
        <v>-</v>
      </c>
      <c r="T14" s="23" t="str">
        <f aca="false">IF('TASKS AND ROAD SEGMENT MATRIX'!AG14-1&gt;0,'TASKS AND ROAD SEGMENT MATRIX'!AG14-1,"-")</f>
        <v>-</v>
      </c>
      <c r="U14" s="23" t="str">
        <f aca="false">IF('TASKS AND ROAD SEGMENT MATRIX'!AH14-1&gt;0,'TASKS AND ROAD SEGMENT MATRIX'!AH14-1,"-")</f>
        <v>-</v>
      </c>
      <c r="V14" s="23" t="str">
        <f aca="false">IF('TASKS AND ROAD SEGMENT MATRIX'!AI14-1&gt;0,'TASKS AND ROAD SEGMENT MATRIX'!AI14-1,"-")</f>
        <v>-</v>
      </c>
      <c r="W14" s="23" t="str">
        <f aca="false">IF('TASKS AND ROAD SEGMENT MATRIX'!AJ14-1&gt;0,'TASKS AND ROAD SEGMENT MATRIX'!AJ14-1,"-")</f>
        <v>-</v>
      </c>
      <c r="X14" s="23" t="str">
        <f aca="false">IF('TASKS AND ROAD SEGMENT MATRIX'!AK14-1&gt;0,'TASKS AND ROAD SEGMENT MATRIX'!AK14-1,"-")</f>
        <v>-</v>
      </c>
      <c r="Y14" s="23" t="str">
        <f aca="false">IF('TASKS AND ROAD SEGMENT MATRIX'!AL14-1&gt;0,'TASKS AND ROAD SEGMENT MATRIX'!AL14-1,"-")</f>
        <v>-</v>
      </c>
      <c r="Z14" s="23" t="str">
        <f aca="false">IF('TASKS AND ROAD SEGMENT MATRIX'!AM14-1&gt;0,'TASKS AND ROAD SEGMENT MATRIX'!AM14-1,"-")</f>
        <v>-</v>
      </c>
      <c r="AA14" s="23" t="str">
        <f aca="false">IF('TASKS AND ROAD SEGMENT MATRIX'!AN14-1&gt;0,'TASKS AND ROAD SEGMENT MATRIX'!AN14-1,"-")</f>
        <v>-</v>
      </c>
      <c r="AB14" s="23" t="str">
        <f aca="false">IF('TASKS AND ROAD SEGMENT MATRIX'!AO14-1&gt;0,'TASKS AND ROAD SEGMENT MATRIX'!AO14-1,"-")</f>
        <v>-</v>
      </c>
      <c r="AC14" s="23" t="n">
        <f aca="false">IF('TASKS AND ROAD SEGMENT MATRIX'!AP14-1&gt;0,'TASKS AND ROAD SEGMENT MATRIX'!AP14-1,"-")</f>
        <v>0.301510209631625</v>
      </c>
      <c r="AD14" s="23" t="str">
        <f aca="false">IF('TASKS AND ROAD SEGMENT MATRIX'!AQ14-1&gt;0,'TASKS AND ROAD SEGMENT MATRIX'!AQ14-1,"-")</f>
        <v>-</v>
      </c>
      <c r="AE14" s="23" t="str">
        <f aca="false">IF('TASKS AND ROAD SEGMENT MATRIX'!AR14-1&gt;0,'TASKS AND ROAD SEGMENT MATRIX'!AR14-1,"-")</f>
        <v>-</v>
      </c>
      <c r="AF14" s="23" t="n">
        <f aca="false">IF('TASKS AND ROAD SEGMENT MATRIX'!AS14-1&gt;0,'TASKS AND ROAD SEGMENT MATRIX'!AS14-1,"-")</f>
        <v>0.301510209631625</v>
      </c>
      <c r="AG14" s="23" t="str">
        <f aca="false">IF('TASKS AND ROAD SEGMENT MATRIX'!AT14-1&gt;0,'TASKS AND ROAD SEGMENT MATRIX'!AT14-1,"-")</f>
        <v>-</v>
      </c>
      <c r="AH14" s="23" t="str">
        <f aca="false">IF('TASKS AND ROAD SEGMENT MATRIX'!AU14-1&gt;0,'TASKS AND ROAD SEGMENT MATRIX'!AU14-1,"-")</f>
        <v>-</v>
      </c>
      <c r="AI14" s="23" t="str">
        <f aca="false">IF('TASKS AND ROAD SEGMENT MATRIX'!AV14-1&gt;0,'TASKS AND ROAD SEGMENT MATRIX'!AV14-1,"-")</f>
        <v>-</v>
      </c>
      <c r="AJ14" s="23" t="str">
        <f aca="false">IF('TASKS AND ROAD SEGMENT MATRIX'!AW14-1&gt;0,'TASKS AND ROAD SEGMENT MATRIX'!AW14-1,"-")</f>
        <v>-</v>
      </c>
      <c r="AK14" s="23" t="str">
        <f aca="false">IF('TASKS AND ROAD SEGMENT MATRIX'!AX14-1&gt;0,'TASKS AND ROAD SEGMENT MATRIX'!AX14-1,"-")</f>
        <v>-</v>
      </c>
      <c r="AL14" s="23" t="str">
        <f aca="false">IF('TASKS AND ROAD SEGMENT MATRIX'!AY14-1&gt;0,'TASKS AND ROAD SEGMENT MATRIX'!AY14-1,"-")</f>
        <v>-</v>
      </c>
      <c r="AM14" s="23" t="str">
        <f aca="false">IF('TASKS AND ROAD SEGMENT MATRIX'!AZ14-1&gt;0,'TASKS AND ROAD SEGMENT MATRIX'!AZ14-1,"-")</f>
        <v>-</v>
      </c>
      <c r="AN14" s="23" t="str">
        <f aca="false">IF('TASKS AND ROAD SEGMENT MATRIX'!BA14-1&gt;0,'TASKS AND ROAD SEGMENT MATRIX'!BA14-1,"-")</f>
        <v>-</v>
      </c>
      <c r="AO14" s="23" t="str">
        <f aca="false">IF('TASKS AND ROAD SEGMENT MATRIX'!BB14-1&gt;0,'TASKS AND ROAD SEGMENT MATRIX'!BB14-1,"-")</f>
        <v>-</v>
      </c>
      <c r="AP14" s="23" t="str">
        <f aca="false">IF('TASKS AND ROAD SEGMENT MATRIX'!BC14-1&gt;0,'TASKS AND ROAD SEGMENT MATRIX'!BC14-1,"-")</f>
        <v>-</v>
      </c>
      <c r="AQ14" s="23" t="str">
        <f aca="false">IF('TASKS AND ROAD SEGMENT MATRIX'!BD14-1&gt;0,'TASKS AND ROAD SEGMENT MATRIX'!BD14-1,"-")</f>
        <v>-</v>
      </c>
      <c r="AR14" s="23" t="n">
        <f aca="false">IF('TASKS AND ROAD SEGMENT MATRIX'!BE14-1&gt;0,'TASKS AND ROAD SEGMENT MATRIX'!BE14-1,"-")</f>
        <v>0.301510209631625</v>
      </c>
      <c r="AS14" s="23" t="str">
        <f aca="false">IF('TASKS AND ROAD SEGMENT MATRIX'!BF14-1&gt;0,'TASKS AND ROAD SEGMENT MATRIX'!BF14-1,"-")</f>
        <v>-</v>
      </c>
      <c r="AT14" s="23" t="n">
        <f aca="false">IF('TASKS AND ROAD SEGMENT MATRIX'!BG14-1&gt;0,'TASKS AND ROAD SEGMENT MATRIX'!BG14-1,"-")</f>
        <v>0.301510209631625</v>
      </c>
      <c r="AU14" s="23" t="n">
        <f aca="false">IF('TASKS AND ROAD SEGMENT MATRIX'!BH14-1&gt;0,'TASKS AND ROAD SEGMENT MATRIX'!BH14-1,"-")</f>
        <v>0.60302041926325</v>
      </c>
    </row>
    <row r="15" customFormat="false" ht="13.8" hidden="false" customHeight="false" outlineLevel="0" collapsed="false">
      <c r="A15" s="11" t="s">
        <v>55</v>
      </c>
      <c r="B15" s="0" t="s">
        <v>115</v>
      </c>
      <c r="C15" s="23" t="n">
        <f aca="false">IF('TASKS AND ROAD SEGMENT MATRIX'!P15-1&gt;0,'TASKS AND ROAD SEGMENT MATRIX'!P15-1,"-")</f>
        <v>0.452265314447438</v>
      </c>
      <c r="D15" s="23" t="n">
        <f aca="false">IF('TASKS AND ROAD SEGMENT MATRIX'!Q15-1&gt;0,'TASKS AND ROAD SEGMENT MATRIX'!Q15-1,"-")</f>
        <v>0.452265314447438</v>
      </c>
      <c r="E15" s="23" t="n">
        <f aca="false">IF('TASKS AND ROAD SEGMENT MATRIX'!R15-1&gt;0,'TASKS AND ROAD SEGMENT MATRIX'!R15-1,"-")</f>
        <v>0.452265314447438</v>
      </c>
      <c r="F15" s="23" t="n">
        <f aca="false">IF('TASKS AND ROAD SEGMENT MATRIX'!S15-1&gt;0,'TASKS AND ROAD SEGMENT MATRIX'!S15-1,"-")</f>
        <v>0.904530628894875</v>
      </c>
      <c r="G15" s="23" t="n">
        <f aca="false">IF('TASKS AND ROAD SEGMENT MATRIX'!T15-1&gt;0,'TASKS AND ROAD SEGMENT MATRIX'!T15-1,"-")</f>
        <v>0.904530628894875</v>
      </c>
      <c r="H15" s="23" t="n">
        <f aca="false">IF('TASKS AND ROAD SEGMENT MATRIX'!U15-1&gt;0,'TASKS AND ROAD SEGMENT MATRIX'!U15-1,"-")</f>
        <v>0.904530628894875</v>
      </c>
      <c r="I15" s="23" t="str">
        <f aca="false">IF('TASKS AND ROAD SEGMENT MATRIX'!V15-1&gt;0,'TASKS AND ROAD SEGMENT MATRIX'!V15-1,"-")</f>
        <v>-</v>
      </c>
      <c r="J15" s="23" t="str">
        <f aca="false">IF('TASKS AND ROAD SEGMENT MATRIX'!W15-1&gt;0,'TASKS AND ROAD SEGMENT MATRIX'!W15-1,"-")</f>
        <v>-</v>
      </c>
      <c r="K15" s="23" t="str">
        <f aca="false">IF('TASKS AND ROAD SEGMENT MATRIX'!X15-1&gt;0,'TASKS AND ROAD SEGMENT MATRIX'!X15-1,"-")</f>
        <v>-</v>
      </c>
      <c r="L15" s="23" t="str">
        <f aca="false">IF('TASKS AND ROAD SEGMENT MATRIX'!Y15-1&gt;0,'TASKS AND ROAD SEGMENT MATRIX'!Y15-1,"-")</f>
        <v>-</v>
      </c>
      <c r="M15" s="23" t="str">
        <f aca="false">IF('TASKS AND ROAD SEGMENT MATRIX'!Z15-1&gt;0,'TASKS AND ROAD SEGMENT MATRIX'!Z15-1,"-")</f>
        <v>-</v>
      </c>
      <c r="N15" s="23" t="str">
        <f aca="false">IF('TASKS AND ROAD SEGMENT MATRIX'!AA15-1&gt;0,'TASKS AND ROAD SEGMENT MATRIX'!AA15-1,"-")</f>
        <v>-</v>
      </c>
      <c r="O15" s="23" t="str">
        <f aca="false">IF('TASKS AND ROAD SEGMENT MATRIX'!AB15-1&gt;0,'TASKS AND ROAD SEGMENT MATRIX'!AB15-1,"-")</f>
        <v>-</v>
      </c>
      <c r="P15" s="23" t="str">
        <f aca="false">IF('TASKS AND ROAD SEGMENT MATRIX'!AC15-1&gt;0,'TASKS AND ROAD SEGMENT MATRIX'!AC15-1,"-")</f>
        <v>-</v>
      </c>
      <c r="Q15" s="23" t="str">
        <f aca="false">IF('TASKS AND ROAD SEGMENT MATRIX'!AD15-1&gt;0,'TASKS AND ROAD SEGMENT MATRIX'!AD15-1,"-")</f>
        <v>-</v>
      </c>
      <c r="R15" s="23" t="str">
        <f aca="false">IF('TASKS AND ROAD SEGMENT MATRIX'!AE15-1&gt;0,'TASKS AND ROAD SEGMENT MATRIX'!AE15-1,"-")</f>
        <v>-</v>
      </c>
      <c r="S15" s="23" t="str">
        <f aca="false">IF('TASKS AND ROAD SEGMENT MATRIX'!AF15-1&gt;0,'TASKS AND ROAD SEGMENT MATRIX'!AF15-1,"-")</f>
        <v>-</v>
      </c>
      <c r="T15" s="23" t="str">
        <f aca="false">IF('TASKS AND ROAD SEGMENT MATRIX'!AG15-1&gt;0,'TASKS AND ROAD SEGMENT MATRIX'!AG15-1,"-")</f>
        <v>-</v>
      </c>
      <c r="U15" s="23" t="str">
        <f aca="false">IF('TASKS AND ROAD SEGMENT MATRIX'!AH15-1&gt;0,'TASKS AND ROAD SEGMENT MATRIX'!AH15-1,"-")</f>
        <v>-</v>
      </c>
      <c r="V15" s="23" t="str">
        <f aca="false">IF('TASKS AND ROAD SEGMENT MATRIX'!AI15-1&gt;0,'TASKS AND ROAD SEGMENT MATRIX'!AI15-1,"-")</f>
        <v>-</v>
      </c>
      <c r="W15" s="23" t="str">
        <f aca="false">IF('TASKS AND ROAD SEGMENT MATRIX'!AJ15-1&gt;0,'TASKS AND ROAD SEGMENT MATRIX'!AJ15-1,"-")</f>
        <v>-</v>
      </c>
      <c r="X15" s="23" t="str">
        <f aca="false">IF('TASKS AND ROAD SEGMENT MATRIX'!AK15-1&gt;0,'TASKS AND ROAD SEGMENT MATRIX'!AK15-1,"-")</f>
        <v>-</v>
      </c>
      <c r="Y15" s="23" t="str">
        <f aca="false">IF('TASKS AND ROAD SEGMENT MATRIX'!AL15-1&gt;0,'TASKS AND ROAD SEGMENT MATRIX'!AL15-1,"-")</f>
        <v>-</v>
      </c>
      <c r="Z15" s="23" t="str">
        <f aca="false">IF('TASKS AND ROAD SEGMENT MATRIX'!AM15-1&gt;0,'TASKS AND ROAD SEGMENT MATRIX'!AM15-1,"-")</f>
        <v>-</v>
      </c>
      <c r="AA15" s="23" t="str">
        <f aca="false">IF('TASKS AND ROAD SEGMENT MATRIX'!AN15-1&gt;0,'TASKS AND ROAD SEGMENT MATRIX'!AN15-1,"-")</f>
        <v>-</v>
      </c>
      <c r="AB15" s="23" t="str">
        <f aca="false">IF('TASKS AND ROAD SEGMENT MATRIX'!AO15-1&gt;0,'TASKS AND ROAD SEGMENT MATRIX'!AO15-1,"-")</f>
        <v>-</v>
      </c>
      <c r="AC15" s="23" t="n">
        <f aca="false">IF('TASKS AND ROAD SEGMENT MATRIX'!AP15-1&gt;0,'TASKS AND ROAD SEGMENT MATRIX'!AP15-1,"-")</f>
        <v>0.452265314447438</v>
      </c>
      <c r="AD15" s="23" t="str">
        <f aca="false">IF('TASKS AND ROAD SEGMENT MATRIX'!AQ15-1&gt;0,'TASKS AND ROAD SEGMENT MATRIX'!AQ15-1,"-")</f>
        <v>-</v>
      </c>
      <c r="AE15" s="23" t="str">
        <f aca="false">IF('TASKS AND ROAD SEGMENT MATRIX'!AR15-1&gt;0,'TASKS AND ROAD SEGMENT MATRIX'!AR15-1,"-")</f>
        <v>-</v>
      </c>
      <c r="AF15" s="23" t="n">
        <f aca="false">IF('TASKS AND ROAD SEGMENT MATRIX'!AS15-1&gt;0,'TASKS AND ROAD SEGMENT MATRIX'!AS15-1,"-")</f>
        <v>0.452265314447438</v>
      </c>
      <c r="AG15" s="23" t="str">
        <f aca="false">IF('TASKS AND ROAD SEGMENT MATRIX'!AT15-1&gt;0,'TASKS AND ROAD SEGMENT MATRIX'!AT15-1,"-")</f>
        <v>-</v>
      </c>
      <c r="AH15" s="23" t="str">
        <f aca="false">IF('TASKS AND ROAD SEGMENT MATRIX'!AU15-1&gt;0,'TASKS AND ROAD SEGMENT MATRIX'!AU15-1,"-")</f>
        <v>-</v>
      </c>
      <c r="AI15" s="23" t="str">
        <f aca="false">IF('TASKS AND ROAD SEGMENT MATRIX'!AV15-1&gt;0,'TASKS AND ROAD SEGMENT MATRIX'!AV15-1,"-")</f>
        <v>-</v>
      </c>
      <c r="AJ15" s="23" t="str">
        <f aca="false">IF('TASKS AND ROAD SEGMENT MATRIX'!AW15-1&gt;0,'TASKS AND ROAD SEGMENT MATRIX'!AW15-1,"-")</f>
        <v>-</v>
      </c>
      <c r="AK15" s="23" t="str">
        <f aca="false">IF('TASKS AND ROAD SEGMENT MATRIX'!AX15-1&gt;0,'TASKS AND ROAD SEGMENT MATRIX'!AX15-1,"-")</f>
        <v>-</v>
      </c>
      <c r="AL15" s="23" t="str">
        <f aca="false">IF('TASKS AND ROAD SEGMENT MATRIX'!AY15-1&gt;0,'TASKS AND ROAD SEGMENT MATRIX'!AY15-1,"-")</f>
        <v>-</v>
      </c>
      <c r="AM15" s="23" t="str">
        <f aca="false">IF('TASKS AND ROAD SEGMENT MATRIX'!AZ15-1&gt;0,'TASKS AND ROAD SEGMENT MATRIX'!AZ15-1,"-")</f>
        <v>-</v>
      </c>
      <c r="AN15" s="23" t="str">
        <f aca="false">IF('TASKS AND ROAD SEGMENT MATRIX'!BA15-1&gt;0,'TASKS AND ROAD SEGMENT MATRIX'!BA15-1,"-")</f>
        <v>-</v>
      </c>
      <c r="AO15" s="23" t="str">
        <f aca="false">IF('TASKS AND ROAD SEGMENT MATRIX'!BB15-1&gt;0,'TASKS AND ROAD SEGMENT MATRIX'!BB15-1,"-")</f>
        <v>-</v>
      </c>
      <c r="AP15" s="23" t="str">
        <f aca="false">IF('TASKS AND ROAD SEGMENT MATRIX'!BC15-1&gt;0,'TASKS AND ROAD SEGMENT MATRIX'!BC15-1,"-")</f>
        <v>-</v>
      </c>
      <c r="AQ15" s="23" t="str">
        <f aca="false">IF('TASKS AND ROAD SEGMENT MATRIX'!BD15-1&gt;0,'TASKS AND ROAD SEGMENT MATRIX'!BD15-1,"-")</f>
        <v>-</v>
      </c>
      <c r="AR15" s="23" t="n">
        <f aca="false">IF('TASKS AND ROAD SEGMENT MATRIX'!BE15-1&gt;0,'TASKS AND ROAD SEGMENT MATRIX'!BE15-1,"-")</f>
        <v>0.452265314447438</v>
      </c>
      <c r="AS15" s="23" t="str">
        <f aca="false">IF('TASKS AND ROAD SEGMENT MATRIX'!BF15-1&gt;0,'TASKS AND ROAD SEGMENT MATRIX'!BF15-1,"-")</f>
        <v>-</v>
      </c>
      <c r="AT15" s="23" t="n">
        <f aca="false">IF('TASKS AND ROAD SEGMENT MATRIX'!BG15-1&gt;0,'TASKS AND ROAD SEGMENT MATRIX'!BG15-1,"-")</f>
        <v>0.452265314447438</v>
      </c>
      <c r="AU15" s="23" t="n">
        <f aca="false">IF('TASKS AND ROAD SEGMENT MATRIX'!BH15-1&gt;0,'TASKS AND ROAD SEGMENT MATRIX'!BH15-1,"-")</f>
        <v>0.904530628894875</v>
      </c>
    </row>
    <row r="16" customFormat="false" ht="13.8" hidden="false" customHeight="false" outlineLevel="0" collapsed="false">
      <c r="A16" s="11" t="s">
        <v>55</v>
      </c>
      <c r="B16" s="0" t="s">
        <v>117</v>
      </c>
      <c r="C16" s="23" t="n">
        <f aca="false">IF('TASKS AND ROAD SEGMENT MATRIX'!P16-1&gt;0,'TASKS AND ROAD SEGMENT MATRIX'!P16-1,"-")</f>
        <v>0.376887762039531</v>
      </c>
      <c r="D16" s="23" t="n">
        <f aca="false">IF('TASKS AND ROAD SEGMENT MATRIX'!Q16-1&gt;0,'TASKS AND ROAD SEGMENT MATRIX'!Q16-1,"-")</f>
        <v>0.376887762039531</v>
      </c>
      <c r="E16" s="23" t="n">
        <f aca="false">IF('TASKS AND ROAD SEGMENT MATRIX'!R16-1&gt;0,'TASKS AND ROAD SEGMENT MATRIX'!R16-1,"-")</f>
        <v>0.376887762039531</v>
      </c>
      <c r="F16" s="23" t="n">
        <f aca="false">IF('TASKS AND ROAD SEGMENT MATRIX'!S16-1&gt;0,'TASKS AND ROAD SEGMENT MATRIX'!S16-1,"-")</f>
        <v>0.753775524079062</v>
      </c>
      <c r="G16" s="23" t="n">
        <f aca="false">IF('TASKS AND ROAD SEGMENT MATRIX'!T16-1&gt;0,'TASKS AND ROAD SEGMENT MATRIX'!T16-1,"-")</f>
        <v>0.376887762039531</v>
      </c>
      <c r="H16" s="23" t="n">
        <f aca="false">IF('TASKS AND ROAD SEGMENT MATRIX'!U16-1&gt;0,'TASKS AND ROAD SEGMENT MATRIX'!U16-1,"-")</f>
        <v>0.753775524079062</v>
      </c>
      <c r="I16" s="23" t="str">
        <f aca="false">IF('TASKS AND ROAD SEGMENT MATRIX'!V16-1&gt;0,'TASKS AND ROAD SEGMENT MATRIX'!V16-1,"-")</f>
        <v>-</v>
      </c>
      <c r="J16" s="23" t="str">
        <f aca="false">IF('TASKS AND ROAD SEGMENT MATRIX'!W16-1&gt;0,'TASKS AND ROAD SEGMENT MATRIX'!W16-1,"-")</f>
        <v>-</v>
      </c>
      <c r="K16" s="23" t="str">
        <f aca="false">IF('TASKS AND ROAD SEGMENT MATRIX'!X16-1&gt;0,'TASKS AND ROAD SEGMENT MATRIX'!X16-1,"-")</f>
        <v>-</v>
      </c>
      <c r="L16" s="23" t="str">
        <f aca="false">IF('TASKS AND ROAD SEGMENT MATRIX'!Y16-1&gt;0,'TASKS AND ROAD SEGMENT MATRIX'!Y16-1,"-")</f>
        <v>-</v>
      </c>
      <c r="M16" s="23" t="str">
        <f aca="false">IF('TASKS AND ROAD SEGMENT MATRIX'!Z16-1&gt;0,'TASKS AND ROAD SEGMENT MATRIX'!Z16-1,"-")</f>
        <v>-</v>
      </c>
      <c r="N16" s="23" t="str">
        <f aca="false">IF('TASKS AND ROAD SEGMENT MATRIX'!AA16-1&gt;0,'TASKS AND ROAD SEGMENT MATRIX'!AA16-1,"-")</f>
        <v>-</v>
      </c>
      <c r="O16" s="23" t="str">
        <f aca="false">IF('TASKS AND ROAD SEGMENT MATRIX'!AB16-1&gt;0,'TASKS AND ROAD SEGMENT MATRIX'!AB16-1,"-")</f>
        <v>-</v>
      </c>
      <c r="P16" s="23" t="str">
        <f aca="false">IF('TASKS AND ROAD SEGMENT MATRIX'!AC16-1&gt;0,'TASKS AND ROAD SEGMENT MATRIX'!AC16-1,"-")</f>
        <v>-</v>
      </c>
      <c r="Q16" s="23" t="str">
        <f aca="false">IF('TASKS AND ROAD SEGMENT MATRIX'!AD16-1&gt;0,'TASKS AND ROAD SEGMENT MATRIX'!AD16-1,"-")</f>
        <v>-</v>
      </c>
      <c r="R16" s="23" t="str">
        <f aca="false">IF('TASKS AND ROAD SEGMENT MATRIX'!AE16-1&gt;0,'TASKS AND ROAD SEGMENT MATRIX'!AE16-1,"-")</f>
        <v>-</v>
      </c>
      <c r="S16" s="23" t="str">
        <f aca="false">IF('TASKS AND ROAD SEGMENT MATRIX'!AF16-1&gt;0,'TASKS AND ROAD SEGMENT MATRIX'!AF16-1,"-")</f>
        <v>-</v>
      </c>
      <c r="T16" s="23" t="str">
        <f aca="false">IF('TASKS AND ROAD SEGMENT MATRIX'!AG16-1&gt;0,'TASKS AND ROAD SEGMENT MATRIX'!AG16-1,"-")</f>
        <v>-</v>
      </c>
      <c r="U16" s="23" t="str">
        <f aca="false">IF('TASKS AND ROAD SEGMENT MATRIX'!AH16-1&gt;0,'TASKS AND ROAD SEGMENT MATRIX'!AH16-1,"-")</f>
        <v>-</v>
      </c>
      <c r="V16" s="23" t="str">
        <f aca="false">IF('TASKS AND ROAD SEGMENT MATRIX'!AI16-1&gt;0,'TASKS AND ROAD SEGMENT MATRIX'!AI16-1,"-")</f>
        <v>-</v>
      </c>
      <c r="W16" s="23" t="str">
        <f aca="false">IF('TASKS AND ROAD SEGMENT MATRIX'!AJ16-1&gt;0,'TASKS AND ROAD SEGMENT MATRIX'!AJ16-1,"-")</f>
        <v>-</v>
      </c>
      <c r="X16" s="23" t="str">
        <f aca="false">IF('TASKS AND ROAD SEGMENT MATRIX'!AK16-1&gt;0,'TASKS AND ROAD SEGMENT MATRIX'!AK16-1,"-")</f>
        <v>-</v>
      </c>
      <c r="Y16" s="23" t="str">
        <f aca="false">IF('TASKS AND ROAD SEGMENT MATRIX'!AL16-1&gt;0,'TASKS AND ROAD SEGMENT MATRIX'!AL16-1,"-")</f>
        <v>-</v>
      </c>
      <c r="Z16" s="23" t="str">
        <f aca="false">IF('TASKS AND ROAD SEGMENT MATRIX'!AM16-1&gt;0,'TASKS AND ROAD SEGMENT MATRIX'!AM16-1,"-")</f>
        <v>-</v>
      </c>
      <c r="AA16" s="23" t="str">
        <f aca="false">IF('TASKS AND ROAD SEGMENT MATRIX'!AN16-1&gt;0,'TASKS AND ROAD SEGMENT MATRIX'!AN16-1,"-")</f>
        <v>-</v>
      </c>
      <c r="AB16" s="23" t="str">
        <f aca="false">IF('TASKS AND ROAD SEGMENT MATRIX'!AO16-1&gt;0,'TASKS AND ROAD SEGMENT MATRIX'!AO16-1,"-")</f>
        <v>-</v>
      </c>
      <c r="AC16" s="23" t="n">
        <f aca="false">IF('TASKS AND ROAD SEGMENT MATRIX'!AP16-1&gt;0,'TASKS AND ROAD SEGMENT MATRIX'!AP16-1,"-")</f>
        <v>0.376887762039531</v>
      </c>
      <c r="AD16" s="23" t="str">
        <f aca="false">IF('TASKS AND ROAD SEGMENT MATRIX'!AQ16-1&gt;0,'TASKS AND ROAD SEGMENT MATRIX'!AQ16-1,"-")</f>
        <v>-</v>
      </c>
      <c r="AE16" s="23" t="str">
        <f aca="false">IF('TASKS AND ROAD SEGMENT MATRIX'!AR16-1&gt;0,'TASKS AND ROAD SEGMENT MATRIX'!AR16-1,"-")</f>
        <v>-</v>
      </c>
      <c r="AF16" s="23" t="n">
        <f aca="false">IF('TASKS AND ROAD SEGMENT MATRIX'!AS16-1&gt;0,'TASKS AND ROAD SEGMENT MATRIX'!AS16-1,"-")</f>
        <v>0.376887762039531</v>
      </c>
      <c r="AG16" s="23" t="str">
        <f aca="false">IF('TASKS AND ROAD SEGMENT MATRIX'!AT16-1&gt;0,'TASKS AND ROAD SEGMENT MATRIX'!AT16-1,"-")</f>
        <v>-</v>
      </c>
      <c r="AH16" s="23" t="str">
        <f aca="false">IF('TASKS AND ROAD SEGMENT MATRIX'!AU16-1&gt;0,'TASKS AND ROAD SEGMENT MATRIX'!AU16-1,"-")</f>
        <v>-</v>
      </c>
      <c r="AI16" s="23" t="str">
        <f aca="false">IF('TASKS AND ROAD SEGMENT MATRIX'!AV16-1&gt;0,'TASKS AND ROAD SEGMENT MATRIX'!AV16-1,"-")</f>
        <v>-</v>
      </c>
      <c r="AJ16" s="23" t="str">
        <f aca="false">IF('TASKS AND ROAD SEGMENT MATRIX'!AW16-1&gt;0,'TASKS AND ROAD SEGMENT MATRIX'!AW16-1,"-")</f>
        <v>-</v>
      </c>
      <c r="AK16" s="23" t="str">
        <f aca="false">IF('TASKS AND ROAD SEGMENT MATRIX'!AX16-1&gt;0,'TASKS AND ROAD SEGMENT MATRIX'!AX16-1,"-")</f>
        <v>-</v>
      </c>
      <c r="AL16" s="23" t="str">
        <f aca="false">IF('TASKS AND ROAD SEGMENT MATRIX'!AY16-1&gt;0,'TASKS AND ROAD SEGMENT MATRIX'!AY16-1,"-")</f>
        <v>-</v>
      </c>
      <c r="AM16" s="23" t="str">
        <f aca="false">IF('TASKS AND ROAD SEGMENT MATRIX'!AZ16-1&gt;0,'TASKS AND ROAD SEGMENT MATRIX'!AZ16-1,"-")</f>
        <v>-</v>
      </c>
      <c r="AN16" s="23" t="str">
        <f aca="false">IF('TASKS AND ROAD SEGMENT MATRIX'!BA16-1&gt;0,'TASKS AND ROAD SEGMENT MATRIX'!BA16-1,"-")</f>
        <v>-</v>
      </c>
      <c r="AO16" s="23" t="str">
        <f aca="false">IF('TASKS AND ROAD SEGMENT MATRIX'!BB16-1&gt;0,'TASKS AND ROAD SEGMENT MATRIX'!BB16-1,"-")</f>
        <v>-</v>
      </c>
      <c r="AP16" s="23" t="str">
        <f aca="false">IF('TASKS AND ROAD SEGMENT MATRIX'!BC16-1&gt;0,'TASKS AND ROAD SEGMENT MATRIX'!BC16-1,"-")</f>
        <v>-</v>
      </c>
      <c r="AQ16" s="23" t="str">
        <f aca="false">IF('TASKS AND ROAD SEGMENT MATRIX'!BD16-1&gt;0,'TASKS AND ROAD SEGMENT MATRIX'!BD16-1,"-")</f>
        <v>-</v>
      </c>
      <c r="AR16" s="23" t="n">
        <f aca="false">IF('TASKS AND ROAD SEGMENT MATRIX'!BE16-1&gt;0,'TASKS AND ROAD SEGMENT MATRIX'!BE16-1,"-")</f>
        <v>0.376887762039531</v>
      </c>
      <c r="AS16" s="23" t="str">
        <f aca="false">IF('TASKS AND ROAD SEGMENT MATRIX'!BF16-1&gt;0,'TASKS AND ROAD SEGMENT MATRIX'!BF16-1,"-")</f>
        <v>-</v>
      </c>
      <c r="AT16" s="23" t="n">
        <f aca="false">IF('TASKS AND ROAD SEGMENT MATRIX'!BG16-1&gt;0,'TASKS AND ROAD SEGMENT MATRIX'!BG16-1,"-")</f>
        <v>0.376887762039531</v>
      </c>
      <c r="AU16" s="23" t="n">
        <f aca="false">IF('TASKS AND ROAD SEGMENT MATRIX'!BH16-1&gt;0,'TASKS AND ROAD SEGMENT MATRIX'!BH16-1,"-")</f>
        <v>0.753775524079062</v>
      </c>
    </row>
    <row r="17" customFormat="false" ht="13.8" hidden="false" customHeight="false" outlineLevel="0" collapsed="false">
      <c r="A17" s="11" t="s">
        <v>55</v>
      </c>
      <c r="B17" s="0" t="s">
        <v>119</v>
      </c>
      <c r="C17" s="23" t="n">
        <f aca="false">IF('TASKS AND ROAD SEGMENT MATRIX'!P17-1&gt;0,'TASKS AND ROAD SEGMENT MATRIX'!P17-1,"-")</f>
        <v>0.452265314447438</v>
      </c>
      <c r="D17" s="23" t="n">
        <f aca="false">IF('TASKS AND ROAD SEGMENT MATRIX'!Q17-1&gt;0,'TASKS AND ROAD SEGMENT MATRIX'!Q17-1,"-")</f>
        <v>0.452265314447438</v>
      </c>
      <c r="E17" s="23" t="n">
        <f aca="false">IF('TASKS AND ROAD SEGMENT MATRIX'!R17-1&gt;0,'TASKS AND ROAD SEGMENT MATRIX'!R17-1,"-")</f>
        <v>0.452265314447438</v>
      </c>
      <c r="F17" s="23" t="n">
        <f aca="false">IF('TASKS AND ROAD SEGMENT MATRIX'!S17-1&gt;0,'TASKS AND ROAD SEGMENT MATRIX'!S17-1,"-")</f>
        <v>0.904530628894875</v>
      </c>
      <c r="G17" s="23" t="n">
        <f aca="false">IF('TASKS AND ROAD SEGMENT MATRIX'!T17-1&gt;0,'TASKS AND ROAD SEGMENT MATRIX'!T17-1,"-")</f>
        <v>0.904530628894875</v>
      </c>
      <c r="H17" s="23" t="n">
        <f aca="false">IF('TASKS AND ROAD SEGMENT MATRIX'!U17-1&gt;0,'TASKS AND ROAD SEGMENT MATRIX'!U17-1,"-")</f>
        <v>0.904530628894875</v>
      </c>
      <c r="I17" s="23" t="str">
        <f aca="false">IF('TASKS AND ROAD SEGMENT MATRIX'!V17-1&gt;0,'TASKS AND ROAD SEGMENT MATRIX'!V17-1,"-")</f>
        <v>-</v>
      </c>
      <c r="J17" s="23" t="str">
        <f aca="false">IF('TASKS AND ROAD SEGMENT MATRIX'!W17-1&gt;0,'TASKS AND ROAD SEGMENT MATRIX'!W17-1,"-")</f>
        <v>-</v>
      </c>
      <c r="K17" s="23" t="str">
        <f aca="false">IF('TASKS AND ROAD SEGMENT MATRIX'!X17-1&gt;0,'TASKS AND ROAD SEGMENT MATRIX'!X17-1,"-")</f>
        <v>-</v>
      </c>
      <c r="L17" s="23" t="str">
        <f aca="false">IF('TASKS AND ROAD SEGMENT MATRIX'!Y17-1&gt;0,'TASKS AND ROAD SEGMENT MATRIX'!Y17-1,"-")</f>
        <v>-</v>
      </c>
      <c r="M17" s="23" t="str">
        <f aca="false">IF('TASKS AND ROAD SEGMENT MATRIX'!Z17-1&gt;0,'TASKS AND ROAD SEGMENT MATRIX'!Z17-1,"-")</f>
        <v>-</v>
      </c>
      <c r="N17" s="23" t="str">
        <f aca="false">IF('TASKS AND ROAD SEGMENT MATRIX'!AA17-1&gt;0,'TASKS AND ROAD SEGMENT MATRIX'!AA17-1,"-")</f>
        <v>-</v>
      </c>
      <c r="O17" s="23" t="str">
        <f aca="false">IF('TASKS AND ROAD SEGMENT MATRIX'!AB17-1&gt;0,'TASKS AND ROAD SEGMENT MATRIX'!AB17-1,"-")</f>
        <v>-</v>
      </c>
      <c r="P17" s="23" t="str">
        <f aca="false">IF('TASKS AND ROAD SEGMENT MATRIX'!AC17-1&gt;0,'TASKS AND ROAD SEGMENT MATRIX'!AC17-1,"-")</f>
        <v>-</v>
      </c>
      <c r="Q17" s="23" t="str">
        <f aca="false">IF('TASKS AND ROAD SEGMENT MATRIX'!AD17-1&gt;0,'TASKS AND ROAD SEGMENT MATRIX'!AD17-1,"-")</f>
        <v>-</v>
      </c>
      <c r="R17" s="23" t="str">
        <f aca="false">IF('TASKS AND ROAD SEGMENT MATRIX'!AE17-1&gt;0,'TASKS AND ROAD SEGMENT MATRIX'!AE17-1,"-")</f>
        <v>-</v>
      </c>
      <c r="S17" s="23" t="str">
        <f aca="false">IF('TASKS AND ROAD SEGMENT MATRIX'!AF17-1&gt;0,'TASKS AND ROAD SEGMENT MATRIX'!AF17-1,"-")</f>
        <v>-</v>
      </c>
      <c r="T17" s="23" t="str">
        <f aca="false">IF('TASKS AND ROAD SEGMENT MATRIX'!AG17-1&gt;0,'TASKS AND ROAD SEGMENT MATRIX'!AG17-1,"-")</f>
        <v>-</v>
      </c>
      <c r="U17" s="23" t="str">
        <f aca="false">IF('TASKS AND ROAD SEGMENT MATRIX'!AH17-1&gt;0,'TASKS AND ROAD SEGMENT MATRIX'!AH17-1,"-")</f>
        <v>-</v>
      </c>
      <c r="V17" s="23" t="str">
        <f aca="false">IF('TASKS AND ROAD SEGMENT MATRIX'!AI17-1&gt;0,'TASKS AND ROAD SEGMENT MATRIX'!AI17-1,"-")</f>
        <v>-</v>
      </c>
      <c r="W17" s="23" t="str">
        <f aca="false">IF('TASKS AND ROAD SEGMENT MATRIX'!AJ17-1&gt;0,'TASKS AND ROAD SEGMENT MATRIX'!AJ17-1,"-")</f>
        <v>-</v>
      </c>
      <c r="X17" s="23" t="str">
        <f aca="false">IF('TASKS AND ROAD SEGMENT MATRIX'!AK17-1&gt;0,'TASKS AND ROAD SEGMENT MATRIX'!AK17-1,"-")</f>
        <v>-</v>
      </c>
      <c r="Y17" s="23" t="str">
        <f aca="false">IF('TASKS AND ROAD SEGMENT MATRIX'!AL17-1&gt;0,'TASKS AND ROAD SEGMENT MATRIX'!AL17-1,"-")</f>
        <v>-</v>
      </c>
      <c r="Z17" s="23" t="str">
        <f aca="false">IF('TASKS AND ROAD SEGMENT MATRIX'!AM17-1&gt;0,'TASKS AND ROAD SEGMENT MATRIX'!AM17-1,"-")</f>
        <v>-</v>
      </c>
      <c r="AA17" s="23" t="str">
        <f aca="false">IF('TASKS AND ROAD SEGMENT MATRIX'!AN17-1&gt;0,'TASKS AND ROAD SEGMENT MATRIX'!AN17-1,"-")</f>
        <v>-</v>
      </c>
      <c r="AB17" s="23" t="str">
        <f aca="false">IF('TASKS AND ROAD SEGMENT MATRIX'!AO17-1&gt;0,'TASKS AND ROAD SEGMENT MATRIX'!AO17-1,"-")</f>
        <v>-</v>
      </c>
      <c r="AC17" s="23" t="n">
        <f aca="false">IF('TASKS AND ROAD SEGMENT MATRIX'!AP17-1&gt;0,'TASKS AND ROAD SEGMENT MATRIX'!AP17-1,"-")</f>
        <v>0.452265314447438</v>
      </c>
      <c r="AD17" s="23" t="str">
        <f aca="false">IF('TASKS AND ROAD SEGMENT MATRIX'!AQ17-1&gt;0,'TASKS AND ROAD SEGMENT MATRIX'!AQ17-1,"-")</f>
        <v>-</v>
      </c>
      <c r="AE17" s="23" t="str">
        <f aca="false">IF('TASKS AND ROAD SEGMENT MATRIX'!AR17-1&gt;0,'TASKS AND ROAD SEGMENT MATRIX'!AR17-1,"-")</f>
        <v>-</v>
      </c>
      <c r="AF17" s="23" t="n">
        <f aca="false">IF('TASKS AND ROAD SEGMENT MATRIX'!AS17-1&gt;0,'TASKS AND ROAD SEGMENT MATRIX'!AS17-1,"-")</f>
        <v>0.452265314447438</v>
      </c>
      <c r="AG17" s="23" t="str">
        <f aca="false">IF('TASKS AND ROAD SEGMENT MATRIX'!AT17-1&gt;0,'TASKS AND ROAD SEGMENT MATRIX'!AT17-1,"-")</f>
        <v>-</v>
      </c>
      <c r="AH17" s="23" t="str">
        <f aca="false">IF('TASKS AND ROAD SEGMENT MATRIX'!AU17-1&gt;0,'TASKS AND ROAD SEGMENT MATRIX'!AU17-1,"-")</f>
        <v>-</v>
      </c>
      <c r="AI17" s="23" t="str">
        <f aca="false">IF('TASKS AND ROAD SEGMENT MATRIX'!AV17-1&gt;0,'TASKS AND ROAD SEGMENT MATRIX'!AV17-1,"-")</f>
        <v>-</v>
      </c>
      <c r="AJ17" s="23" t="str">
        <f aca="false">IF('TASKS AND ROAD SEGMENT MATRIX'!AW17-1&gt;0,'TASKS AND ROAD SEGMENT MATRIX'!AW17-1,"-")</f>
        <v>-</v>
      </c>
      <c r="AK17" s="23" t="str">
        <f aca="false">IF('TASKS AND ROAD SEGMENT MATRIX'!AX17-1&gt;0,'TASKS AND ROAD SEGMENT MATRIX'!AX17-1,"-")</f>
        <v>-</v>
      </c>
      <c r="AL17" s="23" t="str">
        <f aca="false">IF('TASKS AND ROAD SEGMENT MATRIX'!AY17-1&gt;0,'TASKS AND ROAD SEGMENT MATRIX'!AY17-1,"-")</f>
        <v>-</v>
      </c>
      <c r="AM17" s="23" t="str">
        <f aca="false">IF('TASKS AND ROAD SEGMENT MATRIX'!AZ17-1&gt;0,'TASKS AND ROAD SEGMENT MATRIX'!AZ17-1,"-")</f>
        <v>-</v>
      </c>
      <c r="AN17" s="23" t="str">
        <f aca="false">IF('TASKS AND ROAD SEGMENT MATRIX'!BA17-1&gt;0,'TASKS AND ROAD SEGMENT MATRIX'!BA17-1,"-")</f>
        <v>-</v>
      </c>
      <c r="AO17" s="23" t="str">
        <f aca="false">IF('TASKS AND ROAD SEGMENT MATRIX'!BB17-1&gt;0,'TASKS AND ROAD SEGMENT MATRIX'!BB17-1,"-")</f>
        <v>-</v>
      </c>
      <c r="AP17" s="23" t="str">
        <f aca="false">IF('TASKS AND ROAD SEGMENT MATRIX'!BC17-1&gt;0,'TASKS AND ROAD SEGMENT MATRIX'!BC17-1,"-")</f>
        <v>-</v>
      </c>
      <c r="AQ17" s="23" t="str">
        <f aca="false">IF('TASKS AND ROAD SEGMENT MATRIX'!BD17-1&gt;0,'TASKS AND ROAD SEGMENT MATRIX'!BD17-1,"-")</f>
        <v>-</v>
      </c>
      <c r="AR17" s="23" t="n">
        <f aca="false">IF('TASKS AND ROAD SEGMENT MATRIX'!BE17-1&gt;0,'TASKS AND ROAD SEGMENT MATRIX'!BE17-1,"-")</f>
        <v>0.452265314447438</v>
      </c>
      <c r="AS17" s="23" t="str">
        <f aca="false">IF('TASKS AND ROAD SEGMENT MATRIX'!BF17-1&gt;0,'TASKS AND ROAD SEGMENT MATRIX'!BF17-1,"-")</f>
        <v>-</v>
      </c>
      <c r="AT17" s="23" t="n">
        <f aca="false">IF('TASKS AND ROAD SEGMENT MATRIX'!BG17-1&gt;0,'TASKS AND ROAD SEGMENT MATRIX'!BG17-1,"-")</f>
        <v>0.452265314447438</v>
      </c>
      <c r="AU17" s="23" t="n">
        <f aca="false">IF('TASKS AND ROAD SEGMENT MATRIX'!BH17-1&gt;0,'TASKS AND ROAD SEGMENT MATRIX'!BH17-1,"-")</f>
        <v>0.904530628894875</v>
      </c>
    </row>
    <row r="18" customFormat="false" ht="13.8" hidden="false" customHeight="false" outlineLevel="0" collapsed="false">
      <c r="A18" s="11" t="s">
        <v>56</v>
      </c>
      <c r="B18" s="0" t="s">
        <v>112</v>
      </c>
      <c r="C18" s="23" t="n">
        <f aca="false">IF('TASKS AND ROAD SEGMENT MATRIX'!P18-1&gt;0,'TASKS AND ROAD SEGMENT MATRIX'!P18-1,"-")</f>
        <v>0.60302041926325</v>
      </c>
      <c r="D18" s="23" t="n">
        <f aca="false">IF('TASKS AND ROAD SEGMENT MATRIX'!Q18-1&gt;0,'TASKS AND ROAD SEGMENT MATRIX'!Q18-1,"-")</f>
        <v>0.60302041926325</v>
      </c>
      <c r="E18" s="23" t="n">
        <f aca="false">IF('TASKS AND ROAD SEGMENT MATRIX'!R18-1&gt;0,'TASKS AND ROAD SEGMENT MATRIX'!R18-1,"-")</f>
        <v>0.301510209631625</v>
      </c>
      <c r="F18" s="23" t="n">
        <f aca="false">IF('TASKS AND ROAD SEGMENT MATRIX'!S18-1&gt;0,'TASKS AND ROAD SEGMENT MATRIX'!S18-1,"-")</f>
        <v>0.301510209631625</v>
      </c>
      <c r="G18" s="23" t="n">
        <f aca="false">IF('TASKS AND ROAD SEGMENT MATRIX'!T18-1&gt;0,'TASKS AND ROAD SEGMENT MATRIX'!T18-1,"-")</f>
        <v>0.60302041926325</v>
      </c>
      <c r="H18" s="23" t="str">
        <f aca="false">IF('TASKS AND ROAD SEGMENT MATRIX'!U18-1&gt;0,'TASKS AND ROAD SEGMENT MATRIX'!U18-1,"-")</f>
        <v>-</v>
      </c>
      <c r="I18" s="23" t="str">
        <f aca="false">IF('TASKS AND ROAD SEGMENT MATRIX'!V18-1&gt;0,'TASKS AND ROAD SEGMENT MATRIX'!V18-1,"-")</f>
        <v>-</v>
      </c>
      <c r="J18" s="23" t="str">
        <f aca="false">IF('TASKS AND ROAD SEGMENT MATRIX'!W18-1&gt;0,'TASKS AND ROAD SEGMENT MATRIX'!W18-1,"-")</f>
        <v>-</v>
      </c>
      <c r="K18" s="23" t="str">
        <f aca="false">IF('TASKS AND ROAD SEGMENT MATRIX'!X18-1&gt;0,'TASKS AND ROAD SEGMENT MATRIX'!X18-1,"-")</f>
        <v>-</v>
      </c>
      <c r="L18" s="23" t="str">
        <f aca="false">IF('TASKS AND ROAD SEGMENT MATRIX'!Y18-1&gt;0,'TASKS AND ROAD SEGMENT MATRIX'!Y18-1,"-")</f>
        <v>-</v>
      </c>
      <c r="M18" s="23" t="str">
        <f aca="false">IF('TASKS AND ROAD SEGMENT MATRIX'!Z18-1&gt;0,'TASKS AND ROAD SEGMENT MATRIX'!Z18-1,"-")</f>
        <v>-</v>
      </c>
      <c r="N18" s="23" t="str">
        <f aca="false">IF('TASKS AND ROAD SEGMENT MATRIX'!AA18-1&gt;0,'TASKS AND ROAD SEGMENT MATRIX'!AA18-1,"-")</f>
        <v>-</v>
      </c>
      <c r="O18" s="23" t="str">
        <f aca="false">IF('TASKS AND ROAD SEGMENT MATRIX'!AB18-1&gt;0,'TASKS AND ROAD SEGMENT MATRIX'!AB18-1,"-")</f>
        <v>-</v>
      </c>
      <c r="P18" s="23" t="str">
        <f aca="false">IF('TASKS AND ROAD SEGMENT MATRIX'!AC18-1&gt;0,'TASKS AND ROAD SEGMENT MATRIX'!AC18-1,"-")</f>
        <v>-</v>
      </c>
      <c r="Q18" s="23" t="str">
        <f aca="false">IF('TASKS AND ROAD SEGMENT MATRIX'!AD18-1&gt;0,'TASKS AND ROAD SEGMENT MATRIX'!AD18-1,"-")</f>
        <v>-</v>
      </c>
      <c r="R18" s="23" t="str">
        <f aca="false">IF('TASKS AND ROAD SEGMENT MATRIX'!AE18-1&gt;0,'TASKS AND ROAD SEGMENT MATRIX'!AE18-1,"-")</f>
        <v>-</v>
      </c>
      <c r="S18" s="23" t="str">
        <f aca="false">IF('TASKS AND ROAD SEGMENT MATRIX'!AF18-1&gt;0,'TASKS AND ROAD SEGMENT MATRIX'!AF18-1,"-")</f>
        <v>-</v>
      </c>
      <c r="T18" s="23" t="str">
        <f aca="false">IF('TASKS AND ROAD SEGMENT MATRIX'!AG18-1&gt;0,'TASKS AND ROAD SEGMENT MATRIX'!AG18-1,"-")</f>
        <v>-</v>
      </c>
      <c r="U18" s="23" t="str">
        <f aca="false">IF('TASKS AND ROAD SEGMENT MATRIX'!AH18-1&gt;0,'TASKS AND ROAD SEGMENT MATRIX'!AH18-1,"-")</f>
        <v>-</v>
      </c>
      <c r="V18" s="23" t="str">
        <f aca="false">IF('TASKS AND ROAD SEGMENT MATRIX'!AI18-1&gt;0,'TASKS AND ROAD SEGMENT MATRIX'!AI18-1,"-")</f>
        <v>-</v>
      </c>
      <c r="W18" s="23" t="n">
        <f aca="false">IF('TASKS AND ROAD SEGMENT MATRIX'!AJ18-1&gt;0,'TASKS AND ROAD SEGMENT MATRIX'!AJ18-1,"-")</f>
        <v>0.301510209631625</v>
      </c>
      <c r="X18" s="23" t="str">
        <f aca="false">IF('TASKS AND ROAD SEGMENT MATRIX'!AK18-1&gt;0,'TASKS AND ROAD SEGMENT MATRIX'!AK18-1,"-")</f>
        <v>-</v>
      </c>
      <c r="Y18" s="23" t="str">
        <f aca="false">IF('TASKS AND ROAD SEGMENT MATRIX'!AL18-1&gt;0,'TASKS AND ROAD SEGMENT MATRIX'!AL18-1,"-")</f>
        <v>-</v>
      </c>
      <c r="Z18" s="23" t="str">
        <f aca="false">IF('TASKS AND ROAD SEGMENT MATRIX'!AM18-1&gt;0,'TASKS AND ROAD SEGMENT MATRIX'!AM18-1,"-")</f>
        <v>-</v>
      </c>
      <c r="AA18" s="23" t="str">
        <f aca="false">IF('TASKS AND ROAD SEGMENT MATRIX'!AN18-1&gt;0,'TASKS AND ROAD SEGMENT MATRIX'!AN18-1,"-")</f>
        <v>-</v>
      </c>
      <c r="AB18" s="23" t="str">
        <f aca="false">IF('TASKS AND ROAD SEGMENT MATRIX'!AO18-1&gt;0,'TASKS AND ROAD SEGMENT MATRIX'!AO18-1,"-")</f>
        <v>-</v>
      </c>
      <c r="AC18" s="23" t="str">
        <f aca="false">IF('TASKS AND ROAD SEGMENT MATRIX'!AP18-1&gt;0,'TASKS AND ROAD SEGMENT MATRIX'!AP18-1,"-")</f>
        <v>-</v>
      </c>
      <c r="AD18" s="23" t="str">
        <f aca="false">IF('TASKS AND ROAD SEGMENT MATRIX'!AQ18-1&gt;0,'TASKS AND ROAD SEGMENT MATRIX'!AQ18-1,"-")</f>
        <v>-</v>
      </c>
      <c r="AE18" s="23" t="str">
        <f aca="false">IF('TASKS AND ROAD SEGMENT MATRIX'!AR18-1&gt;0,'TASKS AND ROAD SEGMENT MATRIX'!AR18-1,"-")</f>
        <v>-</v>
      </c>
      <c r="AF18" s="23" t="n">
        <f aca="false">IF('TASKS AND ROAD SEGMENT MATRIX'!AS18-1&gt;0,'TASKS AND ROAD SEGMENT MATRIX'!AS18-1,"-")</f>
        <v>0.301510209631625</v>
      </c>
      <c r="AG18" s="23" t="str">
        <f aca="false">IF('TASKS AND ROAD SEGMENT MATRIX'!AT18-1&gt;0,'TASKS AND ROAD SEGMENT MATRIX'!AT18-1,"-")</f>
        <v>-</v>
      </c>
      <c r="AH18" s="23" t="str">
        <f aca="false">IF('TASKS AND ROAD SEGMENT MATRIX'!AU18-1&gt;0,'TASKS AND ROAD SEGMENT MATRIX'!AU18-1,"-")</f>
        <v>-</v>
      </c>
      <c r="AI18" s="23" t="str">
        <f aca="false">IF('TASKS AND ROAD SEGMENT MATRIX'!AV18-1&gt;0,'TASKS AND ROAD SEGMENT MATRIX'!AV18-1,"-")</f>
        <v>-</v>
      </c>
      <c r="AJ18" s="23" t="str">
        <f aca="false">IF('TASKS AND ROAD SEGMENT MATRIX'!AW18-1&gt;0,'TASKS AND ROAD SEGMENT MATRIX'!AW18-1,"-")</f>
        <v>-</v>
      </c>
      <c r="AK18" s="23" t="str">
        <f aca="false">IF('TASKS AND ROAD SEGMENT MATRIX'!AX18-1&gt;0,'TASKS AND ROAD SEGMENT MATRIX'!AX18-1,"-")</f>
        <v>-</v>
      </c>
      <c r="AL18" s="23" t="str">
        <f aca="false">IF('TASKS AND ROAD SEGMENT MATRIX'!AY18-1&gt;0,'TASKS AND ROAD SEGMENT MATRIX'!AY18-1,"-")</f>
        <v>-</v>
      </c>
      <c r="AM18" s="23" t="str">
        <f aca="false">IF('TASKS AND ROAD SEGMENT MATRIX'!AZ18-1&gt;0,'TASKS AND ROAD SEGMENT MATRIX'!AZ18-1,"-")</f>
        <v>-</v>
      </c>
      <c r="AN18" s="23" t="str">
        <f aca="false">IF('TASKS AND ROAD SEGMENT MATRIX'!BA18-1&gt;0,'TASKS AND ROAD SEGMENT MATRIX'!BA18-1,"-")</f>
        <v>-</v>
      </c>
      <c r="AO18" s="23" t="str">
        <f aca="false">IF('TASKS AND ROAD SEGMENT MATRIX'!BB18-1&gt;0,'TASKS AND ROAD SEGMENT MATRIX'!BB18-1,"-")</f>
        <v>-</v>
      </c>
      <c r="AP18" s="23" t="str">
        <f aca="false">IF('TASKS AND ROAD SEGMENT MATRIX'!BC18-1&gt;0,'TASKS AND ROAD SEGMENT MATRIX'!BC18-1,"-")</f>
        <v>-</v>
      </c>
      <c r="AQ18" s="23" t="str">
        <f aca="false">IF('TASKS AND ROAD SEGMENT MATRIX'!BD18-1&gt;0,'TASKS AND ROAD SEGMENT MATRIX'!BD18-1,"-")</f>
        <v>-</v>
      </c>
      <c r="AR18" s="23" t="n">
        <f aca="false">IF('TASKS AND ROAD SEGMENT MATRIX'!BE18-1&gt;0,'TASKS AND ROAD SEGMENT MATRIX'!BE18-1,"-")</f>
        <v>0.60302041926325</v>
      </c>
      <c r="AS18" s="23" t="n">
        <f aca="false">IF('TASKS AND ROAD SEGMENT MATRIX'!BF18-1&gt;0,'TASKS AND ROAD SEGMENT MATRIX'!BF18-1,"-")</f>
        <v>0.301510209631625</v>
      </c>
      <c r="AT18" s="23" t="str">
        <f aca="false">IF('TASKS AND ROAD SEGMENT MATRIX'!BG18-1&gt;0,'TASKS AND ROAD SEGMENT MATRIX'!BG18-1,"-")</f>
        <v>-</v>
      </c>
      <c r="AU18" s="23" t="n">
        <f aca="false">IF('TASKS AND ROAD SEGMENT MATRIX'!BH18-1&gt;0,'TASKS AND ROAD SEGMENT MATRIX'!BH18-1,"-")</f>
        <v>0.301510209631625</v>
      </c>
    </row>
    <row r="19" customFormat="false" ht="13.8" hidden="false" customHeight="false" outlineLevel="0" collapsed="false">
      <c r="A19" s="11" t="s">
        <v>56</v>
      </c>
      <c r="B19" s="0" t="s">
        <v>115</v>
      </c>
      <c r="C19" s="23" t="n">
        <f aca="false">IF('TASKS AND ROAD SEGMENT MATRIX'!P19-1&gt;0,'TASKS AND ROAD SEGMENT MATRIX'!P19-1,"-")</f>
        <v>0.904530628894875</v>
      </c>
      <c r="D19" s="23" t="n">
        <f aca="false">IF('TASKS AND ROAD SEGMENT MATRIX'!Q19-1&gt;0,'TASKS AND ROAD SEGMENT MATRIX'!Q19-1,"-")</f>
        <v>0.904530628894875</v>
      </c>
      <c r="E19" s="23" t="n">
        <f aca="false">IF('TASKS AND ROAD SEGMENT MATRIX'!R19-1&gt;0,'TASKS AND ROAD SEGMENT MATRIX'!R19-1,"-")</f>
        <v>0.452265314447438</v>
      </c>
      <c r="F19" s="23" t="n">
        <f aca="false">IF('TASKS AND ROAD SEGMENT MATRIX'!S19-1&gt;0,'TASKS AND ROAD SEGMENT MATRIX'!S19-1,"-")</f>
        <v>0.452265314447438</v>
      </c>
      <c r="G19" s="23" t="n">
        <f aca="false">IF('TASKS AND ROAD SEGMENT MATRIX'!T19-1&gt;0,'TASKS AND ROAD SEGMENT MATRIX'!T19-1,"-")</f>
        <v>0.904530628894875</v>
      </c>
      <c r="H19" s="23" t="n">
        <f aca="false">IF('TASKS AND ROAD SEGMENT MATRIX'!U19-1&gt;0,'TASKS AND ROAD SEGMENT MATRIX'!U19-1,"-")</f>
        <v>0.904530628894875</v>
      </c>
      <c r="I19" s="23" t="str">
        <f aca="false">IF('TASKS AND ROAD SEGMENT MATRIX'!V19-1&gt;0,'TASKS AND ROAD SEGMENT MATRIX'!V19-1,"-")</f>
        <v>-</v>
      </c>
      <c r="J19" s="23" t="str">
        <f aca="false">IF('TASKS AND ROAD SEGMENT MATRIX'!W19-1&gt;0,'TASKS AND ROAD SEGMENT MATRIX'!W19-1,"-")</f>
        <v>-</v>
      </c>
      <c r="K19" s="23" t="str">
        <f aca="false">IF('TASKS AND ROAD SEGMENT MATRIX'!X19-1&gt;0,'TASKS AND ROAD SEGMENT MATRIX'!X19-1,"-")</f>
        <v>-</v>
      </c>
      <c r="L19" s="23" t="str">
        <f aca="false">IF('TASKS AND ROAD SEGMENT MATRIX'!Y19-1&gt;0,'TASKS AND ROAD SEGMENT MATRIX'!Y19-1,"-")</f>
        <v>-</v>
      </c>
      <c r="M19" s="23" t="str">
        <f aca="false">IF('TASKS AND ROAD SEGMENT MATRIX'!Z19-1&gt;0,'TASKS AND ROAD SEGMENT MATRIX'!Z19-1,"-")</f>
        <v>-</v>
      </c>
      <c r="N19" s="23" t="str">
        <f aca="false">IF('TASKS AND ROAD SEGMENT MATRIX'!AA19-1&gt;0,'TASKS AND ROAD SEGMENT MATRIX'!AA19-1,"-")</f>
        <v>-</v>
      </c>
      <c r="O19" s="23" t="str">
        <f aca="false">IF('TASKS AND ROAD SEGMENT MATRIX'!AB19-1&gt;0,'TASKS AND ROAD SEGMENT MATRIX'!AB19-1,"-")</f>
        <v>-</v>
      </c>
      <c r="P19" s="23" t="str">
        <f aca="false">IF('TASKS AND ROAD SEGMENT MATRIX'!AC19-1&gt;0,'TASKS AND ROAD SEGMENT MATRIX'!AC19-1,"-")</f>
        <v>-</v>
      </c>
      <c r="Q19" s="23" t="str">
        <f aca="false">IF('TASKS AND ROAD SEGMENT MATRIX'!AD19-1&gt;0,'TASKS AND ROAD SEGMENT MATRIX'!AD19-1,"-")</f>
        <v>-</v>
      </c>
      <c r="R19" s="23" t="str">
        <f aca="false">IF('TASKS AND ROAD SEGMENT MATRIX'!AE19-1&gt;0,'TASKS AND ROAD SEGMENT MATRIX'!AE19-1,"-")</f>
        <v>-</v>
      </c>
      <c r="S19" s="23" t="str">
        <f aca="false">IF('TASKS AND ROAD SEGMENT MATRIX'!AF19-1&gt;0,'TASKS AND ROAD SEGMENT MATRIX'!AF19-1,"-")</f>
        <v>-</v>
      </c>
      <c r="T19" s="23" t="str">
        <f aca="false">IF('TASKS AND ROAD SEGMENT MATRIX'!AG19-1&gt;0,'TASKS AND ROAD SEGMENT MATRIX'!AG19-1,"-")</f>
        <v>-</v>
      </c>
      <c r="U19" s="23" t="str">
        <f aca="false">IF('TASKS AND ROAD SEGMENT MATRIX'!AH19-1&gt;0,'TASKS AND ROAD SEGMENT MATRIX'!AH19-1,"-")</f>
        <v>-</v>
      </c>
      <c r="V19" s="23" t="str">
        <f aca="false">IF('TASKS AND ROAD SEGMENT MATRIX'!AI19-1&gt;0,'TASKS AND ROAD SEGMENT MATRIX'!AI19-1,"-")</f>
        <v>-</v>
      </c>
      <c r="W19" s="23" t="n">
        <f aca="false">IF('TASKS AND ROAD SEGMENT MATRIX'!AJ19-1&gt;0,'TASKS AND ROAD SEGMENT MATRIX'!AJ19-1,"-")</f>
        <v>0.452265314447438</v>
      </c>
      <c r="X19" s="23" t="str">
        <f aca="false">IF('TASKS AND ROAD SEGMENT MATRIX'!AK19-1&gt;0,'TASKS AND ROAD SEGMENT MATRIX'!AK19-1,"-")</f>
        <v>-</v>
      </c>
      <c r="Y19" s="23" t="str">
        <f aca="false">IF('TASKS AND ROAD SEGMENT MATRIX'!AL19-1&gt;0,'TASKS AND ROAD SEGMENT MATRIX'!AL19-1,"-")</f>
        <v>-</v>
      </c>
      <c r="Z19" s="23" t="str">
        <f aca="false">IF('TASKS AND ROAD SEGMENT MATRIX'!AM19-1&gt;0,'TASKS AND ROAD SEGMENT MATRIX'!AM19-1,"-")</f>
        <v>-</v>
      </c>
      <c r="AA19" s="23" t="str">
        <f aca="false">IF('TASKS AND ROAD SEGMENT MATRIX'!AN19-1&gt;0,'TASKS AND ROAD SEGMENT MATRIX'!AN19-1,"-")</f>
        <v>-</v>
      </c>
      <c r="AB19" s="23" t="str">
        <f aca="false">IF('TASKS AND ROAD SEGMENT MATRIX'!AO19-1&gt;0,'TASKS AND ROAD SEGMENT MATRIX'!AO19-1,"-")</f>
        <v>-</v>
      </c>
      <c r="AC19" s="23" t="str">
        <f aca="false">IF('TASKS AND ROAD SEGMENT MATRIX'!AP19-1&gt;0,'TASKS AND ROAD SEGMENT MATRIX'!AP19-1,"-")</f>
        <v>-</v>
      </c>
      <c r="AD19" s="23" t="str">
        <f aca="false">IF('TASKS AND ROAD SEGMENT MATRIX'!AQ19-1&gt;0,'TASKS AND ROAD SEGMENT MATRIX'!AQ19-1,"-")</f>
        <v>-</v>
      </c>
      <c r="AE19" s="23" t="str">
        <f aca="false">IF('TASKS AND ROAD SEGMENT MATRIX'!AR19-1&gt;0,'TASKS AND ROAD SEGMENT MATRIX'!AR19-1,"-")</f>
        <v>-</v>
      </c>
      <c r="AF19" s="23" t="n">
        <f aca="false">IF('TASKS AND ROAD SEGMENT MATRIX'!AS19-1&gt;0,'TASKS AND ROAD SEGMENT MATRIX'!AS19-1,"-")</f>
        <v>0.452265314447438</v>
      </c>
      <c r="AG19" s="23" t="str">
        <f aca="false">IF('TASKS AND ROAD SEGMENT MATRIX'!AT19-1&gt;0,'TASKS AND ROAD SEGMENT MATRIX'!AT19-1,"-")</f>
        <v>-</v>
      </c>
      <c r="AH19" s="23" t="str">
        <f aca="false">IF('TASKS AND ROAD SEGMENT MATRIX'!AU19-1&gt;0,'TASKS AND ROAD SEGMENT MATRIX'!AU19-1,"-")</f>
        <v>-</v>
      </c>
      <c r="AI19" s="23" t="str">
        <f aca="false">IF('TASKS AND ROAD SEGMENT MATRIX'!AV19-1&gt;0,'TASKS AND ROAD SEGMENT MATRIX'!AV19-1,"-")</f>
        <v>-</v>
      </c>
      <c r="AJ19" s="23" t="str">
        <f aca="false">IF('TASKS AND ROAD SEGMENT MATRIX'!AW19-1&gt;0,'TASKS AND ROAD SEGMENT MATRIX'!AW19-1,"-")</f>
        <v>-</v>
      </c>
      <c r="AK19" s="23" t="str">
        <f aca="false">IF('TASKS AND ROAD SEGMENT MATRIX'!AX19-1&gt;0,'TASKS AND ROAD SEGMENT MATRIX'!AX19-1,"-")</f>
        <v>-</v>
      </c>
      <c r="AL19" s="23" t="str">
        <f aca="false">IF('TASKS AND ROAD SEGMENT MATRIX'!AY19-1&gt;0,'TASKS AND ROAD SEGMENT MATRIX'!AY19-1,"-")</f>
        <v>-</v>
      </c>
      <c r="AM19" s="23" t="str">
        <f aca="false">IF('TASKS AND ROAD SEGMENT MATRIX'!AZ19-1&gt;0,'TASKS AND ROAD SEGMENT MATRIX'!AZ19-1,"-")</f>
        <v>-</v>
      </c>
      <c r="AN19" s="23" t="str">
        <f aca="false">IF('TASKS AND ROAD SEGMENT MATRIX'!BA19-1&gt;0,'TASKS AND ROAD SEGMENT MATRIX'!BA19-1,"-")</f>
        <v>-</v>
      </c>
      <c r="AO19" s="23" t="str">
        <f aca="false">IF('TASKS AND ROAD SEGMENT MATRIX'!BB19-1&gt;0,'TASKS AND ROAD SEGMENT MATRIX'!BB19-1,"-")</f>
        <v>-</v>
      </c>
      <c r="AP19" s="23" t="str">
        <f aca="false">IF('TASKS AND ROAD SEGMENT MATRIX'!BC19-1&gt;0,'TASKS AND ROAD SEGMENT MATRIX'!BC19-1,"-")</f>
        <v>-</v>
      </c>
      <c r="AQ19" s="23" t="str">
        <f aca="false">IF('TASKS AND ROAD SEGMENT MATRIX'!BD19-1&gt;0,'TASKS AND ROAD SEGMENT MATRIX'!BD19-1,"-")</f>
        <v>-</v>
      </c>
      <c r="AR19" s="23" t="n">
        <f aca="false">IF('TASKS AND ROAD SEGMENT MATRIX'!BE19-1&gt;0,'TASKS AND ROAD SEGMENT MATRIX'!BE19-1,"-")</f>
        <v>0.904530628894875</v>
      </c>
      <c r="AS19" s="23" t="n">
        <f aca="false">IF('TASKS AND ROAD SEGMENT MATRIX'!BF19-1&gt;0,'TASKS AND ROAD SEGMENT MATRIX'!BF19-1,"-")</f>
        <v>0.452265314447438</v>
      </c>
      <c r="AT19" s="23" t="str">
        <f aca="false">IF('TASKS AND ROAD SEGMENT MATRIX'!BG19-1&gt;0,'TASKS AND ROAD SEGMENT MATRIX'!BG19-1,"-")</f>
        <v>-</v>
      </c>
      <c r="AU19" s="23" t="n">
        <f aca="false">IF('TASKS AND ROAD SEGMENT MATRIX'!BH19-1&gt;0,'TASKS AND ROAD SEGMENT MATRIX'!BH19-1,"-")</f>
        <v>0.452265314447438</v>
      </c>
    </row>
    <row r="20" customFormat="false" ht="13.8" hidden="false" customHeight="false" outlineLevel="0" collapsed="false">
      <c r="A20" s="11" t="s">
        <v>56</v>
      </c>
      <c r="B20" s="0" t="s">
        <v>117</v>
      </c>
      <c r="C20" s="23" t="n">
        <f aca="false">IF('TASKS AND ROAD SEGMENT MATRIX'!P20-1&gt;0,'TASKS AND ROAD SEGMENT MATRIX'!P20-1,"-")</f>
        <v>0.753775524079062</v>
      </c>
      <c r="D20" s="23" t="n">
        <f aca="false">IF('TASKS AND ROAD SEGMENT MATRIX'!Q20-1&gt;0,'TASKS AND ROAD SEGMENT MATRIX'!Q20-1,"-")</f>
        <v>0.753775524079062</v>
      </c>
      <c r="E20" s="23" t="n">
        <f aca="false">IF('TASKS AND ROAD SEGMENT MATRIX'!R20-1&gt;0,'TASKS AND ROAD SEGMENT MATRIX'!R20-1,"-")</f>
        <v>0.376887762039531</v>
      </c>
      <c r="F20" s="23" t="n">
        <f aca="false">IF('TASKS AND ROAD SEGMENT MATRIX'!S20-1&gt;0,'TASKS AND ROAD SEGMENT MATRIX'!S20-1,"-")</f>
        <v>0.376887762039531</v>
      </c>
      <c r="G20" s="23" t="n">
        <f aca="false">IF('TASKS AND ROAD SEGMENT MATRIX'!T20-1&gt;0,'TASKS AND ROAD SEGMENT MATRIX'!T20-1,"-")</f>
        <v>0.753775524079062</v>
      </c>
      <c r="H20" s="23" t="n">
        <f aca="false">IF('TASKS AND ROAD SEGMENT MATRIX'!U20-1&gt;0,'TASKS AND ROAD SEGMENT MATRIX'!U20-1,"-")</f>
        <v>0.376887762039531</v>
      </c>
      <c r="I20" s="23" t="str">
        <f aca="false">IF('TASKS AND ROAD SEGMENT MATRIX'!V20-1&gt;0,'TASKS AND ROAD SEGMENT MATRIX'!V20-1,"-")</f>
        <v>-</v>
      </c>
      <c r="J20" s="23" t="str">
        <f aca="false">IF('TASKS AND ROAD SEGMENT MATRIX'!W20-1&gt;0,'TASKS AND ROAD SEGMENT MATRIX'!W20-1,"-")</f>
        <v>-</v>
      </c>
      <c r="K20" s="23" t="str">
        <f aca="false">IF('TASKS AND ROAD SEGMENT MATRIX'!X20-1&gt;0,'TASKS AND ROAD SEGMENT MATRIX'!X20-1,"-")</f>
        <v>-</v>
      </c>
      <c r="L20" s="23" t="str">
        <f aca="false">IF('TASKS AND ROAD SEGMENT MATRIX'!Y20-1&gt;0,'TASKS AND ROAD SEGMENT MATRIX'!Y20-1,"-")</f>
        <v>-</v>
      </c>
      <c r="M20" s="23" t="str">
        <f aca="false">IF('TASKS AND ROAD SEGMENT MATRIX'!Z20-1&gt;0,'TASKS AND ROAD SEGMENT MATRIX'!Z20-1,"-")</f>
        <v>-</v>
      </c>
      <c r="N20" s="23" t="str">
        <f aca="false">IF('TASKS AND ROAD SEGMENT MATRIX'!AA20-1&gt;0,'TASKS AND ROAD SEGMENT MATRIX'!AA20-1,"-")</f>
        <v>-</v>
      </c>
      <c r="O20" s="23" t="str">
        <f aca="false">IF('TASKS AND ROAD SEGMENT MATRIX'!AB20-1&gt;0,'TASKS AND ROAD SEGMENT MATRIX'!AB20-1,"-")</f>
        <v>-</v>
      </c>
      <c r="P20" s="23" t="str">
        <f aca="false">IF('TASKS AND ROAD SEGMENT MATRIX'!AC20-1&gt;0,'TASKS AND ROAD SEGMENT MATRIX'!AC20-1,"-")</f>
        <v>-</v>
      </c>
      <c r="Q20" s="23" t="str">
        <f aca="false">IF('TASKS AND ROAD SEGMENT MATRIX'!AD20-1&gt;0,'TASKS AND ROAD SEGMENT MATRIX'!AD20-1,"-")</f>
        <v>-</v>
      </c>
      <c r="R20" s="23" t="str">
        <f aca="false">IF('TASKS AND ROAD SEGMENT MATRIX'!AE20-1&gt;0,'TASKS AND ROAD SEGMENT MATRIX'!AE20-1,"-")</f>
        <v>-</v>
      </c>
      <c r="S20" s="23" t="str">
        <f aca="false">IF('TASKS AND ROAD SEGMENT MATRIX'!AF20-1&gt;0,'TASKS AND ROAD SEGMENT MATRIX'!AF20-1,"-")</f>
        <v>-</v>
      </c>
      <c r="T20" s="23" t="str">
        <f aca="false">IF('TASKS AND ROAD SEGMENT MATRIX'!AG20-1&gt;0,'TASKS AND ROAD SEGMENT MATRIX'!AG20-1,"-")</f>
        <v>-</v>
      </c>
      <c r="U20" s="23" t="str">
        <f aca="false">IF('TASKS AND ROAD SEGMENT MATRIX'!AH20-1&gt;0,'TASKS AND ROAD SEGMENT MATRIX'!AH20-1,"-")</f>
        <v>-</v>
      </c>
      <c r="V20" s="23" t="str">
        <f aca="false">IF('TASKS AND ROAD SEGMENT MATRIX'!AI20-1&gt;0,'TASKS AND ROAD SEGMENT MATRIX'!AI20-1,"-")</f>
        <v>-</v>
      </c>
      <c r="W20" s="23" t="n">
        <f aca="false">IF('TASKS AND ROAD SEGMENT MATRIX'!AJ20-1&gt;0,'TASKS AND ROAD SEGMENT MATRIX'!AJ20-1,"-")</f>
        <v>0.376887762039531</v>
      </c>
      <c r="X20" s="23" t="str">
        <f aca="false">IF('TASKS AND ROAD SEGMENT MATRIX'!AK20-1&gt;0,'TASKS AND ROAD SEGMENT MATRIX'!AK20-1,"-")</f>
        <v>-</v>
      </c>
      <c r="Y20" s="23" t="str">
        <f aca="false">IF('TASKS AND ROAD SEGMENT MATRIX'!AL20-1&gt;0,'TASKS AND ROAD SEGMENT MATRIX'!AL20-1,"-")</f>
        <v>-</v>
      </c>
      <c r="Z20" s="23" t="str">
        <f aca="false">IF('TASKS AND ROAD SEGMENT MATRIX'!AM20-1&gt;0,'TASKS AND ROAD SEGMENT MATRIX'!AM20-1,"-")</f>
        <v>-</v>
      </c>
      <c r="AA20" s="23" t="str">
        <f aca="false">IF('TASKS AND ROAD SEGMENT MATRIX'!AN20-1&gt;0,'TASKS AND ROAD SEGMENT MATRIX'!AN20-1,"-")</f>
        <v>-</v>
      </c>
      <c r="AB20" s="23" t="str">
        <f aca="false">IF('TASKS AND ROAD SEGMENT MATRIX'!AO20-1&gt;0,'TASKS AND ROAD SEGMENT MATRIX'!AO20-1,"-")</f>
        <v>-</v>
      </c>
      <c r="AC20" s="23" t="str">
        <f aca="false">IF('TASKS AND ROAD SEGMENT MATRIX'!AP20-1&gt;0,'TASKS AND ROAD SEGMENT MATRIX'!AP20-1,"-")</f>
        <v>-</v>
      </c>
      <c r="AD20" s="23" t="str">
        <f aca="false">IF('TASKS AND ROAD SEGMENT MATRIX'!AQ20-1&gt;0,'TASKS AND ROAD SEGMENT MATRIX'!AQ20-1,"-")</f>
        <v>-</v>
      </c>
      <c r="AE20" s="23" t="str">
        <f aca="false">IF('TASKS AND ROAD SEGMENT MATRIX'!AR20-1&gt;0,'TASKS AND ROAD SEGMENT MATRIX'!AR20-1,"-")</f>
        <v>-</v>
      </c>
      <c r="AF20" s="23" t="n">
        <f aca="false">IF('TASKS AND ROAD SEGMENT MATRIX'!AS20-1&gt;0,'TASKS AND ROAD SEGMENT MATRIX'!AS20-1,"-")</f>
        <v>0.376887762039531</v>
      </c>
      <c r="AG20" s="23" t="str">
        <f aca="false">IF('TASKS AND ROAD SEGMENT MATRIX'!AT20-1&gt;0,'TASKS AND ROAD SEGMENT MATRIX'!AT20-1,"-")</f>
        <v>-</v>
      </c>
      <c r="AH20" s="23" t="str">
        <f aca="false">IF('TASKS AND ROAD SEGMENT MATRIX'!AU20-1&gt;0,'TASKS AND ROAD SEGMENT MATRIX'!AU20-1,"-")</f>
        <v>-</v>
      </c>
      <c r="AI20" s="23" t="str">
        <f aca="false">IF('TASKS AND ROAD SEGMENT MATRIX'!AV20-1&gt;0,'TASKS AND ROAD SEGMENT MATRIX'!AV20-1,"-")</f>
        <v>-</v>
      </c>
      <c r="AJ20" s="23" t="str">
        <f aca="false">IF('TASKS AND ROAD SEGMENT MATRIX'!AW20-1&gt;0,'TASKS AND ROAD SEGMENT MATRIX'!AW20-1,"-")</f>
        <v>-</v>
      </c>
      <c r="AK20" s="23" t="str">
        <f aca="false">IF('TASKS AND ROAD SEGMENT MATRIX'!AX20-1&gt;0,'TASKS AND ROAD SEGMENT MATRIX'!AX20-1,"-")</f>
        <v>-</v>
      </c>
      <c r="AL20" s="23" t="str">
        <f aca="false">IF('TASKS AND ROAD SEGMENT MATRIX'!AY20-1&gt;0,'TASKS AND ROAD SEGMENT MATRIX'!AY20-1,"-")</f>
        <v>-</v>
      </c>
      <c r="AM20" s="23" t="str">
        <f aca="false">IF('TASKS AND ROAD SEGMENT MATRIX'!AZ20-1&gt;0,'TASKS AND ROAD SEGMENT MATRIX'!AZ20-1,"-")</f>
        <v>-</v>
      </c>
      <c r="AN20" s="23" t="str">
        <f aca="false">IF('TASKS AND ROAD SEGMENT MATRIX'!BA20-1&gt;0,'TASKS AND ROAD SEGMENT MATRIX'!BA20-1,"-")</f>
        <v>-</v>
      </c>
      <c r="AO20" s="23" t="str">
        <f aca="false">IF('TASKS AND ROAD SEGMENT MATRIX'!BB20-1&gt;0,'TASKS AND ROAD SEGMENT MATRIX'!BB20-1,"-")</f>
        <v>-</v>
      </c>
      <c r="AP20" s="23" t="str">
        <f aca="false">IF('TASKS AND ROAD SEGMENT MATRIX'!BC20-1&gt;0,'TASKS AND ROAD SEGMENT MATRIX'!BC20-1,"-")</f>
        <v>-</v>
      </c>
      <c r="AQ20" s="23" t="str">
        <f aca="false">IF('TASKS AND ROAD SEGMENT MATRIX'!BD20-1&gt;0,'TASKS AND ROAD SEGMENT MATRIX'!BD20-1,"-")</f>
        <v>-</v>
      </c>
      <c r="AR20" s="23" t="n">
        <f aca="false">IF('TASKS AND ROAD SEGMENT MATRIX'!BE20-1&gt;0,'TASKS AND ROAD SEGMENT MATRIX'!BE20-1,"-")</f>
        <v>0.753775524079062</v>
      </c>
      <c r="AS20" s="23" t="n">
        <f aca="false">IF('TASKS AND ROAD SEGMENT MATRIX'!BF20-1&gt;0,'TASKS AND ROAD SEGMENT MATRIX'!BF20-1,"-")</f>
        <v>0.376887762039531</v>
      </c>
      <c r="AT20" s="23" t="str">
        <f aca="false">IF('TASKS AND ROAD SEGMENT MATRIX'!BG20-1&gt;0,'TASKS AND ROAD SEGMENT MATRIX'!BG20-1,"-")</f>
        <v>-</v>
      </c>
      <c r="AU20" s="23" t="n">
        <f aca="false">IF('TASKS AND ROAD SEGMENT MATRIX'!BH20-1&gt;0,'TASKS AND ROAD SEGMENT MATRIX'!BH20-1,"-")</f>
        <v>0.376887762039531</v>
      </c>
    </row>
    <row r="21" customFormat="false" ht="13.8" hidden="false" customHeight="false" outlineLevel="0" collapsed="false">
      <c r="A21" s="11" t="s">
        <v>56</v>
      </c>
      <c r="B21" s="0" t="s">
        <v>119</v>
      </c>
      <c r="C21" s="23" t="n">
        <f aca="false">IF('TASKS AND ROAD SEGMENT MATRIX'!P21-1&gt;0,'TASKS AND ROAD SEGMENT MATRIX'!P21-1,"-")</f>
        <v>0.904530628894875</v>
      </c>
      <c r="D21" s="23" t="n">
        <f aca="false">IF('TASKS AND ROAD SEGMENT MATRIX'!Q21-1&gt;0,'TASKS AND ROAD SEGMENT MATRIX'!Q21-1,"-")</f>
        <v>0.904530628894875</v>
      </c>
      <c r="E21" s="23" t="n">
        <f aca="false">IF('TASKS AND ROAD SEGMENT MATRIX'!R21-1&gt;0,'TASKS AND ROAD SEGMENT MATRIX'!R21-1,"-")</f>
        <v>0.452265314447438</v>
      </c>
      <c r="F21" s="23" t="n">
        <f aca="false">IF('TASKS AND ROAD SEGMENT MATRIX'!S21-1&gt;0,'TASKS AND ROAD SEGMENT MATRIX'!S21-1,"-")</f>
        <v>0.452265314447438</v>
      </c>
      <c r="G21" s="23" t="n">
        <f aca="false">IF('TASKS AND ROAD SEGMENT MATRIX'!T21-1&gt;0,'TASKS AND ROAD SEGMENT MATRIX'!T21-1,"-")</f>
        <v>0.904530628894875</v>
      </c>
      <c r="H21" s="23" t="n">
        <f aca="false">IF('TASKS AND ROAD SEGMENT MATRIX'!U21-1&gt;0,'TASKS AND ROAD SEGMENT MATRIX'!U21-1,"-")</f>
        <v>0.904530628894875</v>
      </c>
      <c r="I21" s="23" t="str">
        <f aca="false">IF('TASKS AND ROAD SEGMENT MATRIX'!V21-1&gt;0,'TASKS AND ROAD SEGMENT MATRIX'!V21-1,"-")</f>
        <v>-</v>
      </c>
      <c r="J21" s="23" t="str">
        <f aca="false">IF('TASKS AND ROAD SEGMENT MATRIX'!W21-1&gt;0,'TASKS AND ROAD SEGMENT MATRIX'!W21-1,"-")</f>
        <v>-</v>
      </c>
      <c r="K21" s="23" t="str">
        <f aca="false">IF('TASKS AND ROAD SEGMENT MATRIX'!X21-1&gt;0,'TASKS AND ROAD SEGMENT MATRIX'!X21-1,"-")</f>
        <v>-</v>
      </c>
      <c r="L21" s="23" t="str">
        <f aca="false">IF('TASKS AND ROAD SEGMENT MATRIX'!Y21-1&gt;0,'TASKS AND ROAD SEGMENT MATRIX'!Y21-1,"-")</f>
        <v>-</v>
      </c>
      <c r="M21" s="23" t="str">
        <f aca="false">IF('TASKS AND ROAD SEGMENT MATRIX'!Z21-1&gt;0,'TASKS AND ROAD SEGMENT MATRIX'!Z21-1,"-")</f>
        <v>-</v>
      </c>
      <c r="N21" s="23" t="str">
        <f aca="false">IF('TASKS AND ROAD SEGMENT MATRIX'!AA21-1&gt;0,'TASKS AND ROAD SEGMENT MATRIX'!AA21-1,"-")</f>
        <v>-</v>
      </c>
      <c r="O21" s="23" t="str">
        <f aca="false">IF('TASKS AND ROAD SEGMENT MATRIX'!AB21-1&gt;0,'TASKS AND ROAD SEGMENT MATRIX'!AB21-1,"-")</f>
        <v>-</v>
      </c>
      <c r="P21" s="23" t="str">
        <f aca="false">IF('TASKS AND ROAD SEGMENT MATRIX'!AC21-1&gt;0,'TASKS AND ROAD SEGMENT MATRIX'!AC21-1,"-")</f>
        <v>-</v>
      </c>
      <c r="Q21" s="23" t="str">
        <f aca="false">IF('TASKS AND ROAD SEGMENT MATRIX'!AD21-1&gt;0,'TASKS AND ROAD SEGMENT MATRIX'!AD21-1,"-")</f>
        <v>-</v>
      </c>
      <c r="R21" s="23" t="str">
        <f aca="false">IF('TASKS AND ROAD SEGMENT MATRIX'!AE21-1&gt;0,'TASKS AND ROAD SEGMENT MATRIX'!AE21-1,"-")</f>
        <v>-</v>
      </c>
      <c r="S21" s="23" t="str">
        <f aca="false">IF('TASKS AND ROAD SEGMENT MATRIX'!AF21-1&gt;0,'TASKS AND ROAD SEGMENT MATRIX'!AF21-1,"-")</f>
        <v>-</v>
      </c>
      <c r="T21" s="23" t="str">
        <f aca="false">IF('TASKS AND ROAD SEGMENT MATRIX'!AG21-1&gt;0,'TASKS AND ROAD SEGMENT MATRIX'!AG21-1,"-")</f>
        <v>-</v>
      </c>
      <c r="U21" s="23" t="str">
        <f aca="false">IF('TASKS AND ROAD SEGMENT MATRIX'!AH21-1&gt;0,'TASKS AND ROAD SEGMENT MATRIX'!AH21-1,"-")</f>
        <v>-</v>
      </c>
      <c r="V21" s="23" t="str">
        <f aca="false">IF('TASKS AND ROAD SEGMENT MATRIX'!AI21-1&gt;0,'TASKS AND ROAD SEGMENT MATRIX'!AI21-1,"-")</f>
        <v>-</v>
      </c>
      <c r="W21" s="23" t="n">
        <f aca="false">IF('TASKS AND ROAD SEGMENT MATRIX'!AJ21-1&gt;0,'TASKS AND ROAD SEGMENT MATRIX'!AJ21-1,"-")</f>
        <v>0.452265314447438</v>
      </c>
      <c r="X21" s="23" t="str">
        <f aca="false">IF('TASKS AND ROAD SEGMENT MATRIX'!AK21-1&gt;0,'TASKS AND ROAD SEGMENT MATRIX'!AK21-1,"-")</f>
        <v>-</v>
      </c>
      <c r="Y21" s="23" t="str">
        <f aca="false">IF('TASKS AND ROAD SEGMENT MATRIX'!AL21-1&gt;0,'TASKS AND ROAD SEGMENT MATRIX'!AL21-1,"-")</f>
        <v>-</v>
      </c>
      <c r="Z21" s="23" t="str">
        <f aca="false">IF('TASKS AND ROAD SEGMENT MATRIX'!AM21-1&gt;0,'TASKS AND ROAD SEGMENT MATRIX'!AM21-1,"-")</f>
        <v>-</v>
      </c>
      <c r="AA21" s="23" t="str">
        <f aca="false">IF('TASKS AND ROAD SEGMENT MATRIX'!AN21-1&gt;0,'TASKS AND ROAD SEGMENT MATRIX'!AN21-1,"-")</f>
        <v>-</v>
      </c>
      <c r="AB21" s="23" t="str">
        <f aca="false">IF('TASKS AND ROAD SEGMENT MATRIX'!AO21-1&gt;0,'TASKS AND ROAD SEGMENT MATRIX'!AO21-1,"-")</f>
        <v>-</v>
      </c>
      <c r="AC21" s="23" t="str">
        <f aca="false">IF('TASKS AND ROAD SEGMENT MATRIX'!AP21-1&gt;0,'TASKS AND ROAD SEGMENT MATRIX'!AP21-1,"-")</f>
        <v>-</v>
      </c>
      <c r="AD21" s="23" t="str">
        <f aca="false">IF('TASKS AND ROAD SEGMENT MATRIX'!AQ21-1&gt;0,'TASKS AND ROAD SEGMENT MATRIX'!AQ21-1,"-")</f>
        <v>-</v>
      </c>
      <c r="AE21" s="23" t="str">
        <f aca="false">IF('TASKS AND ROAD SEGMENT MATRIX'!AR21-1&gt;0,'TASKS AND ROAD SEGMENT MATRIX'!AR21-1,"-")</f>
        <v>-</v>
      </c>
      <c r="AF21" s="23" t="n">
        <f aca="false">IF('TASKS AND ROAD SEGMENT MATRIX'!AS21-1&gt;0,'TASKS AND ROAD SEGMENT MATRIX'!AS21-1,"-")</f>
        <v>0.452265314447438</v>
      </c>
      <c r="AG21" s="23" t="str">
        <f aca="false">IF('TASKS AND ROAD SEGMENT MATRIX'!AT21-1&gt;0,'TASKS AND ROAD SEGMENT MATRIX'!AT21-1,"-")</f>
        <v>-</v>
      </c>
      <c r="AH21" s="23" t="str">
        <f aca="false">IF('TASKS AND ROAD SEGMENT MATRIX'!AU21-1&gt;0,'TASKS AND ROAD SEGMENT MATRIX'!AU21-1,"-")</f>
        <v>-</v>
      </c>
      <c r="AI21" s="23" t="str">
        <f aca="false">IF('TASKS AND ROAD SEGMENT MATRIX'!AV21-1&gt;0,'TASKS AND ROAD SEGMENT MATRIX'!AV21-1,"-")</f>
        <v>-</v>
      </c>
      <c r="AJ21" s="23" t="str">
        <f aca="false">IF('TASKS AND ROAD SEGMENT MATRIX'!AW21-1&gt;0,'TASKS AND ROAD SEGMENT MATRIX'!AW21-1,"-")</f>
        <v>-</v>
      </c>
      <c r="AK21" s="23" t="str">
        <f aca="false">IF('TASKS AND ROAD SEGMENT MATRIX'!AX21-1&gt;0,'TASKS AND ROAD SEGMENT MATRIX'!AX21-1,"-")</f>
        <v>-</v>
      </c>
      <c r="AL21" s="23" t="str">
        <f aca="false">IF('TASKS AND ROAD SEGMENT MATRIX'!AY21-1&gt;0,'TASKS AND ROAD SEGMENT MATRIX'!AY21-1,"-")</f>
        <v>-</v>
      </c>
      <c r="AM21" s="23" t="str">
        <f aca="false">IF('TASKS AND ROAD SEGMENT MATRIX'!AZ21-1&gt;0,'TASKS AND ROAD SEGMENT MATRIX'!AZ21-1,"-")</f>
        <v>-</v>
      </c>
      <c r="AN21" s="23" t="str">
        <f aca="false">IF('TASKS AND ROAD SEGMENT MATRIX'!BA21-1&gt;0,'TASKS AND ROAD SEGMENT MATRIX'!BA21-1,"-")</f>
        <v>-</v>
      </c>
      <c r="AO21" s="23" t="str">
        <f aca="false">IF('TASKS AND ROAD SEGMENT MATRIX'!BB21-1&gt;0,'TASKS AND ROAD SEGMENT MATRIX'!BB21-1,"-")</f>
        <v>-</v>
      </c>
      <c r="AP21" s="23" t="str">
        <f aca="false">IF('TASKS AND ROAD SEGMENT MATRIX'!BC21-1&gt;0,'TASKS AND ROAD SEGMENT MATRIX'!BC21-1,"-")</f>
        <v>-</v>
      </c>
      <c r="AQ21" s="23" t="str">
        <f aca="false">IF('TASKS AND ROAD SEGMENT MATRIX'!BD21-1&gt;0,'TASKS AND ROAD SEGMENT MATRIX'!BD21-1,"-")</f>
        <v>-</v>
      </c>
      <c r="AR21" s="23" t="n">
        <f aca="false">IF('TASKS AND ROAD SEGMENT MATRIX'!BE21-1&gt;0,'TASKS AND ROAD SEGMENT MATRIX'!BE21-1,"-")</f>
        <v>0.904530628894875</v>
      </c>
      <c r="AS21" s="23" t="n">
        <f aca="false">IF('TASKS AND ROAD SEGMENT MATRIX'!BF21-1&gt;0,'TASKS AND ROAD SEGMENT MATRIX'!BF21-1,"-")</f>
        <v>0.452265314447438</v>
      </c>
      <c r="AT21" s="23" t="str">
        <f aca="false">IF('TASKS AND ROAD SEGMENT MATRIX'!BG21-1&gt;0,'TASKS AND ROAD SEGMENT MATRIX'!BG21-1,"-")</f>
        <v>-</v>
      </c>
      <c r="AU21" s="23" t="n">
        <f aca="false">IF('TASKS AND ROAD SEGMENT MATRIX'!BH21-1&gt;0,'TASKS AND ROAD SEGMENT MATRIX'!BH21-1,"-")</f>
        <v>0.452265314447438</v>
      </c>
    </row>
    <row r="22" customFormat="false" ht="13.8" hidden="false" customHeight="false" outlineLevel="0" collapsed="false">
      <c r="A22" s="19" t="s">
        <v>67</v>
      </c>
      <c r="B22" s="0" t="s">
        <v>112</v>
      </c>
      <c r="C22" s="23" t="str">
        <f aca="false">IF('TASKS AND ROAD SEGMENT MATRIX'!P22-1&gt;0,'TASKS AND ROAD SEGMENT MATRIX'!P22-1,"-")</f>
        <v>-</v>
      </c>
      <c r="D22" s="23" t="str">
        <f aca="false">IF('TASKS AND ROAD SEGMENT MATRIX'!Q22-1&gt;0,'TASKS AND ROAD SEGMENT MATRIX'!Q22-1,"-")</f>
        <v>-</v>
      </c>
      <c r="E22" s="23" t="str">
        <f aca="false">IF('TASKS AND ROAD SEGMENT MATRIX'!R22-1&gt;0,'TASKS AND ROAD SEGMENT MATRIX'!R22-1,"-")</f>
        <v>-</v>
      </c>
      <c r="F22" s="23" t="str">
        <f aca="false">IF('TASKS AND ROAD SEGMENT MATRIX'!S22-1&gt;0,'TASKS AND ROAD SEGMENT MATRIX'!S22-1,"-")</f>
        <v>-</v>
      </c>
      <c r="G22" s="23" t="str">
        <f aca="false">IF('TASKS AND ROAD SEGMENT MATRIX'!T22-1&gt;0,'TASKS AND ROAD SEGMENT MATRIX'!T22-1,"-")</f>
        <v>-</v>
      </c>
      <c r="H22" s="23" t="str">
        <f aca="false">IF('TASKS AND ROAD SEGMENT MATRIX'!U22-1&gt;0,'TASKS AND ROAD SEGMENT MATRIX'!U22-1,"-")</f>
        <v>-</v>
      </c>
      <c r="I22" s="23" t="n">
        <f aca="false">IF('TASKS AND ROAD SEGMENT MATRIX'!V22-1&gt;0,'TASKS AND ROAD SEGMENT MATRIX'!V22-1,"-")</f>
        <v>0.32997384290268</v>
      </c>
      <c r="J22" s="23" t="n">
        <f aca="false">IF('TASKS AND ROAD SEGMENT MATRIX'!W22-1&gt;0,'TASKS AND ROAD SEGMENT MATRIX'!W22-1,"-")</f>
        <v>0.659947685805359</v>
      </c>
      <c r="K22" s="23" t="str">
        <f aca="false">IF('TASKS AND ROAD SEGMENT MATRIX'!X22-1&gt;0,'TASKS AND ROAD SEGMENT MATRIX'!X22-1,"-")</f>
        <v>-</v>
      </c>
      <c r="L22" s="23" t="n">
        <f aca="false">IF('TASKS AND ROAD SEGMENT MATRIX'!Y22-1&gt;0,'TASKS AND ROAD SEGMENT MATRIX'!Y22-1,"-")</f>
        <v>0.32997384290268</v>
      </c>
      <c r="M22" s="23" t="str">
        <f aca="false">IF('TASKS AND ROAD SEGMENT MATRIX'!Z22-1&gt;0,'TASKS AND ROAD SEGMENT MATRIX'!Z22-1,"-")</f>
        <v>-</v>
      </c>
      <c r="N22" s="23" t="str">
        <f aca="false">IF('TASKS AND ROAD SEGMENT MATRIX'!AA22-1&gt;0,'TASKS AND ROAD SEGMENT MATRIX'!AA22-1,"-")</f>
        <v>-</v>
      </c>
      <c r="O22" s="23" t="str">
        <f aca="false">IF('TASKS AND ROAD SEGMENT MATRIX'!AB22-1&gt;0,'TASKS AND ROAD SEGMENT MATRIX'!AB22-1,"-")</f>
        <v>-</v>
      </c>
      <c r="P22" s="23" t="str">
        <f aca="false">IF('TASKS AND ROAD SEGMENT MATRIX'!AC22-1&gt;0,'TASKS AND ROAD SEGMENT MATRIX'!AC22-1,"-")</f>
        <v>-</v>
      </c>
      <c r="Q22" s="23" t="str">
        <f aca="false">IF('TASKS AND ROAD SEGMENT MATRIX'!AD22-1&gt;0,'TASKS AND ROAD SEGMENT MATRIX'!AD22-1,"-")</f>
        <v>-</v>
      </c>
      <c r="R22" s="23" t="str">
        <f aca="false">IF('TASKS AND ROAD SEGMENT MATRIX'!AE22-1&gt;0,'TASKS AND ROAD SEGMENT MATRIX'!AE22-1,"-")</f>
        <v>-</v>
      </c>
      <c r="S22" s="23" t="str">
        <f aca="false">IF('TASKS AND ROAD SEGMENT MATRIX'!AF22-1&gt;0,'TASKS AND ROAD SEGMENT MATRIX'!AF22-1,"-")</f>
        <v>-</v>
      </c>
      <c r="T22" s="23" t="n">
        <f aca="false">IF('TASKS AND ROAD SEGMENT MATRIX'!AG22-1&gt;0,'TASKS AND ROAD SEGMENT MATRIX'!AG22-1,"-")</f>
        <v>0.659947685805359</v>
      </c>
      <c r="U22" s="23" t="n">
        <f aca="false">IF('TASKS AND ROAD SEGMENT MATRIX'!AH22-1&gt;0,'TASKS AND ROAD SEGMENT MATRIX'!AH22-1,"-")</f>
        <v>0.32997384290268</v>
      </c>
      <c r="V22" s="23" t="n">
        <f aca="false">IF('TASKS AND ROAD SEGMENT MATRIX'!AI22-1&gt;0,'TASKS AND ROAD SEGMENT MATRIX'!AI22-1,"-")</f>
        <v>0.659947685805359</v>
      </c>
      <c r="W22" s="23" t="n">
        <f aca="false">IF('TASKS AND ROAD SEGMENT MATRIX'!AJ22-1&gt;0,'TASKS AND ROAD SEGMENT MATRIX'!AJ22-1,"-")</f>
        <v>0.659947685805359</v>
      </c>
      <c r="X22" s="23" t="n">
        <f aca="false">IF('TASKS AND ROAD SEGMENT MATRIX'!AK22-1&gt;0,'TASKS AND ROAD SEGMENT MATRIX'!AK22-1,"-")</f>
        <v>0.32997384290268</v>
      </c>
      <c r="Y22" s="23" t="n">
        <f aca="false">IF('TASKS AND ROAD SEGMENT MATRIX'!AL22-1&gt;0,'TASKS AND ROAD SEGMENT MATRIX'!AL22-1,"-")</f>
        <v>0.32997384290268</v>
      </c>
      <c r="Z22" s="23" t="n">
        <f aca="false">IF('TASKS AND ROAD SEGMENT MATRIX'!AM22-1&gt;0,'TASKS AND ROAD SEGMENT MATRIX'!AM22-1,"-")</f>
        <v>0.32997384290268</v>
      </c>
      <c r="AA22" s="23" t="str">
        <f aca="false">IF('TASKS AND ROAD SEGMENT MATRIX'!AN22-1&gt;0,'TASKS AND ROAD SEGMENT MATRIX'!AN22-1,"-")</f>
        <v>-</v>
      </c>
      <c r="AB22" s="23" t="str">
        <f aca="false">IF('TASKS AND ROAD SEGMENT MATRIX'!AO22-1&gt;0,'TASKS AND ROAD SEGMENT MATRIX'!AO22-1,"-")</f>
        <v>-</v>
      </c>
      <c r="AC22" s="23" t="str">
        <f aca="false">IF('TASKS AND ROAD SEGMENT MATRIX'!AP22-1&gt;0,'TASKS AND ROAD SEGMENT MATRIX'!AP22-1,"-")</f>
        <v>-</v>
      </c>
      <c r="AD22" s="23" t="str">
        <f aca="false">IF('TASKS AND ROAD SEGMENT MATRIX'!AQ22-1&gt;0,'TASKS AND ROAD SEGMENT MATRIX'!AQ22-1,"-")</f>
        <v>-</v>
      </c>
      <c r="AE22" s="23" t="str">
        <f aca="false">IF('TASKS AND ROAD SEGMENT MATRIX'!AR22-1&gt;0,'TASKS AND ROAD SEGMENT MATRIX'!AR22-1,"-")</f>
        <v>-</v>
      </c>
      <c r="AF22" s="23" t="n">
        <f aca="false">IF('TASKS AND ROAD SEGMENT MATRIX'!AS22-1&gt;0,'TASKS AND ROAD SEGMENT MATRIX'!AS22-1,"-")</f>
        <v>0.32997384290268</v>
      </c>
      <c r="AG22" s="23" t="n">
        <f aca="false">IF('TASKS AND ROAD SEGMENT MATRIX'!AT22-1&gt;0,'TASKS AND ROAD SEGMENT MATRIX'!AT22-1,"-")</f>
        <v>0.32997384290268</v>
      </c>
      <c r="AH22" s="23" t="n">
        <f aca="false">IF('TASKS AND ROAD SEGMENT MATRIX'!AU22-1&gt;0,'TASKS AND ROAD SEGMENT MATRIX'!AU22-1,"-")</f>
        <v>0.32997384290268</v>
      </c>
      <c r="AI22" s="23" t="str">
        <f aca="false">IF('TASKS AND ROAD SEGMENT MATRIX'!AV22-1&gt;0,'TASKS AND ROAD SEGMENT MATRIX'!AV22-1,"-")</f>
        <v>-</v>
      </c>
      <c r="AJ22" s="23" t="str">
        <f aca="false">IF('TASKS AND ROAD SEGMENT MATRIX'!AW22-1&gt;0,'TASKS AND ROAD SEGMENT MATRIX'!AW22-1,"-")</f>
        <v>-</v>
      </c>
      <c r="AK22" s="23" t="str">
        <f aca="false">IF('TASKS AND ROAD SEGMENT MATRIX'!AX22-1&gt;0,'TASKS AND ROAD SEGMENT MATRIX'!AX22-1,"-")</f>
        <v>-</v>
      </c>
      <c r="AL22" s="23" t="str">
        <f aca="false">IF('TASKS AND ROAD SEGMENT MATRIX'!AY22-1&gt;0,'TASKS AND ROAD SEGMENT MATRIX'!AY22-1,"-")</f>
        <v>-</v>
      </c>
      <c r="AM22" s="23" t="str">
        <f aca="false">IF('TASKS AND ROAD SEGMENT MATRIX'!AZ22-1&gt;0,'TASKS AND ROAD SEGMENT MATRIX'!AZ22-1,"-")</f>
        <v>-</v>
      </c>
      <c r="AN22" s="23" t="str">
        <f aca="false">IF('TASKS AND ROAD SEGMENT MATRIX'!BA22-1&gt;0,'TASKS AND ROAD SEGMENT MATRIX'!BA22-1,"-")</f>
        <v>-</v>
      </c>
      <c r="AO22" s="23" t="str">
        <f aca="false">IF('TASKS AND ROAD SEGMENT MATRIX'!BB22-1&gt;0,'TASKS AND ROAD SEGMENT MATRIX'!BB22-1,"-")</f>
        <v>-</v>
      </c>
      <c r="AP22" s="23" t="str">
        <f aca="false">IF('TASKS AND ROAD SEGMENT MATRIX'!BC22-1&gt;0,'TASKS AND ROAD SEGMENT MATRIX'!BC22-1,"-")</f>
        <v>-</v>
      </c>
      <c r="AQ22" s="23" t="n">
        <f aca="false">IF('TASKS AND ROAD SEGMENT MATRIX'!BD22-1&gt;0,'TASKS AND ROAD SEGMENT MATRIX'!BD22-1,"-")</f>
        <v>0.32997384290268</v>
      </c>
      <c r="AR22" s="23" t="n">
        <f aca="false">IF('TASKS AND ROAD SEGMENT MATRIX'!BE22-1&gt;0,'TASKS AND ROAD SEGMENT MATRIX'!BE22-1,"-")</f>
        <v>0.32997384290268</v>
      </c>
      <c r="AS22" s="23" t="n">
        <f aca="false">IF('TASKS AND ROAD SEGMENT MATRIX'!BF22-1&gt;0,'TASKS AND ROAD SEGMENT MATRIX'!BF22-1,"-")</f>
        <v>0.32997384290268</v>
      </c>
      <c r="AT22" s="23" t="str">
        <f aca="false">IF('TASKS AND ROAD SEGMENT MATRIX'!BG22-1&gt;0,'TASKS AND ROAD SEGMENT MATRIX'!BG22-1,"-")</f>
        <v>-</v>
      </c>
      <c r="AU22" s="23" t="str">
        <f aca="false">IF('TASKS AND ROAD SEGMENT MATRIX'!BH22-1&gt;0,'TASKS AND ROAD SEGMENT MATRIX'!BH22-1,"-")</f>
        <v>-</v>
      </c>
    </row>
    <row r="23" customFormat="false" ht="13.8" hidden="false" customHeight="false" outlineLevel="0" collapsed="false">
      <c r="A23" s="19" t="s">
        <v>67</v>
      </c>
      <c r="B23" s="0" t="s">
        <v>115</v>
      </c>
      <c r="C23" s="23" t="str">
        <f aca="false">IF('TASKS AND ROAD SEGMENT MATRIX'!P23-1&gt;0,'TASKS AND ROAD SEGMENT MATRIX'!P23-1,"-")</f>
        <v>-</v>
      </c>
      <c r="D23" s="23" t="str">
        <f aca="false">IF('TASKS AND ROAD SEGMENT MATRIX'!Q23-1&gt;0,'TASKS AND ROAD SEGMENT MATRIX'!Q23-1,"-")</f>
        <v>-</v>
      </c>
      <c r="E23" s="23" t="str">
        <f aca="false">IF('TASKS AND ROAD SEGMENT MATRIX'!R23-1&gt;0,'TASKS AND ROAD SEGMENT MATRIX'!R23-1,"-")</f>
        <v>-</v>
      </c>
      <c r="F23" s="23" t="str">
        <f aca="false">IF('TASKS AND ROAD SEGMENT MATRIX'!S23-1&gt;0,'TASKS AND ROAD SEGMENT MATRIX'!S23-1,"-")</f>
        <v>-</v>
      </c>
      <c r="G23" s="23" t="str">
        <f aca="false">IF('TASKS AND ROAD SEGMENT MATRIX'!T23-1&gt;0,'TASKS AND ROAD SEGMENT MATRIX'!T23-1,"-")</f>
        <v>-</v>
      </c>
      <c r="H23" s="23" t="str">
        <f aca="false">IF('TASKS AND ROAD SEGMENT MATRIX'!U23-1&gt;0,'TASKS AND ROAD SEGMENT MATRIX'!U23-1,"-")</f>
        <v>-</v>
      </c>
      <c r="I23" s="23" t="n">
        <f aca="false">IF('TASKS AND ROAD SEGMENT MATRIX'!V23-1&gt;0,'TASKS AND ROAD SEGMENT MATRIX'!V23-1,"-")</f>
        <v>0.49496076435402</v>
      </c>
      <c r="J23" s="23" t="n">
        <f aca="false">IF('TASKS AND ROAD SEGMENT MATRIX'!W23-1&gt;0,'TASKS AND ROAD SEGMENT MATRIX'!W23-1,"-")</f>
        <v>0.989921528708039</v>
      </c>
      <c r="K23" s="23" t="str">
        <f aca="false">IF('TASKS AND ROAD SEGMENT MATRIX'!X23-1&gt;0,'TASKS AND ROAD SEGMENT MATRIX'!X23-1,"-")</f>
        <v>-</v>
      </c>
      <c r="L23" s="23" t="n">
        <f aca="false">IF('TASKS AND ROAD SEGMENT MATRIX'!Y23-1&gt;0,'TASKS AND ROAD SEGMENT MATRIX'!Y23-1,"-")</f>
        <v>0.49496076435402</v>
      </c>
      <c r="M23" s="23" t="str">
        <f aca="false">IF('TASKS AND ROAD SEGMENT MATRIX'!Z23-1&gt;0,'TASKS AND ROAD SEGMENT MATRIX'!Z23-1,"-")</f>
        <v>-</v>
      </c>
      <c r="N23" s="23" t="str">
        <f aca="false">IF('TASKS AND ROAD SEGMENT MATRIX'!AA23-1&gt;0,'TASKS AND ROAD SEGMENT MATRIX'!AA23-1,"-")</f>
        <v>-</v>
      </c>
      <c r="O23" s="23" t="str">
        <f aca="false">IF('TASKS AND ROAD SEGMENT MATRIX'!AB23-1&gt;0,'TASKS AND ROAD SEGMENT MATRIX'!AB23-1,"-")</f>
        <v>-</v>
      </c>
      <c r="P23" s="23" t="str">
        <f aca="false">IF('TASKS AND ROAD SEGMENT MATRIX'!AC23-1&gt;0,'TASKS AND ROAD SEGMENT MATRIX'!AC23-1,"-")</f>
        <v>-</v>
      </c>
      <c r="Q23" s="23" t="str">
        <f aca="false">IF('TASKS AND ROAD SEGMENT MATRIX'!AD23-1&gt;0,'TASKS AND ROAD SEGMENT MATRIX'!AD23-1,"-")</f>
        <v>-</v>
      </c>
      <c r="R23" s="23" t="str">
        <f aca="false">IF('TASKS AND ROAD SEGMENT MATRIX'!AE23-1&gt;0,'TASKS AND ROAD SEGMENT MATRIX'!AE23-1,"-")</f>
        <v>-</v>
      </c>
      <c r="S23" s="23" t="n">
        <f aca="false">IF('TASKS AND ROAD SEGMENT MATRIX'!AF23-1&gt;0,'TASKS AND ROAD SEGMENT MATRIX'!AF23-1,"-")</f>
        <v>0.989921528708039</v>
      </c>
      <c r="T23" s="23" t="n">
        <f aca="false">IF('TASKS AND ROAD SEGMENT MATRIX'!AG23-1&gt;0,'TASKS AND ROAD SEGMENT MATRIX'!AG23-1,"-")</f>
        <v>0.989921528708039</v>
      </c>
      <c r="U23" s="23" t="n">
        <f aca="false">IF('TASKS AND ROAD SEGMENT MATRIX'!AH23-1&gt;0,'TASKS AND ROAD SEGMENT MATRIX'!AH23-1,"-")</f>
        <v>0.49496076435402</v>
      </c>
      <c r="V23" s="23" t="n">
        <f aca="false">IF('TASKS AND ROAD SEGMENT MATRIX'!AI23-1&gt;0,'TASKS AND ROAD SEGMENT MATRIX'!AI23-1,"-")</f>
        <v>0.989921528708039</v>
      </c>
      <c r="W23" s="23" t="n">
        <f aca="false">IF('TASKS AND ROAD SEGMENT MATRIX'!AJ23-1&gt;0,'TASKS AND ROAD SEGMENT MATRIX'!AJ23-1,"-")</f>
        <v>0.989921528708039</v>
      </c>
      <c r="X23" s="23" t="n">
        <f aca="false">IF('TASKS AND ROAD SEGMENT MATRIX'!AK23-1&gt;0,'TASKS AND ROAD SEGMENT MATRIX'!AK23-1,"-")</f>
        <v>0.49496076435402</v>
      </c>
      <c r="Y23" s="23" t="n">
        <f aca="false">IF('TASKS AND ROAD SEGMENT MATRIX'!AL23-1&gt;0,'TASKS AND ROAD SEGMENT MATRIX'!AL23-1,"-")</f>
        <v>0.49496076435402</v>
      </c>
      <c r="Z23" s="23" t="n">
        <f aca="false">IF('TASKS AND ROAD SEGMENT MATRIX'!AM23-1&gt;0,'TASKS AND ROAD SEGMENT MATRIX'!AM23-1,"-")</f>
        <v>0.49496076435402</v>
      </c>
      <c r="AA23" s="23" t="str">
        <f aca="false">IF('TASKS AND ROAD SEGMENT MATRIX'!AN23-1&gt;0,'TASKS AND ROAD SEGMENT MATRIX'!AN23-1,"-")</f>
        <v>-</v>
      </c>
      <c r="AB23" s="23" t="str">
        <f aca="false">IF('TASKS AND ROAD SEGMENT MATRIX'!AO23-1&gt;0,'TASKS AND ROAD SEGMENT MATRIX'!AO23-1,"-")</f>
        <v>-</v>
      </c>
      <c r="AC23" s="23" t="str">
        <f aca="false">IF('TASKS AND ROAD SEGMENT MATRIX'!AP23-1&gt;0,'TASKS AND ROAD SEGMENT MATRIX'!AP23-1,"-")</f>
        <v>-</v>
      </c>
      <c r="AD23" s="23" t="str">
        <f aca="false">IF('TASKS AND ROAD SEGMENT MATRIX'!AQ23-1&gt;0,'TASKS AND ROAD SEGMENT MATRIX'!AQ23-1,"-")</f>
        <v>-</v>
      </c>
      <c r="AE23" s="23" t="str">
        <f aca="false">IF('TASKS AND ROAD SEGMENT MATRIX'!AR23-1&gt;0,'TASKS AND ROAD SEGMENT MATRIX'!AR23-1,"-")</f>
        <v>-</v>
      </c>
      <c r="AF23" s="23" t="n">
        <f aca="false">IF('TASKS AND ROAD SEGMENT MATRIX'!AS23-1&gt;0,'TASKS AND ROAD SEGMENT MATRIX'!AS23-1,"-")</f>
        <v>0.49496076435402</v>
      </c>
      <c r="AG23" s="23" t="n">
        <f aca="false">IF('TASKS AND ROAD SEGMENT MATRIX'!AT23-1&gt;0,'TASKS AND ROAD SEGMENT MATRIX'!AT23-1,"-")</f>
        <v>0.49496076435402</v>
      </c>
      <c r="AH23" s="23" t="n">
        <f aca="false">IF('TASKS AND ROAD SEGMENT MATRIX'!AU23-1&gt;0,'TASKS AND ROAD SEGMENT MATRIX'!AU23-1,"-")</f>
        <v>0.49496076435402</v>
      </c>
      <c r="AI23" s="23" t="str">
        <f aca="false">IF('TASKS AND ROAD SEGMENT MATRIX'!AV23-1&gt;0,'TASKS AND ROAD SEGMENT MATRIX'!AV23-1,"-")</f>
        <v>-</v>
      </c>
      <c r="AJ23" s="23" t="str">
        <f aca="false">IF('TASKS AND ROAD SEGMENT MATRIX'!AW23-1&gt;0,'TASKS AND ROAD SEGMENT MATRIX'!AW23-1,"-")</f>
        <v>-</v>
      </c>
      <c r="AK23" s="23" t="str">
        <f aca="false">IF('TASKS AND ROAD SEGMENT MATRIX'!AX23-1&gt;0,'TASKS AND ROAD SEGMENT MATRIX'!AX23-1,"-")</f>
        <v>-</v>
      </c>
      <c r="AL23" s="23" t="str">
        <f aca="false">IF('TASKS AND ROAD SEGMENT MATRIX'!AY23-1&gt;0,'TASKS AND ROAD SEGMENT MATRIX'!AY23-1,"-")</f>
        <v>-</v>
      </c>
      <c r="AM23" s="23" t="str">
        <f aca="false">IF('TASKS AND ROAD SEGMENT MATRIX'!AZ23-1&gt;0,'TASKS AND ROAD SEGMENT MATRIX'!AZ23-1,"-")</f>
        <v>-</v>
      </c>
      <c r="AN23" s="23" t="str">
        <f aca="false">IF('TASKS AND ROAD SEGMENT MATRIX'!BA23-1&gt;0,'TASKS AND ROAD SEGMENT MATRIX'!BA23-1,"-")</f>
        <v>-</v>
      </c>
      <c r="AO23" s="23" t="str">
        <f aca="false">IF('TASKS AND ROAD SEGMENT MATRIX'!BB23-1&gt;0,'TASKS AND ROAD SEGMENT MATRIX'!BB23-1,"-")</f>
        <v>-</v>
      </c>
      <c r="AP23" s="23" t="str">
        <f aca="false">IF('TASKS AND ROAD SEGMENT MATRIX'!BC23-1&gt;0,'TASKS AND ROAD SEGMENT MATRIX'!BC23-1,"-")</f>
        <v>-</v>
      </c>
      <c r="AQ23" s="23" t="n">
        <f aca="false">IF('TASKS AND ROAD SEGMENT MATRIX'!BD23-1&gt;0,'TASKS AND ROAD SEGMENT MATRIX'!BD23-1,"-")</f>
        <v>0.49496076435402</v>
      </c>
      <c r="AR23" s="23" t="n">
        <f aca="false">IF('TASKS AND ROAD SEGMENT MATRIX'!BE23-1&gt;0,'TASKS AND ROAD SEGMENT MATRIX'!BE23-1,"-")</f>
        <v>0.49496076435402</v>
      </c>
      <c r="AS23" s="23" t="n">
        <f aca="false">IF('TASKS AND ROAD SEGMENT MATRIX'!BF23-1&gt;0,'TASKS AND ROAD SEGMENT MATRIX'!BF23-1,"-")</f>
        <v>0.49496076435402</v>
      </c>
      <c r="AT23" s="23" t="str">
        <f aca="false">IF('TASKS AND ROAD SEGMENT MATRIX'!BG23-1&gt;0,'TASKS AND ROAD SEGMENT MATRIX'!BG23-1,"-")</f>
        <v>-</v>
      </c>
      <c r="AU23" s="23" t="str">
        <f aca="false">IF('TASKS AND ROAD SEGMENT MATRIX'!BH23-1&gt;0,'TASKS AND ROAD SEGMENT MATRIX'!BH23-1,"-")</f>
        <v>-</v>
      </c>
    </row>
    <row r="24" customFormat="false" ht="13.8" hidden="false" customHeight="false" outlineLevel="0" collapsed="false">
      <c r="A24" s="19" t="s">
        <v>67</v>
      </c>
      <c r="B24" s="0" t="s">
        <v>117</v>
      </c>
      <c r="C24" s="23" t="str">
        <f aca="false">IF('TASKS AND ROAD SEGMENT MATRIX'!P24-1&gt;0,'TASKS AND ROAD SEGMENT MATRIX'!P24-1,"-")</f>
        <v>-</v>
      </c>
      <c r="D24" s="23" t="str">
        <f aca="false">IF('TASKS AND ROAD SEGMENT MATRIX'!Q24-1&gt;0,'TASKS AND ROAD SEGMENT MATRIX'!Q24-1,"-")</f>
        <v>-</v>
      </c>
      <c r="E24" s="23" t="str">
        <f aca="false">IF('TASKS AND ROAD SEGMENT MATRIX'!R24-1&gt;0,'TASKS AND ROAD SEGMENT MATRIX'!R24-1,"-")</f>
        <v>-</v>
      </c>
      <c r="F24" s="23" t="str">
        <f aca="false">IF('TASKS AND ROAD SEGMENT MATRIX'!S24-1&gt;0,'TASKS AND ROAD SEGMENT MATRIX'!S24-1,"-")</f>
        <v>-</v>
      </c>
      <c r="G24" s="23" t="str">
        <f aca="false">IF('TASKS AND ROAD SEGMENT MATRIX'!T24-1&gt;0,'TASKS AND ROAD SEGMENT MATRIX'!T24-1,"-")</f>
        <v>-</v>
      </c>
      <c r="H24" s="23" t="str">
        <f aca="false">IF('TASKS AND ROAD SEGMENT MATRIX'!U24-1&gt;0,'TASKS AND ROAD SEGMENT MATRIX'!U24-1,"-")</f>
        <v>-</v>
      </c>
      <c r="I24" s="23" t="n">
        <f aca="false">IF('TASKS AND ROAD SEGMENT MATRIX'!V24-1&gt;0,'TASKS AND ROAD SEGMENT MATRIX'!V24-1,"-")</f>
        <v>0.41246730362835</v>
      </c>
      <c r="J24" s="23" t="n">
        <f aca="false">IF('TASKS AND ROAD SEGMENT MATRIX'!W24-1&gt;0,'TASKS AND ROAD SEGMENT MATRIX'!W24-1,"-")</f>
        <v>0.824934607256699</v>
      </c>
      <c r="K24" s="23" t="str">
        <f aca="false">IF('TASKS AND ROAD SEGMENT MATRIX'!X24-1&gt;0,'TASKS AND ROAD SEGMENT MATRIX'!X24-1,"-")</f>
        <v>-</v>
      </c>
      <c r="L24" s="23" t="n">
        <f aca="false">IF('TASKS AND ROAD SEGMENT MATRIX'!Y24-1&gt;0,'TASKS AND ROAD SEGMENT MATRIX'!Y24-1,"-")</f>
        <v>0.41246730362835</v>
      </c>
      <c r="M24" s="23" t="str">
        <f aca="false">IF('TASKS AND ROAD SEGMENT MATRIX'!Z24-1&gt;0,'TASKS AND ROAD SEGMENT MATRIX'!Z24-1,"-")</f>
        <v>-</v>
      </c>
      <c r="N24" s="23" t="str">
        <f aca="false">IF('TASKS AND ROAD SEGMENT MATRIX'!AA24-1&gt;0,'TASKS AND ROAD SEGMENT MATRIX'!AA24-1,"-")</f>
        <v>-</v>
      </c>
      <c r="O24" s="23" t="str">
        <f aca="false">IF('TASKS AND ROAD SEGMENT MATRIX'!AB24-1&gt;0,'TASKS AND ROAD SEGMENT MATRIX'!AB24-1,"-")</f>
        <v>-</v>
      </c>
      <c r="P24" s="23" t="str">
        <f aca="false">IF('TASKS AND ROAD SEGMENT MATRIX'!AC24-1&gt;0,'TASKS AND ROAD SEGMENT MATRIX'!AC24-1,"-")</f>
        <v>-</v>
      </c>
      <c r="Q24" s="23" t="str">
        <f aca="false">IF('TASKS AND ROAD SEGMENT MATRIX'!AD24-1&gt;0,'TASKS AND ROAD SEGMENT MATRIX'!AD24-1,"-")</f>
        <v>-</v>
      </c>
      <c r="R24" s="23" t="str">
        <f aca="false">IF('TASKS AND ROAD SEGMENT MATRIX'!AE24-1&gt;0,'TASKS AND ROAD SEGMENT MATRIX'!AE24-1,"-")</f>
        <v>-</v>
      </c>
      <c r="S24" s="23" t="n">
        <f aca="false">IF('TASKS AND ROAD SEGMENT MATRIX'!AF24-1&gt;0,'TASKS AND ROAD SEGMENT MATRIX'!AF24-1,"-")</f>
        <v>0.41246730362835</v>
      </c>
      <c r="T24" s="23" t="n">
        <f aca="false">IF('TASKS AND ROAD SEGMENT MATRIX'!AG24-1&gt;0,'TASKS AND ROAD SEGMENT MATRIX'!AG24-1,"-")</f>
        <v>0.824934607256699</v>
      </c>
      <c r="U24" s="23" t="n">
        <f aca="false">IF('TASKS AND ROAD SEGMENT MATRIX'!AH24-1&gt;0,'TASKS AND ROAD SEGMENT MATRIX'!AH24-1,"-")</f>
        <v>0.41246730362835</v>
      </c>
      <c r="V24" s="23" t="n">
        <f aca="false">IF('TASKS AND ROAD SEGMENT MATRIX'!AI24-1&gt;0,'TASKS AND ROAD SEGMENT MATRIX'!AI24-1,"-")</f>
        <v>0.824934607256699</v>
      </c>
      <c r="W24" s="23" t="n">
        <f aca="false">IF('TASKS AND ROAD SEGMENT MATRIX'!AJ24-1&gt;0,'TASKS AND ROAD SEGMENT MATRIX'!AJ24-1,"-")</f>
        <v>0.824934607256699</v>
      </c>
      <c r="X24" s="23" t="n">
        <f aca="false">IF('TASKS AND ROAD SEGMENT MATRIX'!AK24-1&gt;0,'TASKS AND ROAD SEGMENT MATRIX'!AK24-1,"-")</f>
        <v>0.41246730362835</v>
      </c>
      <c r="Y24" s="23" t="n">
        <f aca="false">IF('TASKS AND ROAD SEGMENT MATRIX'!AL24-1&gt;0,'TASKS AND ROAD SEGMENT MATRIX'!AL24-1,"-")</f>
        <v>0.41246730362835</v>
      </c>
      <c r="Z24" s="23" t="n">
        <f aca="false">IF('TASKS AND ROAD SEGMENT MATRIX'!AM24-1&gt;0,'TASKS AND ROAD SEGMENT MATRIX'!AM24-1,"-")</f>
        <v>0.41246730362835</v>
      </c>
      <c r="AA24" s="23" t="str">
        <f aca="false">IF('TASKS AND ROAD SEGMENT MATRIX'!AN24-1&gt;0,'TASKS AND ROAD SEGMENT MATRIX'!AN24-1,"-")</f>
        <v>-</v>
      </c>
      <c r="AB24" s="23" t="str">
        <f aca="false">IF('TASKS AND ROAD SEGMENT MATRIX'!AO24-1&gt;0,'TASKS AND ROAD SEGMENT MATRIX'!AO24-1,"-")</f>
        <v>-</v>
      </c>
      <c r="AC24" s="23" t="str">
        <f aca="false">IF('TASKS AND ROAD SEGMENT MATRIX'!AP24-1&gt;0,'TASKS AND ROAD SEGMENT MATRIX'!AP24-1,"-")</f>
        <v>-</v>
      </c>
      <c r="AD24" s="23" t="str">
        <f aca="false">IF('TASKS AND ROAD SEGMENT MATRIX'!AQ24-1&gt;0,'TASKS AND ROAD SEGMENT MATRIX'!AQ24-1,"-")</f>
        <v>-</v>
      </c>
      <c r="AE24" s="23" t="str">
        <f aca="false">IF('TASKS AND ROAD SEGMENT MATRIX'!AR24-1&gt;0,'TASKS AND ROAD SEGMENT MATRIX'!AR24-1,"-")</f>
        <v>-</v>
      </c>
      <c r="AF24" s="23" t="n">
        <f aca="false">IF('TASKS AND ROAD SEGMENT MATRIX'!AS24-1&gt;0,'TASKS AND ROAD SEGMENT MATRIX'!AS24-1,"-")</f>
        <v>0.41246730362835</v>
      </c>
      <c r="AG24" s="23" t="n">
        <f aca="false">IF('TASKS AND ROAD SEGMENT MATRIX'!AT24-1&gt;0,'TASKS AND ROAD SEGMENT MATRIX'!AT24-1,"-")</f>
        <v>0.41246730362835</v>
      </c>
      <c r="AH24" s="23" t="n">
        <f aca="false">IF('TASKS AND ROAD SEGMENT MATRIX'!AU24-1&gt;0,'TASKS AND ROAD SEGMENT MATRIX'!AU24-1,"-")</f>
        <v>0.41246730362835</v>
      </c>
      <c r="AI24" s="23" t="str">
        <f aca="false">IF('TASKS AND ROAD SEGMENT MATRIX'!AV24-1&gt;0,'TASKS AND ROAD SEGMENT MATRIX'!AV24-1,"-")</f>
        <v>-</v>
      </c>
      <c r="AJ24" s="23" t="str">
        <f aca="false">IF('TASKS AND ROAD SEGMENT MATRIX'!AW24-1&gt;0,'TASKS AND ROAD SEGMENT MATRIX'!AW24-1,"-")</f>
        <v>-</v>
      </c>
      <c r="AK24" s="23" t="str">
        <f aca="false">IF('TASKS AND ROAD SEGMENT MATRIX'!AX24-1&gt;0,'TASKS AND ROAD SEGMENT MATRIX'!AX24-1,"-")</f>
        <v>-</v>
      </c>
      <c r="AL24" s="23" t="str">
        <f aca="false">IF('TASKS AND ROAD SEGMENT MATRIX'!AY24-1&gt;0,'TASKS AND ROAD SEGMENT MATRIX'!AY24-1,"-")</f>
        <v>-</v>
      </c>
      <c r="AM24" s="23" t="str">
        <f aca="false">IF('TASKS AND ROAD SEGMENT MATRIX'!AZ24-1&gt;0,'TASKS AND ROAD SEGMENT MATRIX'!AZ24-1,"-")</f>
        <v>-</v>
      </c>
      <c r="AN24" s="23" t="str">
        <f aca="false">IF('TASKS AND ROAD SEGMENT MATRIX'!BA24-1&gt;0,'TASKS AND ROAD SEGMENT MATRIX'!BA24-1,"-")</f>
        <v>-</v>
      </c>
      <c r="AO24" s="23" t="str">
        <f aca="false">IF('TASKS AND ROAD SEGMENT MATRIX'!BB24-1&gt;0,'TASKS AND ROAD SEGMENT MATRIX'!BB24-1,"-")</f>
        <v>-</v>
      </c>
      <c r="AP24" s="23" t="str">
        <f aca="false">IF('TASKS AND ROAD SEGMENT MATRIX'!BC24-1&gt;0,'TASKS AND ROAD SEGMENT MATRIX'!BC24-1,"-")</f>
        <v>-</v>
      </c>
      <c r="AQ24" s="23" t="n">
        <f aca="false">IF('TASKS AND ROAD SEGMENT MATRIX'!BD24-1&gt;0,'TASKS AND ROAD SEGMENT MATRIX'!BD24-1,"-")</f>
        <v>0.41246730362835</v>
      </c>
      <c r="AR24" s="23" t="n">
        <f aca="false">IF('TASKS AND ROAD SEGMENT MATRIX'!BE24-1&gt;0,'TASKS AND ROAD SEGMENT MATRIX'!BE24-1,"-")</f>
        <v>0.41246730362835</v>
      </c>
      <c r="AS24" s="23" t="n">
        <f aca="false">IF('TASKS AND ROAD SEGMENT MATRIX'!BF24-1&gt;0,'TASKS AND ROAD SEGMENT MATRIX'!BF24-1,"-")</f>
        <v>0.41246730362835</v>
      </c>
      <c r="AT24" s="23" t="str">
        <f aca="false">IF('TASKS AND ROAD SEGMENT MATRIX'!BG24-1&gt;0,'TASKS AND ROAD SEGMENT MATRIX'!BG24-1,"-")</f>
        <v>-</v>
      </c>
      <c r="AU24" s="23" t="str">
        <f aca="false">IF('TASKS AND ROAD SEGMENT MATRIX'!BH24-1&gt;0,'TASKS AND ROAD SEGMENT MATRIX'!BH24-1,"-")</f>
        <v>-</v>
      </c>
    </row>
    <row r="25" customFormat="false" ht="13.8" hidden="false" customHeight="false" outlineLevel="0" collapsed="false">
      <c r="A25" s="19" t="s">
        <v>67</v>
      </c>
      <c r="B25" s="0" t="s">
        <v>119</v>
      </c>
      <c r="C25" s="23" t="str">
        <f aca="false">IF('TASKS AND ROAD SEGMENT MATRIX'!P25-1&gt;0,'TASKS AND ROAD SEGMENT MATRIX'!P25-1,"-")</f>
        <v>-</v>
      </c>
      <c r="D25" s="23" t="str">
        <f aca="false">IF('TASKS AND ROAD SEGMENT MATRIX'!Q25-1&gt;0,'TASKS AND ROAD SEGMENT MATRIX'!Q25-1,"-")</f>
        <v>-</v>
      </c>
      <c r="E25" s="23" t="str">
        <f aca="false">IF('TASKS AND ROAD SEGMENT MATRIX'!R25-1&gt;0,'TASKS AND ROAD SEGMENT MATRIX'!R25-1,"-")</f>
        <v>-</v>
      </c>
      <c r="F25" s="23" t="str">
        <f aca="false">IF('TASKS AND ROAD SEGMENT MATRIX'!S25-1&gt;0,'TASKS AND ROAD SEGMENT MATRIX'!S25-1,"-")</f>
        <v>-</v>
      </c>
      <c r="G25" s="23" t="str">
        <f aca="false">IF('TASKS AND ROAD SEGMENT MATRIX'!T25-1&gt;0,'TASKS AND ROAD SEGMENT MATRIX'!T25-1,"-")</f>
        <v>-</v>
      </c>
      <c r="H25" s="23" t="str">
        <f aca="false">IF('TASKS AND ROAD SEGMENT MATRIX'!U25-1&gt;0,'TASKS AND ROAD SEGMENT MATRIX'!U25-1,"-")</f>
        <v>-</v>
      </c>
      <c r="I25" s="23" t="n">
        <f aca="false">IF('TASKS AND ROAD SEGMENT MATRIX'!V25-1&gt;0,'TASKS AND ROAD SEGMENT MATRIX'!V25-1,"-")</f>
        <v>0.49496076435402</v>
      </c>
      <c r="J25" s="23" t="n">
        <f aca="false">IF('TASKS AND ROAD SEGMENT MATRIX'!W25-1&gt;0,'TASKS AND ROAD SEGMENT MATRIX'!W25-1,"-")</f>
        <v>0.989921528708039</v>
      </c>
      <c r="K25" s="23" t="str">
        <f aca="false">IF('TASKS AND ROAD SEGMENT MATRIX'!X25-1&gt;0,'TASKS AND ROAD SEGMENT MATRIX'!X25-1,"-")</f>
        <v>-</v>
      </c>
      <c r="L25" s="23" t="n">
        <f aca="false">IF('TASKS AND ROAD SEGMENT MATRIX'!Y25-1&gt;0,'TASKS AND ROAD SEGMENT MATRIX'!Y25-1,"-")</f>
        <v>0.49496076435402</v>
      </c>
      <c r="M25" s="23" t="str">
        <f aca="false">IF('TASKS AND ROAD SEGMENT MATRIX'!Z25-1&gt;0,'TASKS AND ROAD SEGMENT MATRIX'!Z25-1,"-")</f>
        <v>-</v>
      </c>
      <c r="N25" s="23" t="str">
        <f aca="false">IF('TASKS AND ROAD SEGMENT MATRIX'!AA25-1&gt;0,'TASKS AND ROAD SEGMENT MATRIX'!AA25-1,"-")</f>
        <v>-</v>
      </c>
      <c r="O25" s="23" t="str">
        <f aca="false">IF('TASKS AND ROAD SEGMENT MATRIX'!AB25-1&gt;0,'TASKS AND ROAD SEGMENT MATRIX'!AB25-1,"-")</f>
        <v>-</v>
      </c>
      <c r="P25" s="23" t="str">
        <f aca="false">IF('TASKS AND ROAD SEGMENT MATRIX'!AC25-1&gt;0,'TASKS AND ROAD SEGMENT MATRIX'!AC25-1,"-")</f>
        <v>-</v>
      </c>
      <c r="Q25" s="23" t="str">
        <f aca="false">IF('TASKS AND ROAD SEGMENT MATRIX'!AD25-1&gt;0,'TASKS AND ROAD SEGMENT MATRIX'!AD25-1,"-")</f>
        <v>-</v>
      </c>
      <c r="R25" s="23" t="str">
        <f aca="false">IF('TASKS AND ROAD SEGMENT MATRIX'!AE25-1&gt;0,'TASKS AND ROAD SEGMENT MATRIX'!AE25-1,"-")</f>
        <v>-</v>
      </c>
      <c r="S25" s="23" t="n">
        <f aca="false">IF('TASKS AND ROAD SEGMENT MATRIX'!AF25-1&gt;0,'TASKS AND ROAD SEGMENT MATRIX'!AF25-1,"-")</f>
        <v>0.989921528708039</v>
      </c>
      <c r="T25" s="23" t="n">
        <f aca="false">IF('TASKS AND ROAD SEGMENT MATRIX'!AG25-1&gt;0,'TASKS AND ROAD SEGMENT MATRIX'!AG25-1,"-")</f>
        <v>0.989921528708039</v>
      </c>
      <c r="U25" s="23" t="n">
        <f aca="false">IF('TASKS AND ROAD SEGMENT MATRIX'!AH25-1&gt;0,'TASKS AND ROAD SEGMENT MATRIX'!AH25-1,"-")</f>
        <v>0.49496076435402</v>
      </c>
      <c r="V25" s="23" t="n">
        <f aca="false">IF('TASKS AND ROAD SEGMENT MATRIX'!AI25-1&gt;0,'TASKS AND ROAD SEGMENT MATRIX'!AI25-1,"-")</f>
        <v>0.989921528708039</v>
      </c>
      <c r="W25" s="23" t="n">
        <f aca="false">IF('TASKS AND ROAD SEGMENT MATRIX'!AJ25-1&gt;0,'TASKS AND ROAD SEGMENT MATRIX'!AJ25-1,"-")</f>
        <v>0.989921528708039</v>
      </c>
      <c r="X25" s="23" t="n">
        <f aca="false">IF('TASKS AND ROAD SEGMENT MATRIX'!AK25-1&gt;0,'TASKS AND ROAD SEGMENT MATRIX'!AK25-1,"-")</f>
        <v>0.49496076435402</v>
      </c>
      <c r="Y25" s="23" t="n">
        <f aca="false">IF('TASKS AND ROAD SEGMENT MATRIX'!AL25-1&gt;0,'TASKS AND ROAD SEGMENT MATRIX'!AL25-1,"-")</f>
        <v>0.49496076435402</v>
      </c>
      <c r="Z25" s="23" t="n">
        <f aca="false">IF('TASKS AND ROAD SEGMENT MATRIX'!AM25-1&gt;0,'TASKS AND ROAD SEGMENT MATRIX'!AM25-1,"-")</f>
        <v>0.49496076435402</v>
      </c>
      <c r="AA25" s="23" t="str">
        <f aca="false">IF('TASKS AND ROAD SEGMENT MATRIX'!AN25-1&gt;0,'TASKS AND ROAD SEGMENT MATRIX'!AN25-1,"-")</f>
        <v>-</v>
      </c>
      <c r="AB25" s="23" t="str">
        <f aca="false">IF('TASKS AND ROAD SEGMENT MATRIX'!AO25-1&gt;0,'TASKS AND ROAD SEGMENT MATRIX'!AO25-1,"-")</f>
        <v>-</v>
      </c>
      <c r="AC25" s="23" t="str">
        <f aca="false">IF('TASKS AND ROAD SEGMENT MATRIX'!AP25-1&gt;0,'TASKS AND ROAD SEGMENT MATRIX'!AP25-1,"-")</f>
        <v>-</v>
      </c>
      <c r="AD25" s="23" t="str">
        <f aca="false">IF('TASKS AND ROAD SEGMENT MATRIX'!AQ25-1&gt;0,'TASKS AND ROAD SEGMENT MATRIX'!AQ25-1,"-")</f>
        <v>-</v>
      </c>
      <c r="AE25" s="23" t="str">
        <f aca="false">IF('TASKS AND ROAD SEGMENT MATRIX'!AR25-1&gt;0,'TASKS AND ROAD SEGMENT MATRIX'!AR25-1,"-")</f>
        <v>-</v>
      </c>
      <c r="AF25" s="23" t="n">
        <f aca="false">IF('TASKS AND ROAD SEGMENT MATRIX'!AS25-1&gt;0,'TASKS AND ROAD SEGMENT MATRIX'!AS25-1,"-")</f>
        <v>0.49496076435402</v>
      </c>
      <c r="AG25" s="23" t="n">
        <f aca="false">IF('TASKS AND ROAD SEGMENT MATRIX'!AT25-1&gt;0,'TASKS AND ROAD SEGMENT MATRIX'!AT25-1,"-")</f>
        <v>0.49496076435402</v>
      </c>
      <c r="AH25" s="23" t="n">
        <f aca="false">IF('TASKS AND ROAD SEGMENT MATRIX'!AU25-1&gt;0,'TASKS AND ROAD SEGMENT MATRIX'!AU25-1,"-")</f>
        <v>0.49496076435402</v>
      </c>
      <c r="AI25" s="23" t="str">
        <f aca="false">IF('TASKS AND ROAD SEGMENT MATRIX'!AV25-1&gt;0,'TASKS AND ROAD SEGMENT MATRIX'!AV25-1,"-")</f>
        <v>-</v>
      </c>
      <c r="AJ25" s="23" t="str">
        <f aca="false">IF('TASKS AND ROAD SEGMENT MATRIX'!AW25-1&gt;0,'TASKS AND ROAD SEGMENT MATRIX'!AW25-1,"-")</f>
        <v>-</v>
      </c>
      <c r="AK25" s="23" t="str">
        <f aca="false">IF('TASKS AND ROAD SEGMENT MATRIX'!AX25-1&gt;0,'TASKS AND ROAD SEGMENT MATRIX'!AX25-1,"-")</f>
        <v>-</v>
      </c>
      <c r="AL25" s="23" t="str">
        <f aca="false">IF('TASKS AND ROAD SEGMENT MATRIX'!AY25-1&gt;0,'TASKS AND ROAD SEGMENT MATRIX'!AY25-1,"-")</f>
        <v>-</v>
      </c>
      <c r="AM25" s="23" t="str">
        <f aca="false">IF('TASKS AND ROAD SEGMENT MATRIX'!AZ25-1&gt;0,'TASKS AND ROAD SEGMENT MATRIX'!AZ25-1,"-")</f>
        <v>-</v>
      </c>
      <c r="AN25" s="23" t="str">
        <f aca="false">IF('TASKS AND ROAD SEGMENT MATRIX'!BA25-1&gt;0,'TASKS AND ROAD SEGMENT MATRIX'!BA25-1,"-")</f>
        <v>-</v>
      </c>
      <c r="AO25" s="23" t="str">
        <f aca="false">IF('TASKS AND ROAD SEGMENT MATRIX'!BB25-1&gt;0,'TASKS AND ROAD SEGMENT MATRIX'!BB25-1,"-")</f>
        <v>-</v>
      </c>
      <c r="AP25" s="23" t="str">
        <f aca="false">IF('TASKS AND ROAD SEGMENT MATRIX'!BC25-1&gt;0,'TASKS AND ROAD SEGMENT MATRIX'!BC25-1,"-")</f>
        <v>-</v>
      </c>
      <c r="AQ25" s="23" t="n">
        <f aca="false">IF('TASKS AND ROAD SEGMENT MATRIX'!BD25-1&gt;0,'TASKS AND ROAD SEGMENT MATRIX'!BD25-1,"-")</f>
        <v>0.49496076435402</v>
      </c>
      <c r="AR25" s="23" t="n">
        <f aca="false">IF('TASKS AND ROAD SEGMENT MATRIX'!BE25-1&gt;0,'TASKS AND ROAD SEGMENT MATRIX'!BE25-1,"-")</f>
        <v>0.49496076435402</v>
      </c>
      <c r="AS25" s="23" t="n">
        <f aca="false">IF('TASKS AND ROAD SEGMENT MATRIX'!BF25-1&gt;0,'TASKS AND ROAD SEGMENT MATRIX'!BF25-1,"-")</f>
        <v>0.49496076435402</v>
      </c>
      <c r="AT25" s="23" t="str">
        <f aca="false">IF('TASKS AND ROAD SEGMENT MATRIX'!BG25-1&gt;0,'TASKS AND ROAD SEGMENT MATRIX'!BG25-1,"-")</f>
        <v>-</v>
      </c>
      <c r="AU25" s="23" t="str">
        <f aca="false">IF('TASKS AND ROAD SEGMENT MATRIX'!BH25-1&gt;0,'TASKS AND ROAD SEGMENT MATRIX'!BH25-1,"-")</f>
        <v>-</v>
      </c>
    </row>
    <row r="26" customFormat="false" ht="13.8" hidden="false" customHeight="false" outlineLevel="0" collapsed="false">
      <c r="A26" s="0" t="s">
        <v>68</v>
      </c>
      <c r="B26" s="0" t="s">
        <v>112</v>
      </c>
      <c r="C26" s="23" t="n">
        <f aca="false">IF('TASKS AND ROAD SEGMENT MATRIX'!P26-1&gt;0,'TASKS AND ROAD SEGMENT MATRIX'!P26-1,"-")</f>
        <v>0.314151907807443</v>
      </c>
      <c r="D26" s="23" t="n">
        <f aca="false">IF('TASKS AND ROAD SEGMENT MATRIX'!Q26-1&gt;0,'TASKS AND ROAD SEGMENT MATRIX'!Q26-1,"-")</f>
        <v>0.314151907807443</v>
      </c>
      <c r="E26" s="23" t="n">
        <f aca="false">IF('TASKS AND ROAD SEGMENT MATRIX'!R26-1&gt;0,'TASKS AND ROAD SEGMENT MATRIX'!R26-1,"-")</f>
        <v>0.314151907807443</v>
      </c>
      <c r="F26" s="23" t="str">
        <f aca="false">IF('TASKS AND ROAD SEGMENT MATRIX'!S26-1&gt;0,'TASKS AND ROAD SEGMENT MATRIX'!S26-1,"-")</f>
        <v>-</v>
      </c>
      <c r="G26" s="23" t="str">
        <f aca="false">IF('TASKS AND ROAD SEGMENT MATRIX'!T26-1&gt;0,'TASKS AND ROAD SEGMENT MATRIX'!T26-1,"-")</f>
        <v>-</v>
      </c>
      <c r="H26" s="23" t="str">
        <f aca="false">IF('TASKS AND ROAD SEGMENT MATRIX'!U26-1&gt;0,'TASKS AND ROAD SEGMENT MATRIX'!U26-1,"-")</f>
        <v>-</v>
      </c>
      <c r="I26" s="23" t="str">
        <f aca="false">IF('TASKS AND ROAD SEGMENT MATRIX'!V26-1&gt;0,'TASKS AND ROAD SEGMENT MATRIX'!V26-1,"-")</f>
        <v>-</v>
      </c>
      <c r="J26" s="23" t="n">
        <f aca="false">IF('TASKS AND ROAD SEGMENT MATRIX'!W26-1&gt;0,'TASKS AND ROAD SEGMENT MATRIX'!W26-1,"-")</f>
        <v>0.314151907807443</v>
      </c>
      <c r="K26" s="23" t="str">
        <f aca="false">IF('TASKS AND ROAD SEGMENT MATRIX'!X26-1&gt;0,'TASKS AND ROAD SEGMENT MATRIX'!X26-1,"-")</f>
        <v>-</v>
      </c>
      <c r="L26" s="23" t="n">
        <f aca="false">IF('TASKS AND ROAD SEGMENT MATRIX'!Y26-1&gt;0,'TASKS AND ROAD SEGMENT MATRIX'!Y26-1,"-")</f>
        <v>0.314151907807443</v>
      </c>
      <c r="M26" s="23" t="str">
        <f aca="false">IF('TASKS AND ROAD SEGMENT MATRIX'!Z26-1&gt;0,'TASKS AND ROAD SEGMENT MATRIX'!Z26-1,"-")</f>
        <v>-</v>
      </c>
      <c r="N26" s="23" t="n">
        <f aca="false">IF('TASKS AND ROAD SEGMENT MATRIX'!AA26-1&gt;0,'TASKS AND ROAD SEGMENT MATRIX'!AA26-1,"-")</f>
        <v>0.314151907807443</v>
      </c>
      <c r="O26" s="23" t="str">
        <f aca="false">IF('TASKS AND ROAD SEGMENT MATRIX'!AB26-1&gt;0,'TASKS AND ROAD SEGMENT MATRIX'!AB26-1,"-")</f>
        <v>-</v>
      </c>
      <c r="P26" s="23" t="str">
        <f aca="false">IF('TASKS AND ROAD SEGMENT MATRIX'!AC26-1&gt;0,'TASKS AND ROAD SEGMENT MATRIX'!AC26-1,"-")</f>
        <v>-</v>
      </c>
      <c r="Q26" s="23" t="str">
        <f aca="false">IF('TASKS AND ROAD SEGMENT MATRIX'!AD26-1&gt;0,'TASKS AND ROAD SEGMENT MATRIX'!AD26-1,"-")</f>
        <v>-</v>
      </c>
      <c r="R26" s="23" t="str">
        <f aca="false">IF('TASKS AND ROAD SEGMENT MATRIX'!AE26-1&gt;0,'TASKS AND ROAD SEGMENT MATRIX'!AE26-1,"-")</f>
        <v>-</v>
      </c>
      <c r="S26" s="23" t="n">
        <f aca="false">IF('TASKS AND ROAD SEGMENT MATRIX'!AF26-1&gt;0,'TASKS AND ROAD SEGMENT MATRIX'!AF26-1,"-")</f>
        <v>0.628303815614886</v>
      </c>
      <c r="T26" s="23" t="str">
        <f aca="false">IF('TASKS AND ROAD SEGMENT MATRIX'!AG26-1&gt;0,'TASKS AND ROAD SEGMENT MATRIX'!AG26-1,"-")</f>
        <v>-</v>
      </c>
      <c r="U26" s="23" t="n">
        <f aca="false">IF('TASKS AND ROAD SEGMENT MATRIX'!AH26-1&gt;0,'TASKS AND ROAD SEGMENT MATRIX'!AH26-1,"-")</f>
        <v>0.628303815614886</v>
      </c>
      <c r="V26" s="23" t="n">
        <f aca="false">IF('TASKS AND ROAD SEGMENT MATRIX'!AI26-1&gt;0,'TASKS AND ROAD SEGMENT MATRIX'!AI26-1,"-")</f>
        <v>0.628303815614886</v>
      </c>
      <c r="W26" s="23" t="n">
        <f aca="false">IF('TASKS AND ROAD SEGMENT MATRIX'!AJ26-1&gt;0,'TASKS AND ROAD SEGMENT MATRIX'!AJ26-1,"-")</f>
        <v>0.628303815614886</v>
      </c>
      <c r="X26" s="23" t="n">
        <f aca="false">IF('TASKS AND ROAD SEGMENT MATRIX'!AK26-1&gt;0,'TASKS AND ROAD SEGMENT MATRIX'!AK26-1,"-")</f>
        <v>0.314151907807443</v>
      </c>
      <c r="Y26" s="23" t="n">
        <f aca="false">IF('TASKS AND ROAD SEGMENT MATRIX'!AL26-1&gt;0,'TASKS AND ROAD SEGMENT MATRIX'!AL26-1,"-")</f>
        <v>0.628303815614886</v>
      </c>
      <c r="Z26" s="23" t="n">
        <f aca="false">IF('TASKS AND ROAD SEGMENT MATRIX'!AM26-1&gt;0,'TASKS AND ROAD SEGMENT MATRIX'!AM26-1,"-")</f>
        <v>0.628303815614886</v>
      </c>
      <c r="AA26" s="23" t="n">
        <f aca="false">IF('TASKS AND ROAD SEGMENT MATRIX'!AN26-1&gt;0,'TASKS AND ROAD SEGMENT MATRIX'!AN26-1,"-")</f>
        <v>0.314151907807443</v>
      </c>
      <c r="AB26" s="23" t="n">
        <f aca="false">IF('TASKS AND ROAD SEGMENT MATRIX'!AO26-1&gt;0,'TASKS AND ROAD SEGMENT MATRIX'!AO26-1,"-")</f>
        <v>0.314151907807443</v>
      </c>
      <c r="AC26" s="23" t="n">
        <f aca="false">IF('TASKS AND ROAD SEGMENT MATRIX'!AP26-1&gt;0,'TASKS AND ROAD SEGMENT MATRIX'!AP26-1,"-")</f>
        <v>0.314151907807443</v>
      </c>
      <c r="AD26" s="23" t="str">
        <f aca="false">IF('TASKS AND ROAD SEGMENT MATRIX'!AQ26-1&gt;0,'TASKS AND ROAD SEGMENT MATRIX'!AQ26-1,"-")</f>
        <v>-</v>
      </c>
      <c r="AE26" s="23" t="str">
        <f aca="false">IF('TASKS AND ROAD SEGMENT MATRIX'!AR26-1&gt;0,'TASKS AND ROAD SEGMENT MATRIX'!AR26-1,"-")</f>
        <v>-</v>
      </c>
      <c r="AF26" s="23" t="n">
        <f aca="false">IF('TASKS AND ROAD SEGMENT MATRIX'!AS26-1&gt;0,'TASKS AND ROAD SEGMENT MATRIX'!AS26-1,"-")</f>
        <v>0.314151907807443</v>
      </c>
      <c r="AG26" s="23" t="n">
        <f aca="false">IF('TASKS AND ROAD SEGMENT MATRIX'!AT26-1&gt;0,'TASKS AND ROAD SEGMENT MATRIX'!AT26-1,"-")</f>
        <v>0.314151907807443</v>
      </c>
      <c r="AH26" s="23" t="str">
        <f aca="false">IF('TASKS AND ROAD SEGMENT MATRIX'!AU26-1&gt;0,'TASKS AND ROAD SEGMENT MATRIX'!AU26-1,"-")</f>
        <v>-</v>
      </c>
      <c r="AI26" s="23" t="str">
        <f aca="false">IF('TASKS AND ROAD SEGMENT MATRIX'!AV26-1&gt;0,'TASKS AND ROAD SEGMENT MATRIX'!AV26-1,"-")</f>
        <v>-</v>
      </c>
      <c r="AJ26" s="23" t="str">
        <f aca="false">IF('TASKS AND ROAD SEGMENT MATRIX'!AW26-1&gt;0,'TASKS AND ROAD SEGMENT MATRIX'!AW26-1,"-")</f>
        <v>-</v>
      </c>
      <c r="AK26" s="23" t="str">
        <f aca="false">IF('TASKS AND ROAD SEGMENT MATRIX'!AX26-1&gt;0,'TASKS AND ROAD SEGMENT MATRIX'!AX26-1,"-")</f>
        <v>-</v>
      </c>
      <c r="AL26" s="23" t="str">
        <f aca="false">IF('TASKS AND ROAD SEGMENT MATRIX'!AY26-1&gt;0,'TASKS AND ROAD SEGMENT MATRIX'!AY26-1,"-")</f>
        <v>-</v>
      </c>
      <c r="AM26" s="23" t="str">
        <f aca="false">IF('TASKS AND ROAD SEGMENT MATRIX'!AZ26-1&gt;0,'TASKS AND ROAD SEGMENT MATRIX'!AZ26-1,"-")</f>
        <v>-</v>
      </c>
      <c r="AN26" s="23" t="str">
        <f aca="false">IF('TASKS AND ROAD SEGMENT MATRIX'!BA26-1&gt;0,'TASKS AND ROAD SEGMENT MATRIX'!BA26-1,"-")</f>
        <v>-</v>
      </c>
      <c r="AO26" s="23" t="str">
        <f aca="false">IF('TASKS AND ROAD SEGMENT MATRIX'!BB26-1&gt;0,'TASKS AND ROAD SEGMENT MATRIX'!BB26-1,"-")</f>
        <v>-</v>
      </c>
      <c r="AP26" s="23" t="str">
        <f aca="false">IF('TASKS AND ROAD SEGMENT MATRIX'!BC26-1&gt;0,'TASKS AND ROAD SEGMENT MATRIX'!BC26-1,"-")</f>
        <v>-</v>
      </c>
      <c r="AQ26" s="23" t="str">
        <f aca="false">IF('TASKS AND ROAD SEGMENT MATRIX'!BD26-1&gt;0,'TASKS AND ROAD SEGMENT MATRIX'!BD26-1,"-")</f>
        <v>-</v>
      </c>
      <c r="AR26" s="23" t="n">
        <f aca="false">IF('TASKS AND ROAD SEGMENT MATRIX'!BE26-1&gt;0,'TASKS AND ROAD SEGMENT MATRIX'!BE26-1,"-")</f>
        <v>0.314151907807443</v>
      </c>
      <c r="AS26" s="23" t="n">
        <f aca="false">IF('TASKS AND ROAD SEGMENT MATRIX'!BF26-1&gt;0,'TASKS AND ROAD SEGMENT MATRIX'!BF26-1,"-")</f>
        <v>0.628303815614886</v>
      </c>
      <c r="AT26" s="23" t="n">
        <f aca="false">IF('TASKS AND ROAD SEGMENT MATRIX'!BG26-1&gt;0,'TASKS AND ROAD SEGMENT MATRIX'!BG26-1,"-")</f>
        <v>0.314151907807443</v>
      </c>
      <c r="AU26" s="23" t="str">
        <f aca="false">IF('TASKS AND ROAD SEGMENT MATRIX'!BH26-1&gt;0,'TASKS AND ROAD SEGMENT MATRIX'!BH26-1,"-")</f>
        <v>-</v>
      </c>
    </row>
    <row r="27" customFormat="false" ht="13.8" hidden="false" customHeight="false" outlineLevel="0" collapsed="false">
      <c r="A27" s="0" t="s">
        <v>68</v>
      </c>
      <c r="B27" s="0" t="s">
        <v>115</v>
      </c>
      <c r="C27" s="23" t="n">
        <f aca="false">IF('TASKS AND ROAD SEGMENT MATRIX'!P27-1&gt;0,'TASKS AND ROAD SEGMENT MATRIX'!P27-1,"-")</f>
        <v>0.471227861711165</v>
      </c>
      <c r="D27" s="23" t="n">
        <f aca="false">IF('TASKS AND ROAD SEGMENT MATRIX'!Q27-1&gt;0,'TASKS AND ROAD SEGMENT MATRIX'!Q27-1,"-")</f>
        <v>0.471227861711165</v>
      </c>
      <c r="E27" s="23" t="n">
        <f aca="false">IF('TASKS AND ROAD SEGMENT MATRIX'!R27-1&gt;0,'TASKS AND ROAD SEGMENT MATRIX'!R27-1,"-")</f>
        <v>0.471227861711165</v>
      </c>
      <c r="F27" s="23" t="str">
        <f aca="false">IF('TASKS AND ROAD SEGMENT MATRIX'!S27-1&gt;0,'TASKS AND ROAD SEGMENT MATRIX'!S27-1,"-")</f>
        <v>-</v>
      </c>
      <c r="G27" s="23" t="str">
        <f aca="false">IF('TASKS AND ROAD SEGMENT MATRIX'!T27-1&gt;0,'TASKS AND ROAD SEGMENT MATRIX'!T27-1,"-")</f>
        <v>-</v>
      </c>
      <c r="H27" s="23" t="str">
        <f aca="false">IF('TASKS AND ROAD SEGMENT MATRIX'!U27-1&gt;0,'TASKS AND ROAD SEGMENT MATRIX'!U27-1,"-")</f>
        <v>-</v>
      </c>
      <c r="I27" s="23" t="str">
        <f aca="false">IF('TASKS AND ROAD SEGMENT MATRIX'!V27-1&gt;0,'TASKS AND ROAD SEGMENT MATRIX'!V27-1,"-")</f>
        <v>-</v>
      </c>
      <c r="J27" s="23" t="n">
        <f aca="false">IF('TASKS AND ROAD SEGMENT MATRIX'!W27-1&gt;0,'TASKS AND ROAD SEGMENT MATRIX'!W27-1,"-")</f>
        <v>0.471227861711165</v>
      </c>
      <c r="K27" s="23" t="str">
        <f aca="false">IF('TASKS AND ROAD SEGMENT MATRIX'!X27-1&gt;0,'TASKS AND ROAD SEGMENT MATRIX'!X27-1,"-")</f>
        <v>-</v>
      </c>
      <c r="L27" s="23" t="n">
        <f aca="false">IF('TASKS AND ROAD SEGMENT MATRIX'!Y27-1&gt;0,'TASKS AND ROAD SEGMENT MATRIX'!Y27-1,"-")</f>
        <v>0.471227861711165</v>
      </c>
      <c r="M27" s="23" t="str">
        <f aca="false">IF('TASKS AND ROAD SEGMENT MATRIX'!Z27-1&gt;0,'TASKS AND ROAD SEGMENT MATRIX'!Z27-1,"-")</f>
        <v>-</v>
      </c>
      <c r="N27" s="23" t="n">
        <f aca="false">IF('TASKS AND ROAD SEGMENT MATRIX'!AA27-1&gt;0,'TASKS AND ROAD SEGMENT MATRIX'!AA27-1,"-")</f>
        <v>0.471227861711165</v>
      </c>
      <c r="O27" s="23" t="str">
        <f aca="false">IF('TASKS AND ROAD SEGMENT MATRIX'!AB27-1&gt;0,'TASKS AND ROAD SEGMENT MATRIX'!AB27-1,"-")</f>
        <v>-</v>
      </c>
      <c r="P27" s="23" t="str">
        <f aca="false">IF('TASKS AND ROAD SEGMENT MATRIX'!AC27-1&gt;0,'TASKS AND ROAD SEGMENT MATRIX'!AC27-1,"-")</f>
        <v>-</v>
      </c>
      <c r="Q27" s="23" t="str">
        <f aca="false">IF('TASKS AND ROAD SEGMENT MATRIX'!AD27-1&gt;0,'TASKS AND ROAD SEGMENT MATRIX'!AD27-1,"-")</f>
        <v>-</v>
      </c>
      <c r="R27" s="23" t="str">
        <f aca="false">IF('TASKS AND ROAD SEGMENT MATRIX'!AE27-1&gt;0,'TASKS AND ROAD SEGMENT MATRIX'!AE27-1,"-")</f>
        <v>-</v>
      </c>
      <c r="S27" s="23" t="n">
        <f aca="false">IF('TASKS AND ROAD SEGMENT MATRIX'!AF27-1&gt;0,'TASKS AND ROAD SEGMENT MATRIX'!AF27-1,"-")</f>
        <v>0.942455723422329</v>
      </c>
      <c r="T27" s="23" t="n">
        <f aca="false">IF('TASKS AND ROAD SEGMENT MATRIX'!AG27-1&gt;0,'TASKS AND ROAD SEGMENT MATRIX'!AG27-1,"-")</f>
        <v>0.942455723422329</v>
      </c>
      <c r="U27" s="23" t="n">
        <f aca="false">IF('TASKS AND ROAD SEGMENT MATRIX'!AH27-1&gt;0,'TASKS AND ROAD SEGMENT MATRIX'!AH27-1,"-")</f>
        <v>0.942455723422329</v>
      </c>
      <c r="V27" s="23" t="n">
        <f aca="false">IF('TASKS AND ROAD SEGMENT MATRIX'!AI27-1&gt;0,'TASKS AND ROAD SEGMENT MATRIX'!AI27-1,"-")</f>
        <v>0.942455723422329</v>
      </c>
      <c r="W27" s="23" t="n">
        <f aca="false">IF('TASKS AND ROAD SEGMENT MATRIX'!AJ27-1&gt;0,'TASKS AND ROAD SEGMENT MATRIX'!AJ27-1,"-")</f>
        <v>0.942455723422329</v>
      </c>
      <c r="X27" s="23" t="n">
        <f aca="false">IF('TASKS AND ROAD SEGMENT MATRIX'!AK27-1&gt;0,'TASKS AND ROAD SEGMENT MATRIX'!AK27-1,"-")</f>
        <v>0.471227861711165</v>
      </c>
      <c r="Y27" s="23" t="n">
        <f aca="false">IF('TASKS AND ROAD SEGMENT MATRIX'!AL27-1&gt;0,'TASKS AND ROAD SEGMENT MATRIX'!AL27-1,"-")</f>
        <v>0.942455723422329</v>
      </c>
      <c r="Z27" s="23" t="n">
        <f aca="false">IF('TASKS AND ROAD SEGMENT MATRIX'!AM27-1&gt;0,'TASKS AND ROAD SEGMENT MATRIX'!AM27-1,"-")</f>
        <v>0.942455723422329</v>
      </c>
      <c r="AA27" s="23" t="n">
        <f aca="false">IF('TASKS AND ROAD SEGMENT MATRIX'!AN27-1&gt;0,'TASKS AND ROAD SEGMENT MATRIX'!AN27-1,"-")</f>
        <v>0.471227861711165</v>
      </c>
      <c r="AB27" s="23" t="n">
        <f aca="false">IF('TASKS AND ROAD SEGMENT MATRIX'!AO27-1&gt;0,'TASKS AND ROAD SEGMENT MATRIX'!AO27-1,"-")</f>
        <v>0.471227861711165</v>
      </c>
      <c r="AC27" s="23" t="n">
        <f aca="false">IF('TASKS AND ROAD SEGMENT MATRIX'!AP27-1&gt;0,'TASKS AND ROAD SEGMENT MATRIX'!AP27-1,"-")</f>
        <v>0.471227861711165</v>
      </c>
      <c r="AD27" s="23" t="str">
        <f aca="false">IF('TASKS AND ROAD SEGMENT MATRIX'!AQ27-1&gt;0,'TASKS AND ROAD SEGMENT MATRIX'!AQ27-1,"-")</f>
        <v>-</v>
      </c>
      <c r="AE27" s="23" t="str">
        <f aca="false">IF('TASKS AND ROAD SEGMENT MATRIX'!AR27-1&gt;0,'TASKS AND ROAD SEGMENT MATRIX'!AR27-1,"-")</f>
        <v>-</v>
      </c>
      <c r="AF27" s="23" t="n">
        <f aca="false">IF('TASKS AND ROAD SEGMENT MATRIX'!AS27-1&gt;0,'TASKS AND ROAD SEGMENT MATRIX'!AS27-1,"-")</f>
        <v>0.471227861711165</v>
      </c>
      <c r="AG27" s="23" t="n">
        <f aca="false">IF('TASKS AND ROAD SEGMENT MATRIX'!AT27-1&gt;0,'TASKS AND ROAD SEGMENT MATRIX'!AT27-1,"-")</f>
        <v>0.471227861711165</v>
      </c>
      <c r="AH27" s="23" t="str">
        <f aca="false">IF('TASKS AND ROAD SEGMENT MATRIX'!AU27-1&gt;0,'TASKS AND ROAD SEGMENT MATRIX'!AU27-1,"-")</f>
        <v>-</v>
      </c>
      <c r="AI27" s="23" t="str">
        <f aca="false">IF('TASKS AND ROAD SEGMENT MATRIX'!AV27-1&gt;0,'TASKS AND ROAD SEGMENT MATRIX'!AV27-1,"-")</f>
        <v>-</v>
      </c>
      <c r="AJ27" s="23" t="str">
        <f aca="false">IF('TASKS AND ROAD SEGMENT MATRIX'!AW27-1&gt;0,'TASKS AND ROAD SEGMENT MATRIX'!AW27-1,"-")</f>
        <v>-</v>
      </c>
      <c r="AK27" s="23" t="str">
        <f aca="false">IF('TASKS AND ROAD SEGMENT MATRIX'!AX27-1&gt;0,'TASKS AND ROAD SEGMENT MATRIX'!AX27-1,"-")</f>
        <v>-</v>
      </c>
      <c r="AL27" s="23" t="str">
        <f aca="false">IF('TASKS AND ROAD SEGMENT MATRIX'!AY27-1&gt;0,'TASKS AND ROAD SEGMENT MATRIX'!AY27-1,"-")</f>
        <v>-</v>
      </c>
      <c r="AM27" s="23" t="str">
        <f aca="false">IF('TASKS AND ROAD SEGMENT MATRIX'!AZ27-1&gt;0,'TASKS AND ROAD SEGMENT MATRIX'!AZ27-1,"-")</f>
        <v>-</v>
      </c>
      <c r="AN27" s="23" t="str">
        <f aca="false">IF('TASKS AND ROAD SEGMENT MATRIX'!BA27-1&gt;0,'TASKS AND ROAD SEGMENT MATRIX'!BA27-1,"-")</f>
        <v>-</v>
      </c>
      <c r="AO27" s="23" t="str">
        <f aca="false">IF('TASKS AND ROAD SEGMENT MATRIX'!BB27-1&gt;0,'TASKS AND ROAD SEGMENT MATRIX'!BB27-1,"-")</f>
        <v>-</v>
      </c>
      <c r="AP27" s="23" t="str">
        <f aca="false">IF('TASKS AND ROAD SEGMENT MATRIX'!BC27-1&gt;0,'TASKS AND ROAD SEGMENT MATRIX'!BC27-1,"-")</f>
        <v>-</v>
      </c>
      <c r="AQ27" s="23" t="str">
        <f aca="false">IF('TASKS AND ROAD SEGMENT MATRIX'!BD27-1&gt;0,'TASKS AND ROAD SEGMENT MATRIX'!BD27-1,"-")</f>
        <v>-</v>
      </c>
      <c r="AR27" s="23" t="n">
        <f aca="false">IF('TASKS AND ROAD SEGMENT MATRIX'!BE27-1&gt;0,'TASKS AND ROAD SEGMENT MATRIX'!BE27-1,"-")</f>
        <v>0.471227861711165</v>
      </c>
      <c r="AS27" s="23" t="n">
        <f aca="false">IF('TASKS AND ROAD SEGMENT MATRIX'!BF27-1&gt;0,'TASKS AND ROAD SEGMENT MATRIX'!BF27-1,"-")</f>
        <v>0.942455723422329</v>
      </c>
      <c r="AT27" s="23" t="n">
        <f aca="false">IF('TASKS AND ROAD SEGMENT MATRIX'!BG27-1&gt;0,'TASKS AND ROAD SEGMENT MATRIX'!BG27-1,"-")</f>
        <v>0.471227861711165</v>
      </c>
      <c r="AU27" s="23" t="str">
        <f aca="false">IF('TASKS AND ROAD SEGMENT MATRIX'!BH27-1&gt;0,'TASKS AND ROAD SEGMENT MATRIX'!BH27-1,"-")</f>
        <v>-</v>
      </c>
    </row>
    <row r="28" customFormat="false" ht="13.8" hidden="false" customHeight="false" outlineLevel="0" collapsed="false">
      <c r="A28" s="0" t="s">
        <v>68</v>
      </c>
      <c r="B28" s="0" t="s">
        <v>117</v>
      </c>
      <c r="C28" s="23" t="n">
        <f aca="false">IF('TASKS AND ROAD SEGMENT MATRIX'!P28-1&gt;0,'TASKS AND ROAD SEGMENT MATRIX'!P28-1,"-")</f>
        <v>0.392689884759304</v>
      </c>
      <c r="D28" s="23" t="n">
        <f aca="false">IF('TASKS AND ROAD SEGMENT MATRIX'!Q28-1&gt;0,'TASKS AND ROAD SEGMENT MATRIX'!Q28-1,"-")</f>
        <v>0.392689884759304</v>
      </c>
      <c r="E28" s="23" t="n">
        <f aca="false">IF('TASKS AND ROAD SEGMENT MATRIX'!R28-1&gt;0,'TASKS AND ROAD SEGMENT MATRIX'!R28-1,"-")</f>
        <v>0.392689884759304</v>
      </c>
      <c r="F28" s="23" t="str">
        <f aca="false">IF('TASKS AND ROAD SEGMENT MATRIX'!S28-1&gt;0,'TASKS AND ROAD SEGMENT MATRIX'!S28-1,"-")</f>
        <v>-</v>
      </c>
      <c r="G28" s="23" t="str">
        <f aca="false">IF('TASKS AND ROAD SEGMENT MATRIX'!T28-1&gt;0,'TASKS AND ROAD SEGMENT MATRIX'!T28-1,"-")</f>
        <v>-</v>
      </c>
      <c r="H28" s="23" t="str">
        <f aca="false">IF('TASKS AND ROAD SEGMENT MATRIX'!U28-1&gt;0,'TASKS AND ROAD SEGMENT MATRIX'!U28-1,"-")</f>
        <v>-</v>
      </c>
      <c r="I28" s="23" t="str">
        <f aca="false">IF('TASKS AND ROAD SEGMENT MATRIX'!V28-1&gt;0,'TASKS AND ROAD SEGMENT MATRIX'!V28-1,"-")</f>
        <v>-</v>
      </c>
      <c r="J28" s="23" t="n">
        <f aca="false">IF('TASKS AND ROAD SEGMENT MATRIX'!W28-1&gt;0,'TASKS AND ROAD SEGMENT MATRIX'!W28-1,"-")</f>
        <v>0.392689884759304</v>
      </c>
      <c r="K28" s="23" t="str">
        <f aca="false">IF('TASKS AND ROAD SEGMENT MATRIX'!X28-1&gt;0,'TASKS AND ROAD SEGMENT MATRIX'!X28-1,"-")</f>
        <v>-</v>
      </c>
      <c r="L28" s="23" t="n">
        <f aca="false">IF('TASKS AND ROAD SEGMENT MATRIX'!Y28-1&gt;0,'TASKS AND ROAD SEGMENT MATRIX'!Y28-1,"-")</f>
        <v>0.392689884759304</v>
      </c>
      <c r="M28" s="23" t="str">
        <f aca="false">IF('TASKS AND ROAD SEGMENT MATRIX'!Z28-1&gt;0,'TASKS AND ROAD SEGMENT MATRIX'!Z28-1,"-")</f>
        <v>-</v>
      </c>
      <c r="N28" s="23" t="n">
        <f aca="false">IF('TASKS AND ROAD SEGMENT MATRIX'!AA28-1&gt;0,'TASKS AND ROAD SEGMENT MATRIX'!AA28-1,"-")</f>
        <v>0.392689884759304</v>
      </c>
      <c r="O28" s="23" t="str">
        <f aca="false">IF('TASKS AND ROAD SEGMENT MATRIX'!AB28-1&gt;0,'TASKS AND ROAD SEGMENT MATRIX'!AB28-1,"-")</f>
        <v>-</v>
      </c>
      <c r="P28" s="23" t="str">
        <f aca="false">IF('TASKS AND ROAD SEGMENT MATRIX'!AC28-1&gt;0,'TASKS AND ROAD SEGMENT MATRIX'!AC28-1,"-")</f>
        <v>-</v>
      </c>
      <c r="Q28" s="23" t="str">
        <f aca="false">IF('TASKS AND ROAD SEGMENT MATRIX'!AD28-1&gt;0,'TASKS AND ROAD SEGMENT MATRIX'!AD28-1,"-")</f>
        <v>-</v>
      </c>
      <c r="R28" s="23" t="str">
        <f aca="false">IF('TASKS AND ROAD SEGMENT MATRIX'!AE28-1&gt;0,'TASKS AND ROAD SEGMENT MATRIX'!AE28-1,"-")</f>
        <v>-</v>
      </c>
      <c r="S28" s="23" t="n">
        <f aca="false">IF('TASKS AND ROAD SEGMENT MATRIX'!AF28-1&gt;0,'TASKS AND ROAD SEGMENT MATRIX'!AF28-1,"-")</f>
        <v>0.785379769518607</v>
      </c>
      <c r="T28" s="23" t="n">
        <f aca="false">IF('TASKS AND ROAD SEGMENT MATRIX'!AG28-1&gt;0,'TASKS AND ROAD SEGMENT MATRIX'!AG28-1,"-")</f>
        <v>0.392689884759304</v>
      </c>
      <c r="U28" s="23" t="n">
        <f aca="false">IF('TASKS AND ROAD SEGMENT MATRIX'!AH28-1&gt;0,'TASKS AND ROAD SEGMENT MATRIX'!AH28-1,"-")</f>
        <v>0.785379769518607</v>
      </c>
      <c r="V28" s="23" t="n">
        <f aca="false">IF('TASKS AND ROAD SEGMENT MATRIX'!AI28-1&gt;0,'TASKS AND ROAD SEGMENT MATRIX'!AI28-1,"-")</f>
        <v>0.785379769518607</v>
      </c>
      <c r="W28" s="23" t="n">
        <f aca="false">IF('TASKS AND ROAD SEGMENT MATRIX'!AJ28-1&gt;0,'TASKS AND ROAD SEGMENT MATRIX'!AJ28-1,"-")</f>
        <v>0.785379769518607</v>
      </c>
      <c r="X28" s="23" t="n">
        <f aca="false">IF('TASKS AND ROAD SEGMENT MATRIX'!AK28-1&gt;0,'TASKS AND ROAD SEGMENT MATRIX'!AK28-1,"-")</f>
        <v>0.392689884759304</v>
      </c>
      <c r="Y28" s="23" t="n">
        <f aca="false">IF('TASKS AND ROAD SEGMENT MATRIX'!AL28-1&gt;0,'TASKS AND ROAD SEGMENT MATRIX'!AL28-1,"-")</f>
        <v>0.785379769518607</v>
      </c>
      <c r="Z28" s="23" t="n">
        <f aca="false">IF('TASKS AND ROAD SEGMENT MATRIX'!AM28-1&gt;0,'TASKS AND ROAD SEGMENT MATRIX'!AM28-1,"-")</f>
        <v>0.785379769518607</v>
      </c>
      <c r="AA28" s="23" t="n">
        <f aca="false">IF('TASKS AND ROAD SEGMENT MATRIX'!AN28-1&gt;0,'TASKS AND ROAD SEGMENT MATRIX'!AN28-1,"-")</f>
        <v>0.392689884759304</v>
      </c>
      <c r="AB28" s="23" t="n">
        <f aca="false">IF('TASKS AND ROAD SEGMENT MATRIX'!AO28-1&gt;0,'TASKS AND ROAD SEGMENT MATRIX'!AO28-1,"-")</f>
        <v>0.392689884759304</v>
      </c>
      <c r="AC28" s="23" t="n">
        <f aca="false">IF('TASKS AND ROAD SEGMENT MATRIX'!AP28-1&gt;0,'TASKS AND ROAD SEGMENT MATRIX'!AP28-1,"-")</f>
        <v>0.392689884759304</v>
      </c>
      <c r="AD28" s="23" t="str">
        <f aca="false">IF('TASKS AND ROAD SEGMENT MATRIX'!AQ28-1&gt;0,'TASKS AND ROAD SEGMENT MATRIX'!AQ28-1,"-")</f>
        <v>-</v>
      </c>
      <c r="AE28" s="23" t="str">
        <f aca="false">IF('TASKS AND ROAD SEGMENT MATRIX'!AR28-1&gt;0,'TASKS AND ROAD SEGMENT MATRIX'!AR28-1,"-")</f>
        <v>-</v>
      </c>
      <c r="AF28" s="23" t="n">
        <f aca="false">IF('TASKS AND ROAD SEGMENT MATRIX'!AS28-1&gt;0,'TASKS AND ROAD SEGMENT MATRIX'!AS28-1,"-")</f>
        <v>0.392689884759304</v>
      </c>
      <c r="AG28" s="23" t="n">
        <f aca="false">IF('TASKS AND ROAD SEGMENT MATRIX'!AT28-1&gt;0,'TASKS AND ROAD SEGMENT MATRIX'!AT28-1,"-")</f>
        <v>0.392689884759304</v>
      </c>
      <c r="AH28" s="23" t="str">
        <f aca="false">IF('TASKS AND ROAD SEGMENT MATRIX'!AU28-1&gt;0,'TASKS AND ROAD SEGMENT MATRIX'!AU28-1,"-")</f>
        <v>-</v>
      </c>
      <c r="AI28" s="23" t="str">
        <f aca="false">IF('TASKS AND ROAD SEGMENT MATRIX'!AV28-1&gt;0,'TASKS AND ROAD SEGMENT MATRIX'!AV28-1,"-")</f>
        <v>-</v>
      </c>
      <c r="AJ28" s="23" t="str">
        <f aca="false">IF('TASKS AND ROAD SEGMENT MATRIX'!AW28-1&gt;0,'TASKS AND ROAD SEGMENT MATRIX'!AW28-1,"-")</f>
        <v>-</v>
      </c>
      <c r="AK28" s="23" t="str">
        <f aca="false">IF('TASKS AND ROAD SEGMENT MATRIX'!AX28-1&gt;0,'TASKS AND ROAD SEGMENT MATRIX'!AX28-1,"-")</f>
        <v>-</v>
      </c>
      <c r="AL28" s="23" t="str">
        <f aca="false">IF('TASKS AND ROAD SEGMENT MATRIX'!AY28-1&gt;0,'TASKS AND ROAD SEGMENT MATRIX'!AY28-1,"-")</f>
        <v>-</v>
      </c>
      <c r="AM28" s="23" t="str">
        <f aca="false">IF('TASKS AND ROAD SEGMENT MATRIX'!AZ28-1&gt;0,'TASKS AND ROAD SEGMENT MATRIX'!AZ28-1,"-")</f>
        <v>-</v>
      </c>
      <c r="AN28" s="23" t="str">
        <f aca="false">IF('TASKS AND ROAD SEGMENT MATRIX'!BA28-1&gt;0,'TASKS AND ROAD SEGMENT MATRIX'!BA28-1,"-")</f>
        <v>-</v>
      </c>
      <c r="AO28" s="23" t="str">
        <f aca="false">IF('TASKS AND ROAD SEGMENT MATRIX'!BB28-1&gt;0,'TASKS AND ROAD SEGMENT MATRIX'!BB28-1,"-")</f>
        <v>-</v>
      </c>
      <c r="AP28" s="23" t="str">
        <f aca="false">IF('TASKS AND ROAD SEGMENT MATRIX'!BC28-1&gt;0,'TASKS AND ROAD SEGMENT MATRIX'!BC28-1,"-")</f>
        <v>-</v>
      </c>
      <c r="AQ28" s="23" t="str">
        <f aca="false">IF('TASKS AND ROAD SEGMENT MATRIX'!BD28-1&gt;0,'TASKS AND ROAD SEGMENT MATRIX'!BD28-1,"-")</f>
        <v>-</v>
      </c>
      <c r="AR28" s="23" t="n">
        <f aca="false">IF('TASKS AND ROAD SEGMENT MATRIX'!BE28-1&gt;0,'TASKS AND ROAD SEGMENT MATRIX'!BE28-1,"-")</f>
        <v>0.392689884759304</v>
      </c>
      <c r="AS28" s="23" t="n">
        <f aca="false">IF('TASKS AND ROAD SEGMENT MATRIX'!BF28-1&gt;0,'TASKS AND ROAD SEGMENT MATRIX'!BF28-1,"-")</f>
        <v>0.785379769518607</v>
      </c>
      <c r="AT28" s="23" t="n">
        <f aca="false">IF('TASKS AND ROAD SEGMENT MATRIX'!BG28-1&gt;0,'TASKS AND ROAD SEGMENT MATRIX'!BG28-1,"-")</f>
        <v>0.392689884759304</v>
      </c>
      <c r="AU28" s="23" t="str">
        <f aca="false">IF('TASKS AND ROAD SEGMENT MATRIX'!BH28-1&gt;0,'TASKS AND ROAD SEGMENT MATRIX'!BH28-1,"-")</f>
        <v>-</v>
      </c>
    </row>
    <row r="29" customFormat="false" ht="13.8" hidden="false" customHeight="false" outlineLevel="0" collapsed="false">
      <c r="A29" s="0" t="s">
        <v>68</v>
      </c>
      <c r="B29" s="0" t="s">
        <v>119</v>
      </c>
      <c r="C29" s="23" t="n">
        <f aca="false">IF('TASKS AND ROAD SEGMENT MATRIX'!P29-1&gt;0,'TASKS AND ROAD SEGMENT MATRIX'!P29-1,"-")</f>
        <v>0.471227861711165</v>
      </c>
      <c r="D29" s="23" t="n">
        <f aca="false">IF('TASKS AND ROAD SEGMENT MATRIX'!Q29-1&gt;0,'TASKS AND ROAD SEGMENT MATRIX'!Q29-1,"-")</f>
        <v>0.471227861711165</v>
      </c>
      <c r="E29" s="23" t="n">
        <f aca="false">IF('TASKS AND ROAD SEGMENT MATRIX'!R29-1&gt;0,'TASKS AND ROAD SEGMENT MATRIX'!R29-1,"-")</f>
        <v>0.471227861711165</v>
      </c>
      <c r="F29" s="23" t="str">
        <f aca="false">IF('TASKS AND ROAD SEGMENT MATRIX'!S29-1&gt;0,'TASKS AND ROAD SEGMENT MATRIX'!S29-1,"-")</f>
        <v>-</v>
      </c>
      <c r="G29" s="23" t="str">
        <f aca="false">IF('TASKS AND ROAD SEGMENT MATRIX'!T29-1&gt;0,'TASKS AND ROAD SEGMENT MATRIX'!T29-1,"-")</f>
        <v>-</v>
      </c>
      <c r="H29" s="23" t="str">
        <f aca="false">IF('TASKS AND ROAD SEGMENT MATRIX'!U29-1&gt;0,'TASKS AND ROAD SEGMENT MATRIX'!U29-1,"-")</f>
        <v>-</v>
      </c>
      <c r="I29" s="23" t="str">
        <f aca="false">IF('TASKS AND ROAD SEGMENT MATRIX'!V29-1&gt;0,'TASKS AND ROAD SEGMENT MATRIX'!V29-1,"-")</f>
        <v>-</v>
      </c>
      <c r="J29" s="23" t="n">
        <f aca="false">IF('TASKS AND ROAD SEGMENT MATRIX'!W29-1&gt;0,'TASKS AND ROAD SEGMENT MATRIX'!W29-1,"-")</f>
        <v>0.471227861711165</v>
      </c>
      <c r="K29" s="23" t="str">
        <f aca="false">IF('TASKS AND ROAD SEGMENT MATRIX'!X29-1&gt;0,'TASKS AND ROAD SEGMENT MATRIX'!X29-1,"-")</f>
        <v>-</v>
      </c>
      <c r="L29" s="23" t="n">
        <f aca="false">IF('TASKS AND ROAD SEGMENT MATRIX'!Y29-1&gt;0,'TASKS AND ROAD SEGMENT MATRIX'!Y29-1,"-")</f>
        <v>0.471227861711165</v>
      </c>
      <c r="M29" s="23" t="str">
        <f aca="false">IF('TASKS AND ROAD SEGMENT MATRIX'!Z29-1&gt;0,'TASKS AND ROAD SEGMENT MATRIX'!Z29-1,"-")</f>
        <v>-</v>
      </c>
      <c r="N29" s="23" t="n">
        <f aca="false">IF('TASKS AND ROAD SEGMENT MATRIX'!AA29-1&gt;0,'TASKS AND ROAD SEGMENT MATRIX'!AA29-1,"-")</f>
        <v>0.471227861711165</v>
      </c>
      <c r="O29" s="23" t="str">
        <f aca="false">IF('TASKS AND ROAD SEGMENT MATRIX'!AB29-1&gt;0,'TASKS AND ROAD SEGMENT MATRIX'!AB29-1,"-")</f>
        <v>-</v>
      </c>
      <c r="P29" s="23" t="str">
        <f aca="false">IF('TASKS AND ROAD SEGMENT MATRIX'!AC29-1&gt;0,'TASKS AND ROAD SEGMENT MATRIX'!AC29-1,"-")</f>
        <v>-</v>
      </c>
      <c r="Q29" s="23" t="str">
        <f aca="false">IF('TASKS AND ROAD SEGMENT MATRIX'!AD29-1&gt;0,'TASKS AND ROAD SEGMENT MATRIX'!AD29-1,"-")</f>
        <v>-</v>
      </c>
      <c r="R29" s="23" t="str">
        <f aca="false">IF('TASKS AND ROAD SEGMENT MATRIX'!AE29-1&gt;0,'TASKS AND ROAD SEGMENT MATRIX'!AE29-1,"-")</f>
        <v>-</v>
      </c>
      <c r="S29" s="23" t="n">
        <f aca="false">IF('TASKS AND ROAD SEGMENT MATRIX'!AF29-1&gt;0,'TASKS AND ROAD SEGMENT MATRIX'!AF29-1,"-")</f>
        <v>0.942455723422329</v>
      </c>
      <c r="T29" s="23" t="n">
        <f aca="false">IF('TASKS AND ROAD SEGMENT MATRIX'!AG29-1&gt;0,'TASKS AND ROAD SEGMENT MATRIX'!AG29-1,"-")</f>
        <v>0.942455723422329</v>
      </c>
      <c r="U29" s="23" t="n">
        <f aca="false">IF('TASKS AND ROAD SEGMENT MATRIX'!AH29-1&gt;0,'TASKS AND ROAD SEGMENT MATRIX'!AH29-1,"-")</f>
        <v>0.942455723422329</v>
      </c>
      <c r="V29" s="23" t="n">
        <f aca="false">IF('TASKS AND ROAD SEGMENT MATRIX'!AI29-1&gt;0,'TASKS AND ROAD SEGMENT MATRIX'!AI29-1,"-")</f>
        <v>0.942455723422329</v>
      </c>
      <c r="W29" s="23" t="n">
        <f aca="false">IF('TASKS AND ROAD SEGMENT MATRIX'!AJ29-1&gt;0,'TASKS AND ROAD SEGMENT MATRIX'!AJ29-1,"-")</f>
        <v>0.942455723422329</v>
      </c>
      <c r="X29" s="23" t="n">
        <f aca="false">IF('TASKS AND ROAD SEGMENT MATRIX'!AK29-1&gt;0,'TASKS AND ROAD SEGMENT MATRIX'!AK29-1,"-")</f>
        <v>0.471227861711165</v>
      </c>
      <c r="Y29" s="23" t="n">
        <f aca="false">IF('TASKS AND ROAD SEGMENT MATRIX'!AL29-1&gt;0,'TASKS AND ROAD SEGMENT MATRIX'!AL29-1,"-")</f>
        <v>0.942455723422329</v>
      </c>
      <c r="Z29" s="23" t="n">
        <f aca="false">IF('TASKS AND ROAD SEGMENT MATRIX'!AM29-1&gt;0,'TASKS AND ROAD SEGMENT MATRIX'!AM29-1,"-")</f>
        <v>0.942455723422329</v>
      </c>
      <c r="AA29" s="23" t="n">
        <f aca="false">IF('TASKS AND ROAD SEGMENT MATRIX'!AN29-1&gt;0,'TASKS AND ROAD SEGMENT MATRIX'!AN29-1,"-")</f>
        <v>0.471227861711165</v>
      </c>
      <c r="AB29" s="23" t="n">
        <f aca="false">IF('TASKS AND ROAD SEGMENT MATRIX'!AO29-1&gt;0,'TASKS AND ROAD SEGMENT MATRIX'!AO29-1,"-")</f>
        <v>0.471227861711165</v>
      </c>
      <c r="AC29" s="23" t="n">
        <f aca="false">IF('TASKS AND ROAD SEGMENT MATRIX'!AP29-1&gt;0,'TASKS AND ROAD SEGMENT MATRIX'!AP29-1,"-")</f>
        <v>0.471227861711165</v>
      </c>
      <c r="AD29" s="23" t="str">
        <f aca="false">IF('TASKS AND ROAD SEGMENT MATRIX'!AQ29-1&gt;0,'TASKS AND ROAD SEGMENT MATRIX'!AQ29-1,"-")</f>
        <v>-</v>
      </c>
      <c r="AE29" s="23" t="str">
        <f aca="false">IF('TASKS AND ROAD SEGMENT MATRIX'!AR29-1&gt;0,'TASKS AND ROAD SEGMENT MATRIX'!AR29-1,"-")</f>
        <v>-</v>
      </c>
      <c r="AF29" s="23" t="n">
        <f aca="false">IF('TASKS AND ROAD SEGMENT MATRIX'!AS29-1&gt;0,'TASKS AND ROAD SEGMENT MATRIX'!AS29-1,"-")</f>
        <v>0.471227861711165</v>
      </c>
      <c r="AG29" s="23" t="n">
        <f aca="false">IF('TASKS AND ROAD SEGMENT MATRIX'!AT29-1&gt;0,'TASKS AND ROAD SEGMENT MATRIX'!AT29-1,"-")</f>
        <v>0.471227861711165</v>
      </c>
      <c r="AH29" s="23" t="str">
        <f aca="false">IF('TASKS AND ROAD SEGMENT MATRIX'!AU29-1&gt;0,'TASKS AND ROAD SEGMENT MATRIX'!AU29-1,"-")</f>
        <v>-</v>
      </c>
      <c r="AI29" s="23" t="str">
        <f aca="false">IF('TASKS AND ROAD SEGMENT MATRIX'!AV29-1&gt;0,'TASKS AND ROAD SEGMENT MATRIX'!AV29-1,"-")</f>
        <v>-</v>
      </c>
      <c r="AJ29" s="23" t="str">
        <f aca="false">IF('TASKS AND ROAD SEGMENT MATRIX'!AW29-1&gt;0,'TASKS AND ROAD SEGMENT MATRIX'!AW29-1,"-")</f>
        <v>-</v>
      </c>
      <c r="AK29" s="23" t="str">
        <f aca="false">IF('TASKS AND ROAD SEGMENT MATRIX'!AX29-1&gt;0,'TASKS AND ROAD SEGMENT MATRIX'!AX29-1,"-")</f>
        <v>-</v>
      </c>
      <c r="AL29" s="23" t="str">
        <f aca="false">IF('TASKS AND ROAD SEGMENT MATRIX'!AY29-1&gt;0,'TASKS AND ROAD SEGMENT MATRIX'!AY29-1,"-")</f>
        <v>-</v>
      </c>
      <c r="AM29" s="23" t="str">
        <f aca="false">IF('TASKS AND ROAD SEGMENT MATRIX'!AZ29-1&gt;0,'TASKS AND ROAD SEGMENT MATRIX'!AZ29-1,"-")</f>
        <v>-</v>
      </c>
      <c r="AN29" s="23" t="str">
        <f aca="false">IF('TASKS AND ROAD SEGMENT MATRIX'!BA29-1&gt;0,'TASKS AND ROAD SEGMENT MATRIX'!BA29-1,"-")</f>
        <v>-</v>
      </c>
      <c r="AO29" s="23" t="str">
        <f aca="false">IF('TASKS AND ROAD SEGMENT MATRIX'!BB29-1&gt;0,'TASKS AND ROAD SEGMENT MATRIX'!BB29-1,"-")</f>
        <v>-</v>
      </c>
      <c r="AP29" s="23" t="str">
        <f aca="false">IF('TASKS AND ROAD SEGMENT MATRIX'!BC29-1&gt;0,'TASKS AND ROAD SEGMENT MATRIX'!BC29-1,"-")</f>
        <v>-</v>
      </c>
      <c r="AQ29" s="23" t="str">
        <f aca="false">IF('TASKS AND ROAD SEGMENT MATRIX'!BD29-1&gt;0,'TASKS AND ROAD SEGMENT MATRIX'!BD29-1,"-")</f>
        <v>-</v>
      </c>
      <c r="AR29" s="23" t="n">
        <f aca="false">IF('TASKS AND ROAD SEGMENT MATRIX'!BE29-1&gt;0,'TASKS AND ROAD SEGMENT MATRIX'!BE29-1,"-")</f>
        <v>0.471227861711165</v>
      </c>
      <c r="AS29" s="23" t="n">
        <f aca="false">IF('TASKS AND ROAD SEGMENT MATRIX'!BF29-1&gt;0,'TASKS AND ROAD SEGMENT MATRIX'!BF29-1,"-")</f>
        <v>0.942455723422329</v>
      </c>
      <c r="AT29" s="23" t="n">
        <f aca="false">IF('TASKS AND ROAD SEGMENT MATRIX'!BG29-1&gt;0,'TASKS AND ROAD SEGMENT MATRIX'!BG29-1,"-")</f>
        <v>0.471227861711165</v>
      </c>
      <c r="AU29" s="23" t="str">
        <f aca="false">IF('TASKS AND ROAD SEGMENT MATRIX'!BH29-1&gt;0,'TASKS AND ROAD SEGMENT MATRIX'!BH29-1,"-")</f>
        <v>-</v>
      </c>
    </row>
    <row r="30" customFormat="false" ht="13.8" hidden="false" customHeight="false" outlineLevel="0" collapsed="false">
      <c r="A30" s="9" t="s">
        <v>69</v>
      </c>
      <c r="B30" s="0" t="s">
        <v>112</v>
      </c>
      <c r="C30" s="23" t="str">
        <f aca="false">IF('TASKS AND ROAD SEGMENT MATRIX'!P30-1&gt;0,'TASKS AND ROAD SEGMENT MATRIX'!P30-1,"-")</f>
        <v>-</v>
      </c>
      <c r="D30" s="23" t="str">
        <f aca="false">IF('TASKS AND ROAD SEGMENT MATRIX'!Q30-1&gt;0,'TASKS AND ROAD SEGMENT MATRIX'!Q30-1,"-")</f>
        <v>-</v>
      </c>
      <c r="E30" s="23" t="str">
        <f aca="false">IF('TASKS AND ROAD SEGMENT MATRIX'!R30-1&gt;0,'TASKS AND ROAD SEGMENT MATRIX'!R30-1,"-")</f>
        <v>-</v>
      </c>
      <c r="F30" s="23" t="str">
        <f aca="false">IF('TASKS AND ROAD SEGMENT MATRIX'!S30-1&gt;0,'TASKS AND ROAD SEGMENT MATRIX'!S30-1,"-")</f>
        <v>-</v>
      </c>
      <c r="G30" s="23" t="str">
        <f aca="false">IF('TASKS AND ROAD SEGMENT MATRIX'!T30-1&gt;0,'TASKS AND ROAD SEGMENT MATRIX'!T30-1,"-")</f>
        <v>-</v>
      </c>
      <c r="H30" s="23" t="str">
        <f aca="false">IF('TASKS AND ROAD SEGMENT MATRIX'!U30-1&gt;0,'TASKS AND ROAD SEGMENT MATRIX'!U30-1,"-")</f>
        <v>-</v>
      </c>
      <c r="I30" s="23" t="str">
        <f aca="false">IF('TASKS AND ROAD SEGMENT MATRIX'!V30-1&gt;0,'TASKS AND ROAD SEGMENT MATRIX'!V30-1,"-")</f>
        <v>-</v>
      </c>
      <c r="J30" s="23" t="str">
        <f aca="false">IF('TASKS AND ROAD SEGMENT MATRIX'!W30-1&gt;0,'TASKS AND ROAD SEGMENT MATRIX'!W30-1,"-")</f>
        <v>-</v>
      </c>
      <c r="K30" s="23" t="str">
        <f aca="false">IF('TASKS AND ROAD SEGMENT MATRIX'!X30-1&gt;0,'TASKS AND ROAD SEGMENT MATRIX'!X30-1,"-")</f>
        <v>-</v>
      </c>
      <c r="L30" s="23" t="n">
        <f aca="false">IF('TASKS AND ROAD SEGMENT MATRIX'!Y30-1&gt;0,'TASKS AND ROAD SEGMENT MATRIX'!Y30-1,"-")</f>
        <v>0.209983354574433</v>
      </c>
      <c r="M30" s="23" t="n">
        <f aca="false">IF('TASKS AND ROAD SEGMENT MATRIX'!Z30-1&gt;0,'TASKS AND ROAD SEGMENT MATRIX'!Z30-1,"-")</f>
        <v>0.209983354574433</v>
      </c>
      <c r="N30" s="23" t="n">
        <f aca="false">IF('TASKS AND ROAD SEGMENT MATRIX'!AA30-1&gt;0,'TASKS AND ROAD SEGMENT MATRIX'!AA30-1,"-")</f>
        <v>0.419966709148865</v>
      </c>
      <c r="O30" s="23" t="str">
        <f aca="false">IF('TASKS AND ROAD SEGMENT MATRIX'!AB30-1&gt;0,'TASKS AND ROAD SEGMENT MATRIX'!AB30-1,"-")</f>
        <v>-</v>
      </c>
      <c r="P30" s="23" t="str">
        <f aca="false">IF('TASKS AND ROAD SEGMENT MATRIX'!AC30-1&gt;0,'TASKS AND ROAD SEGMENT MATRIX'!AC30-1,"-")</f>
        <v>-</v>
      </c>
      <c r="Q30" s="23" t="str">
        <f aca="false">IF('TASKS AND ROAD SEGMENT MATRIX'!AD30-1&gt;0,'TASKS AND ROAD SEGMENT MATRIX'!AD30-1,"-")</f>
        <v>-</v>
      </c>
      <c r="R30" s="23" t="str">
        <f aca="false">IF('TASKS AND ROAD SEGMENT MATRIX'!AE30-1&gt;0,'TASKS AND ROAD SEGMENT MATRIX'!AE30-1,"-")</f>
        <v>-</v>
      </c>
      <c r="S30" s="23" t="n">
        <f aca="false">IF('TASKS AND ROAD SEGMENT MATRIX'!AF30-1&gt;0,'TASKS AND ROAD SEGMENT MATRIX'!AF30-1,"-")</f>
        <v>0.209983354574433</v>
      </c>
      <c r="T30" s="23" t="n">
        <f aca="false">IF('TASKS AND ROAD SEGMENT MATRIX'!AG30-1&gt;0,'TASKS AND ROAD SEGMENT MATRIX'!AG30-1,"-")</f>
        <v>0.419966709148865</v>
      </c>
      <c r="U30" s="23" t="str">
        <f aca="false">IF('TASKS AND ROAD SEGMENT MATRIX'!AH30-1&gt;0,'TASKS AND ROAD SEGMENT MATRIX'!AH30-1,"-")</f>
        <v>-</v>
      </c>
      <c r="V30" s="23" t="n">
        <f aca="false">IF('TASKS AND ROAD SEGMENT MATRIX'!AI30-1&gt;0,'TASKS AND ROAD SEGMENT MATRIX'!AI30-1,"-")</f>
        <v>0.209983354574433</v>
      </c>
      <c r="W30" s="23" t="n">
        <f aca="false">IF('TASKS AND ROAD SEGMENT MATRIX'!AJ30-1&gt;0,'TASKS AND ROAD SEGMENT MATRIX'!AJ30-1,"-")</f>
        <v>0.209983354574433</v>
      </c>
      <c r="X30" s="23" t="str">
        <f aca="false">IF('TASKS AND ROAD SEGMENT MATRIX'!AK30-1&gt;0,'TASKS AND ROAD SEGMENT MATRIX'!AK30-1,"-")</f>
        <v>-</v>
      </c>
      <c r="Y30" s="23" t="n">
        <f aca="false">IF('TASKS AND ROAD SEGMENT MATRIX'!AL30-1&gt;0,'TASKS AND ROAD SEGMENT MATRIX'!AL30-1,"-")</f>
        <v>0.419966709148865</v>
      </c>
      <c r="Z30" s="23" t="n">
        <f aca="false">IF('TASKS AND ROAD SEGMENT MATRIX'!AM30-1&gt;0,'TASKS AND ROAD SEGMENT MATRIX'!AM30-1,"-")</f>
        <v>0.419966709148865</v>
      </c>
      <c r="AA30" s="23" t="n">
        <f aca="false">IF('TASKS AND ROAD SEGMENT MATRIX'!AN30-1&gt;0,'TASKS AND ROAD SEGMENT MATRIX'!AN30-1,"-")</f>
        <v>0.209983354574433</v>
      </c>
      <c r="AB30" s="23" t="n">
        <f aca="false">IF('TASKS AND ROAD SEGMENT MATRIX'!AO30-1&gt;0,'TASKS AND ROAD SEGMENT MATRIX'!AO30-1,"-")</f>
        <v>0.209983354574433</v>
      </c>
      <c r="AC30" s="23" t="n">
        <f aca="false">IF('TASKS AND ROAD SEGMENT MATRIX'!AP30-1&gt;0,'TASKS AND ROAD SEGMENT MATRIX'!AP30-1,"-")</f>
        <v>0.209983354574433</v>
      </c>
      <c r="AD30" s="23" t="str">
        <f aca="false">IF('TASKS AND ROAD SEGMENT MATRIX'!AQ30-1&gt;0,'TASKS AND ROAD SEGMENT MATRIX'!AQ30-1,"-")</f>
        <v>-</v>
      </c>
      <c r="AE30" s="23" t="str">
        <f aca="false">IF('TASKS AND ROAD SEGMENT MATRIX'!AR30-1&gt;0,'TASKS AND ROAD SEGMENT MATRIX'!AR30-1,"-")</f>
        <v>-</v>
      </c>
      <c r="AF30" s="23" t="str">
        <f aca="false">IF('TASKS AND ROAD SEGMENT MATRIX'!AS30-1&gt;0,'TASKS AND ROAD SEGMENT MATRIX'!AS30-1,"-")</f>
        <v>-</v>
      </c>
      <c r="AG30" s="23" t="str">
        <f aca="false">IF('TASKS AND ROAD SEGMENT MATRIX'!AT30-1&gt;0,'TASKS AND ROAD SEGMENT MATRIX'!AT30-1,"-")</f>
        <v>-</v>
      </c>
      <c r="AH30" s="23" t="str">
        <f aca="false">IF('TASKS AND ROAD SEGMENT MATRIX'!AU30-1&gt;0,'TASKS AND ROAD SEGMENT MATRIX'!AU30-1,"-")</f>
        <v>-</v>
      </c>
      <c r="AI30" s="23" t="str">
        <f aca="false">IF('TASKS AND ROAD SEGMENT MATRIX'!AV30-1&gt;0,'TASKS AND ROAD SEGMENT MATRIX'!AV30-1,"-")</f>
        <v>-</v>
      </c>
      <c r="AJ30" s="23" t="str">
        <f aca="false">IF('TASKS AND ROAD SEGMENT MATRIX'!AW30-1&gt;0,'TASKS AND ROAD SEGMENT MATRIX'!AW30-1,"-")</f>
        <v>-</v>
      </c>
      <c r="AK30" s="23" t="n">
        <f aca="false">IF('TASKS AND ROAD SEGMENT MATRIX'!AX30-1&gt;0,'TASKS AND ROAD SEGMENT MATRIX'!AX30-1,"-")</f>
        <v>0.209983354574433</v>
      </c>
      <c r="AL30" s="23" t="n">
        <f aca="false">IF('TASKS AND ROAD SEGMENT MATRIX'!AY30-1&gt;0,'TASKS AND ROAD SEGMENT MATRIX'!AY30-1,"-")</f>
        <v>0.209983354574433</v>
      </c>
      <c r="AM30" s="23" t="str">
        <f aca="false">IF('TASKS AND ROAD SEGMENT MATRIX'!AZ30-1&gt;0,'TASKS AND ROAD SEGMENT MATRIX'!AZ30-1,"-")</f>
        <v>-</v>
      </c>
      <c r="AN30" s="23" t="str">
        <f aca="false">IF('TASKS AND ROAD SEGMENT MATRIX'!BA30-1&gt;0,'TASKS AND ROAD SEGMENT MATRIX'!BA30-1,"-")</f>
        <v>-</v>
      </c>
      <c r="AO30" s="23" t="str">
        <f aca="false">IF('TASKS AND ROAD SEGMENT MATRIX'!BB30-1&gt;0,'TASKS AND ROAD SEGMENT MATRIX'!BB30-1,"-")</f>
        <v>-</v>
      </c>
      <c r="AP30" s="23" t="str">
        <f aca="false">IF('TASKS AND ROAD SEGMENT MATRIX'!BC30-1&gt;0,'TASKS AND ROAD SEGMENT MATRIX'!BC30-1,"-")</f>
        <v>-</v>
      </c>
      <c r="AQ30" s="23" t="str">
        <f aca="false">IF('TASKS AND ROAD SEGMENT MATRIX'!BD30-1&gt;0,'TASKS AND ROAD SEGMENT MATRIX'!BD30-1,"-")</f>
        <v>-</v>
      </c>
      <c r="AR30" s="23" t="str">
        <f aca="false">IF('TASKS AND ROAD SEGMENT MATRIX'!BE30-1&gt;0,'TASKS AND ROAD SEGMENT MATRIX'!BE30-1,"-")</f>
        <v>-</v>
      </c>
      <c r="AS30" s="23" t="n">
        <f aca="false">IF('TASKS AND ROAD SEGMENT MATRIX'!BF30-1&gt;0,'TASKS AND ROAD SEGMENT MATRIX'!BF30-1,"-")</f>
        <v>0.209983354574433</v>
      </c>
      <c r="AT30" s="23" t="n">
        <f aca="false">IF('TASKS AND ROAD SEGMENT MATRIX'!BG30-1&gt;0,'TASKS AND ROAD SEGMENT MATRIX'!BG30-1,"-")</f>
        <v>0.209983354574433</v>
      </c>
      <c r="AU30" s="23" t="str">
        <f aca="false">IF('TASKS AND ROAD SEGMENT MATRIX'!BH30-1&gt;0,'TASKS AND ROAD SEGMENT MATRIX'!BH30-1,"-")</f>
        <v>-</v>
      </c>
    </row>
    <row r="31" customFormat="false" ht="13.8" hidden="false" customHeight="false" outlineLevel="0" collapsed="false">
      <c r="A31" s="9" t="s">
        <v>69</v>
      </c>
      <c r="B31" s="0" t="s">
        <v>115</v>
      </c>
      <c r="C31" s="23" t="str">
        <f aca="false">IF('TASKS AND ROAD SEGMENT MATRIX'!P31-1&gt;0,'TASKS AND ROAD SEGMENT MATRIX'!P31-1,"-")</f>
        <v>-</v>
      </c>
      <c r="D31" s="23" t="str">
        <f aca="false">IF('TASKS AND ROAD SEGMENT MATRIX'!Q31-1&gt;0,'TASKS AND ROAD SEGMENT MATRIX'!Q31-1,"-")</f>
        <v>-</v>
      </c>
      <c r="E31" s="23" t="str">
        <f aca="false">IF('TASKS AND ROAD SEGMENT MATRIX'!R31-1&gt;0,'TASKS AND ROAD SEGMENT MATRIX'!R31-1,"-")</f>
        <v>-</v>
      </c>
      <c r="F31" s="23" t="str">
        <f aca="false">IF('TASKS AND ROAD SEGMENT MATRIX'!S31-1&gt;0,'TASKS AND ROAD SEGMENT MATRIX'!S31-1,"-")</f>
        <v>-</v>
      </c>
      <c r="G31" s="23" t="str">
        <f aca="false">IF('TASKS AND ROAD SEGMENT MATRIX'!T31-1&gt;0,'TASKS AND ROAD SEGMENT MATRIX'!T31-1,"-")</f>
        <v>-</v>
      </c>
      <c r="H31" s="23" t="str">
        <f aca="false">IF('TASKS AND ROAD SEGMENT MATRIX'!U31-1&gt;0,'TASKS AND ROAD SEGMENT MATRIX'!U31-1,"-")</f>
        <v>-</v>
      </c>
      <c r="I31" s="23" t="str">
        <f aca="false">IF('TASKS AND ROAD SEGMENT MATRIX'!V31-1&gt;0,'TASKS AND ROAD SEGMENT MATRIX'!V31-1,"-")</f>
        <v>-</v>
      </c>
      <c r="J31" s="23" t="str">
        <f aca="false">IF('TASKS AND ROAD SEGMENT MATRIX'!W31-1&gt;0,'TASKS AND ROAD SEGMENT MATRIX'!W31-1,"-")</f>
        <v>-</v>
      </c>
      <c r="K31" s="23" t="str">
        <f aca="false">IF('TASKS AND ROAD SEGMENT MATRIX'!X31-1&gt;0,'TASKS AND ROAD SEGMENT MATRIX'!X31-1,"-")</f>
        <v>-</v>
      </c>
      <c r="L31" s="23" t="n">
        <f aca="false">IF('TASKS AND ROAD SEGMENT MATRIX'!Y31-1&gt;0,'TASKS AND ROAD SEGMENT MATRIX'!Y31-1,"-")</f>
        <v>0.314975031861649</v>
      </c>
      <c r="M31" s="23" t="n">
        <f aca="false">IF('TASKS AND ROAD SEGMENT MATRIX'!Z31-1&gt;0,'TASKS AND ROAD SEGMENT MATRIX'!Z31-1,"-")</f>
        <v>0.314975031861649</v>
      </c>
      <c r="N31" s="23" t="n">
        <f aca="false">IF('TASKS AND ROAD SEGMENT MATRIX'!AA31-1&gt;0,'TASKS AND ROAD SEGMENT MATRIX'!AA31-1,"-")</f>
        <v>0.629950063723298</v>
      </c>
      <c r="O31" s="23" t="str">
        <f aca="false">IF('TASKS AND ROAD SEGMENT MATRIX'!AB31-1&gt;0,'TASKS AND ROAD SEGMENT MATRIX'!AB31-1,"-")</f>
        <v>-</v>
      </c>
      <c r="P31" s="23" t="str">
        <f aca="false">IF('TASKS AND ROAD SEGMENT MATRIX'!AC31-1&gt;0,'TASKS AND ROAD SEGMENT MATRIX'!AC31-1,"-")</f>
        <v>-</v>
      </c>
      <c r="Q31" s="23" t="str">
        <f aca="false">IF('TASKS AND ROAD SEGMENT MATRIX'!AD31-1&gt;0,'TASKS AND ROAD SEGMENT MATRIX'!AD31-1,"-")</f>
        <v>-</v>
      </c>
      <c r="R31" s="23" t="str">
        <f aca="false">IF('TASKS AND ROAD SEGMENT MATRIX'!AE31-1&gt;0,'TASKS AND ROAD SEGMENT MATRIX'!AE31-1,"-")</f>
        <v>-</v>
      </c>
      <c r="S31" s="23" t="n">
        <f aca="false">IF('TASKS AND ROAD SEGMENT MATRIX'!AF31-1&gt;0,'TASKS AND ROAD SEGMENT MATRIX'!AF31-1,"-")</f>
        <v>0.314975031861649</v>
      </c>
      <c r="T31" s="23" t="n">
        <f aca="false">IF('TASKS AND ROAD SEGMENT MATRIX'!AG31-1&gt;0,'TASKS AND ROAD SEGMENT MATRIX'!AG31-1,"-")</f>
        <v>0.629950063723298</v>
      </c>
      <c r="U31" s="23" t="n">
        <f aca="false">IF('TASKS AND ROAD SEGMENT MATRIX'!AH31-1&gt;0,'TASKS AND ROAD SEGMENT MATRIX'!AH31-1,"-")</f>
        <v>0.629950063723298</v>
      </c>
      <c r="V31" s="23" t="n">
        <f aca="false">IF('TASKS AND ROAD SEGMENT MATRIX'!AI31-1&gt;0,'TASKS AND ROAD SEGMENT MATRIX'!AI31-1,"-")</f>
        <v>0.314975031861649</v>
      </c>
      <c r="W31" s="23" t="n">
        <f aca="false">IF('TASKS AND ROAD SEGMENT MATRIX'!AJ31-1&gt;0,'TASKS AND ROAD SEGMENT MATRIX'!AJ31-1,"-")</f>
        <v>0.314975031861649</v>
      </c>
      <c r="X31" s="23" t="str">
        <f aca="false">IF('TASKS AND ROAD SEGMENT MATRIX'!AK31-1&gt;0,'TASKS AND ROAD SEGMENT MATRIX'!AK31-1,"-")</f>
        <v>-</v>
      </c>
      <c r="Y31" s="23" t="n">
        <f aca="false">IF('TASKS AND ROAD SEGMENT MATRIX'!AL31-1&gt;0,'TASKS AND ROAD SEGMENT MATRIX'!AL31-1,"-")</f>
        <v>0.629950063723298</v>
      </c>
      <c r="Z31" s="23" t="n">
        <f aca="false">IF('TASKS AND ROAD SEGMENT MATRIX'!AM31-1&gt;0,'TASKS AND ROAD SEGMENT MATRIX'!AM31-1,"-")</f>
        <v>0.629950063723298</v>
      </c>
      <c r="AA31" s="23" t="n">
        <f aca="false">IF('TASKS AND ROAD SEGMENT MATRIX'!AN31-1&gt;0,'TASKS AND ROAD SEGMENT MATRIX'!AN31-1,"-")</f>
        <v>0.314975031861649</v>
      </c>
      <c r="AB31" s="23" t="n">
        <f aca="false">IF('TASKS AND ROAD SEGMENT MATRIX'!AO31-1&gt;0,'TASKS AND ROAD SEGMENT MATRIX'!AO31-1,"-")</f>
        <v>0.314975031861649</v>
      </c>
      <c r="AC31" s="23" t="n">
        <f aca="false">IF('TASKS AND ROAD SEGMENT MATRIX'!AP31-1&gt;0,'TASKS AND ROAD SEGMENT MATRIX'!AP31-1,"-")</f>
        <v>0.314975031861649</v>
      </c>
      <c r="AD31" s="23" t="str">
        <f aca="false">IF('TASKS AND ROAD SEGMENT MATRIX'!AQ31-1&gt;0,'TASKS AND ROAD SEGMENT MATRIX'!AQ31-1,"-")</f>
        <v>-</v>
      </c>
      <c r="AE31" s="23" t="str">
        <f aca="false">IF('TASKS AND ROAD SEGMENT MATRIX'!AR31-1&gt;0,'TASKS AND ROAD SEGMENT MATRIX'!AR31-1,"-")</f>
        <v>-</v>
      </c>
      <c r="AF31" s="23" t="str">
        <f aca="false">IF('TASKS AND ROAD SEGMENT MATRIX'!AS31-1&gt;0,'TASKS AND ROAD SEGMENT MATRIX'!AS31-1,"-")</f>
        <v>-</v>
      </c>
      <c r="AG31" s="23" t="str">
        <f aca="false">IF('TASKS AND ROAD SEGMENT MATRIX'!AT31-1&gt;0,'TASKS AND ROAD SEGMENT MATRIX'!AT31-1,"-")</f>
        <v>-</v>
      </c>
      <c r="AH31" s="23" t="str">
        <f aca="false">IF('TASKS AND ROAD SEGMENT MATRIX'!AU31-1&gt;0,'TASKS AND ROAD SEGMENT MATRIX'!AU31-1,"-")</f>
        <v>-</v>
      </c>
      <c r="AI31" s="23" t="str">
        <f aca="false">IF('TASKS AND ROAD SEGMENT MATRIX'!AV31-1&gt;0,'TASKS AND ROAD SEGMENT MATRIX'!AV31-1,"-")</f>
        <v>-</v>
      </c>
      <c r="AJ31" s="23" t="str">
        <f aca="false">IF('TASKS AND ROAD SEGMENT MATRIX'!AW31-1&gt;0,'TASKS AND ROAD SEGMENT MATRIX'!AW31-1,"-")</f>
        <v>-</v>
      </c>
      <c r="AK31" s="23" t="n">
        <f aca="false">IF('TASKS AND ROAD SEGMENT MATRIX'!AX31-1&gt;0,'TASKS AND ROAD SEGMENT MATRIX'!AX31-1,"-")</f>
        <v>0.314975031861649</v>
      </c>
      <c r="AL31" s="23" t="n">
        <f aca="false">IF('TASKS AND ROAD SEGMENT MATRIX'!AY31-1&gt;0,'TASKS AND ROAD SEGMENT MATRIX'!AY31-1,"-")</f>
        <v>0.314975031861649</v>
      </c>
      <c r="AM31" s="23" t="str">
        <f aca="false">IF('TASKS AND ROAD SEGMENT MATRIX'!AZ31-1&gt;0,'TASKS AND ROAD SEGMENT MATRIX'!AZ31-1,"-")</f>
        <v>-</v>
      </c>
      <c r="AN31" s="23" t="str">
        <f aca="false">IF('TASKS AND ROAD SEGMENT MATRIX'!BA31-1&gt;0,'TASKS AND ROAD SEGMENT MATRIX'!BA31-1,"-")</f>
        <v>-</v>
      </c>
      <c r="AO31" s="23" t="str">
        <f aca="false">IF('TASKS AND ROAD SEGMENT MATRIX'!BB31-1&gt;0,'TASKS AND ROAD SEGMENT MATRIX'!BB31-1,"-")</f>
        <v>-</v>
      </c>
      <c r="AP31" s="23" t="str">
        <f aca="false">IF('TASKS AND ROAD SEGMENT MATRIX'!BC31-1&gt;0,'TASKS AND ROAD SEGMENT MATRIX'!BC31-1,"-")</f>
        <v>-</v>
      </c>
      <c r="AQ31" s="23" t="str">
        <f aca="false">IF('TASKS AND ROAD SEGMENT MATRIX'!BD31-1&gt;0,'TASKS AND ROAD SEGMENT MATRIX'!BD31-1,"-")</f>
        <v>-</v>
      </c>
      <c r="AR31" s="23" t="str">
        <f aca="false">IF('TASKS AND ROAD SEGMENT MATRIX'!BE31-1&gt;0,'TASKS AND ROAD SEGMENT MATRIX'!BE31-1,"-")</f>
        <v>-</v>
      </c>
      <c r="AS31" s="23" t="n">
        <f aca="false">IF('TASKS AND ROAD SEGMENT MATRIX'!BF31-1&gt;0,'TASKS AND ROAD SEGMENT MATRIX'!BF31-1,"-")</f>
        <v>0.314975031861649</v>
      </c>
      <c r="AT31" s="23" t="n">
        <f aca="false">IF('TASKS AND ROAD SEGMENT MATRIX'!BG31-1&gt;0,'TASKS AND ROAD SEGMENT MATRIX'!BG31-1,"-")</f>
        <v>0.314975031861649</v>
      </c>
      <c r="AU31" s="23" t="str">
        <f aca="false">IF('TASKS AND ROAD SEGMENT MATRIX'!BH31-1&gt;0,'TASKS AND ROAD SEGMENT MATRIX'!BH31-1,"-")</f>
        <v>-</v>
      </c>
    </row>
    <row r="32" customFormat="false" ht="13.8" hidden="false" customHeight="false" outlineLevel="0" collapsed="false">
      <c r="A32" s="9" t="s">
        <v>69</v>
      </c>
      <c r="B32" s="0" t="s">
        <v>117</v>
      </c>
      <c r="C32" s="23" t="str">
        <f aca="false">IF('TASKS AND ROAD SEGMENT MATRIX'!P32-1&gt;0,'TASKS AND ROAD SEGMENT MATRIX'!P32-1,"-")</f>
        <v>-</v>
      </c>
      <c r="D32" s="23" t="str">
        <f aca="false">IF('TASKS AND ROAD SEGMENT MATRIX'!Q32-1&gt;0,'TASKS AND ROAD SEGMENT MATRIX'!Q32-1,"-")</f>
        <v>-</v>
      </c>
      <c r="E32" s="23" t="str">
        <f aca="false">IF('TASKS AND ROAD SEGMENT MATRIX'!R32-1&gt;0,'TASKS AND ROAD SEGMENT MATRIX'!R32-1,"-")</f>
        <v>-</v>
      </c>
      <c r="F32" s="23" t="str">
        <f aca="false">IF('TASKS AND ROAD SEGMENT MATRIX'!S32-1&gt;0,'TASKS AND ROAD SEGMENT MATRIX'!S32-1,"-")</f>
        <v>-</v>
      </c>
      <c r="G32" s="23" t="str">
        <f aca="false">IF('TASKS AND ROAD SEGMENT MATRIX'!T32-1&gt;0,'TASKS AND ROAD SEGMENT MATRIX'!T32-1,"-")</f>
        <v>-</v>
      </c>
      <c r="H32" s="23" t="str">
        <f aca="false">IF('TASKS AND ROAD SEGMENT MATRIX'!U32-1&gt;0,'TASKS AND ROAD SEGMENT MATRIX'!U32-1,"-")</f>
        <v>-</v>
      </c>
      <c r="I32" s="23" t="str">
        <f aca="false">IF('TASKS AND ROAD SEGMENT MATRIX'!V32-1&gt;0,'TASKS AND ROAD SEGMENT MATRIX'!V32-1,"-")</f>
        <v>-</v>
      </c>
      <c r="J32" s="23" t="str">
        <f aca="false">IF('TASKS AND ROAD SEGMENT MATRIX'!W32-1&gt;0,'TASKS AND ROAD SEGMENT MATRIX'!W32-1,"-")</f>
        <v>-</v>
      </c>
      <c r="K32" s="23" t="str">
        <f aca="false">IF('TASKS AND ROAD SEGMENT MATRIX'!X32-1&gt;0,'TASKS AND ROAD SEGMENT MATRIX'!X32-1,"-")</f>
        <v>-</v>
      </c>
      <c r="L32" s="23" t="n">
        <f aca="false">IF('TASKS AND ROAD SEGMENT MATRIX'!Y32-1&gt;0,'TASKS AND ROAD SEGMENT MATRIX'!Y32-1,"-")</f>
        <v>0.262479193218041</v>
      </c>
      <c r="M32" s="23" t="n">
        <f aca="false">IF('TASKS AND ROAD SEGMENT MATRIX'!Z32-1&gt;0,'TASKS AND ROAD SEGMENT MATRIX'!Z32-1,"-")</f>
        <v>0.262479193218041</v>
      </c>
      <c r="N32" s="23" t="n">
        <f aca="false">IF('TASKS AND ROAD SEGMENT MATRIX'!AA32-1&gt;0,'TASKS AND ROAD SEGMENT MATRIX'!AA32-1,"-")</f>
        <v>0.524958386436081</v>
      </c>
      <c r="O32" s="23" t="str">
        <f aca="false">IF('TASKS AND ROAD SEGMENT MATRIX'!AB32-1&gt;0,'TASKS AND ROAD SEGMENT MATRIX'!AB32-1,"-")</f>
        <v>-</v>
      </c>
      <c r="P32" s="23" t="str">
        <f aca="false">IF('TASKS AND ROAD SEGMENT MATRIX'!AC32-1&gt;0,'TASKS AND ROAD SEGMENT MATRIX'!AC32-1,"-")</f>
        <v>-</v>
      </c>
      <c r="Q32" s="23" t="str">
        <f aca="false">IF('TASKS AND ROAD SEGMENT MATRIX'!AD32-1&gt;0,'TASKS AND ROAD SEGMENT MATRIX'!AD32-1,"-")</f>
        <v>-</v>
      </c>
      <c r="R32" s="23" t="str">
        <f aca="false">IF('TASKS AND ROAD SEGMENT MATRIX'!AE32-1&gt;0,'TASKS AND ROAD SEGMENT MATRIX'!AE32-1,"-")</f>
        <v>-</v>
      </c>
      <c r="S32" s="23" t="n">
        <f aca="false">IF('TASKS AND ROAD SEGMENT MATRIX'!AF32-1&gt;0,'TASKS AND ROAD SEGMENT MATRIX'!AF32-1,"-")</f>
        <v>0.262479193218041</v>
      </c>
      <c r="T32" s="23" t="n">
        <f aca="false">IF('TASKS AND ROAD SEGMENT MATRIX'!AG32-1&gt;0,'TASKS AND ROAD SEGMENT MATRIX'!AG32-1,"-")</f>
        <v>0.524958386436081</v>
      </c>
      <c r="U32" s="23" t="n">
        <f aca="false">IF('TASKS AND ROAD SEGMENT MATRIX'!AH32-1&gt;0,'TASKS AND ROAD SEGMENT MATRIX'!AH32-1,"-")</f>
        <v>0.262479193218041</v>
      </c>
      <c r="V32" s="23" t="n">
        <f aca="false">IF('TASKS AND ROAD SEGMENT MATRIX'!AI32-1&gt;0,'TASKS AND ROAD SEGMENT MATRIX'!AI32-1,"-")</f>
        <v>0.262479193218041</v>
      </c>
      <c r="W32" s="23" t="n">
        <f aca="false">IF('TASKS AND ROAD SEGMENT MATRIX'!AJ32-1&gt;0,'TASKS AND ROAD SEGMENT MATRIX'!AJ32-1,"-")</f>
        <v>0.262479193218041</v>
      </c>
      <c r="X32" s="23" t="str">
        <f aca="false">IF('TASKS AND ROAD SEGMENT MATRIX'!AK32-1&gt;0,'TASKS AND ROAD SEGMENT MATRIX'!AK32-1,"-")</f>
        <v>-</v>
      </c>
      <c r="Y32" s="23" t="n">
        <f aca="false">IF('TASKS AND ROAD SEGMENT MATRIX'!AL32-1&gt;0,'TASKS AND ROAD SEGMENT MATRIX'!AL32-1,"-")</f>
        <v>0.524958386436081</v>
      </c>
      <c r="Z32" s="23" t="n">
        <f aca="false">IF('TASKS AND ROAD SEGMENT MATRIX'!AM32-1&gt;0,'TASKS AND ROAD SEGMENT MATRIX'!AM32-1,"-")</f>
        <v>0.524958386436081</v>
      </c>
      <c r="AA32" s="23" t="n">
        <f aca="false">IF('TASKS AND ROAD SEGMENT MATRIX'!AN32-1&gt;0,'TASKS AND ROAD SEGMENT MATRIX'!AN32-1,"-")</f>
        <v>0.262479193218041</v>
      </c>
      <c r="AB32" s="23" t="n">
        <f aca="false">IF('TASKS AND ROAD SEGMENT MATRIX'!AO32-1&gt;0,'TASKS AND ROAD SEGMENT MATRIX'!AO32-1,"-")</f>
        <v>0.262479193218041</v>
      </c>
      <c r="AC32" s="23" t="n">
        <f aca="false">IF('TASKS AND ROAD SEGMENT MATRIX'!AP32-1&gt;0,'TASKS AND ROAD SEGMENT MATRIX'!AP32-1,"-")</f>
        <v>0.262479193218041</v>
      </c>
      <c r="AD32" s="23" t="str">
        <f aca="false">IF('TASKS AND ROAD SEGMENT MATRIX'!AQ32-1&gt;0,'TASKS AND ROAD SEGMENT MATRIX'!AQ32-1,"-")</f>
        <v>-</v>
      </c>
      <c r="AE32" s="23" t="str">
        <f aca="false">IF('TASKS AND ROAD SEGMENT MATRIX'!AR32-1&gt;0,'TASKS AND ROAD SEGMENT MATRIX'!AR32-1,"-")</f>
        <v>-</v>
      </c>
      <c r="AF32" s="23" t="str">
        <f aca="false">IF('TASKS AND ROAD SEGMENT MATRIX'!AS32-1&gt;0,'TASKS AND ROAD SEGMENT MATRIX'!AS32-1,"-")</f>
        <v>-</v>
      </c>
      <c r="AG32" s="23" t="str">
        <f aca="false">IF('TASKS AND ROAD SEGMENT MATRIX'!AT32-1&gt;0,'TASKS AND ROAD SEGMENT MATRIX'!AT32-1,"-")</f>
        <v>-</v>
      </c>
      <c r="AH32" s="23" t="str">
        <f aca="false">IF('TASKS AND ROAD SEGMENT MATRIX'!AU32-1&gt;0,'TASKS AND ROAD SEGMENT MATRIX'!AU32-1,"-")</f>
        <v>-</v>
      </c>
      <c r="AI32" s="23" t="str">
        <f aca="false">IF('TASKS AND ROAD SEGMENT MATRIX'!AV32-1&gt;0,'TASKS AND ROAD SEGMENT MATRIX'!AV32-1,"-")</f>
        <v>-</v>
      </c>
      <c r="AJ32" s="23" t="str">
        <f aca="false">IF('TASKS AND ROAD SEGMENT MATRIX'!AW32-1&gt;0,'TASKS AND ROAD SEGMENT MATRIX'!AW32-1,"-")</f>
        <v>-</v>
      </c>
      <c r="AK32" s="23" t="n">
        <f aca="false">IF('TASKS AND ROAD SEGMENT MATRIX'!AX32-1&gt;0,'TASKS AND ROAD SEGMENT MATRIX'!AX32-1,"-")</f>
        <v>0.262479193218041</v>
      </c>
      <c r="AL32" s="23" t="n">
        <f aca="false">IF('TASKS AND ROAD SEGMENT MATRIX'!AY32-1&gt;0,'TASKS AND ROAD SEGMENT MATRIX'!AY32-1,"-")</f>
        <v>0.262479193218041</v>
      </c>
      <c r="AM32" s="23" t="str">
        <f aca="false">IF('TASKS AND ROAD SEGMENT MATRIX'!AZ32-1&gt;0,'TASKS AND ROAD SEGMENT MATRIX'!AZ32-1,"-")</f>
        <v>-</v>
      </c>
      <c r="AN32" s="23" t="str">
        <f aca="false">IF('TASKS AND ROAD SEGMENT MATRIX'!BA32-1&gt;0,'TASKS AND ROAD SEGMENT MATRIX'!BA32-1,"-")</f>
        <v>-</v>
      </c>
      <c r="AO32" s="23" t="str">
        <f aca="false">IF('TASKS AND ROAD SEGMENT MATRIX'!BB32-1&gt;0,'TASKS AND ROAD SEGMENT MATRIX'!BB32-1,"-")</f>
        <v>-</v>
      </c>
      <c r="AP32" s="23" t="str">
        <f aca="false">IF('TASKS AND ROAD SEGMENT MATRIX'!BC32-1&gt;0,'TASKS AND ROAD SEGMENT MATRIX'!BC32-1,"-")</f>
        <v>-</v>
      </c>
      <c r="AQ32" s="23" t="str">
        <f aca="false">IF('TASKS AND ROAD SEGMENT MATRIX'!BD32-1&gt;0,'TASKS AND ROAD SEGMENT MATRIX'!BD32-1,"-")</f>
        <v>-</v>
      </c>
      <c r="AR32" s="23" t="str">
        <f aca="false">IF('TASKS AND ROAD SEGMENT MATRIX'!BE32-1&gt;0,'TASKS AND ROAD SEGMENT MATRIX'!BE32-1,"-")</f>
        <v>-</v>
      </c>
      <c r="AS32" s="23" t="n">
        <f aca="false">IF('TASKS AND ROAD SEGMENT MATRIX'!BF32-1&gt;0,'TASKS AND ROAD SEGMENT MATRIX'!BF32-1,"-")</f>
        <v>0.262479193218041</v>
      </c>
      <c r="AT32" s="23" t="n">
        <f aca="false">IF('TASKS AND ROAD SEGMENT MATRIX'!BG32-1&gt;0,'TASKS AND ROAD SEGMENT MATRIX'!BG32-1,"-")</f>
        <v>0.262479193218041</v>
      </c>
      <c r="AU32" s="23" t="str">
        <f aca="false">IF('TASKS AND ROAD SEGMENT MATRIX'!BH32-1&gt;0,'TASKS AND ROAD SEGMENT MATRIX'!BH32-1,"-")</f>
        <v>-</v>
      </c>
    </row>
    <row r="33" customFormat="false" ht="13.8" hidden="false" customHeight="false" outlineLevel="0" collapsed="false">
      <c r="A33" s="9" t="s">
        <v>69</v>
      </c>
      <c r="B33" s="0" t="s">
        <v>119</v>
      </c>
      <c r="C33" s="23" t="str">
        <f aca="false">IF('TASKS AND ROAD SEGMENT MATRIX'!P33-1&gt;0,'TASKS AND ROAD SEGMENT MATRIX'!P33-1,"-")</f>
        <v>-</v>
      </c>
      <c r="D33" s="23" t="str">
        <f aca="false">IF('TASKS AND ROAD SEGMENT MATRIX'!Q33-1&gt;0,'TASKS AND ROAD SEGMENT MATRIX'!Q33-1,"-")</f>
        <v>-</v>
      </c>
      <c r="E33" s="23" t="str">
        <f aca="false">IF('TASKS AND ROAD SEGMENT MATRIX'!R33-1&gt;0,'TASKS AND ROAD SEGMENT MATRIX'!R33-1,"-")</f>
        <v>-</v>
      </c>
      <c r="F33" s="23" t="str">
        <f aca="false">IF('TASKS AND ROAD SEGMENT MATRIX'!S33-1&gt;0,'TASKS AND ROAD SEGMENT MATRIX'!S33-1,"-")</f>
        <v>-</v>
      </c>
      <c r="G33" s="23" t="str">
        <f aca="false">IF('TASKS AND ROAD SEGMENT MATRIX'!T33-1&gt;0,'TASKS AND ROAD SEGMENT MATRIX'!T33-1,"-")</f>
        <v>-</v>
      </c>
      <c r="H33" s="23" t="str">
        <f aca="false">IF('TASKS AND ROAD SEGMENT MATRIX'!U33-1&gt;0,'TASKS AND ROAD SEGMENT MATRIX'!U33-1,"-")</f>
        <v>-</v>
      </c>
      <c r="I33" s="23" t="str">
        <f aca="false">IF('TASKS AND ROAD SEGMENT MATRIX'!V33-1&gt;0,'TASKS AND ROAD SEGMENT MATRIX'!V33-1,"-")</f>
        <v>-</v>
      </c>
      <c r="J33" s="23" t="str">
        <f aca="false">IF('TASKS AND ROAD SEGMENT MATRIX'!W33-1&gt;0,'TASKS AND ROAD SEGMENT MATRIX'!W33-1,"-")</f>
        <v>-</v>
      </c>
      <c r="K33" s="23" t="str">
        <f aca="false">IF('TASKS AND ROAD SEGMENT MATRIX'!X33-1&gt;0,'TASKS AND ROAD SEGMENT MATRIX'!X33-1,"-")</f>
        <v>-</v>
      </c>
      <c r="L33" s="23" t="n">
        <f aca="false">IF('TASKS AND ROAD SEGMENT MATRIX'!Y33-1&gt;0,'TASKS AND ROAD SEGMENT MATRIX'!Y33-1,"-")</f>
        <v>0.314975031861649</v>
      </c>
      <c r="M33" s="23" t="n">
        <f aca="false">IF('TASKS AND ROAD SEGMENT MATRIX'!Z33-1&gt;0,'TASKS AND ROAD SEGMENT MATRIX'!Z33-1,"-")</f>
        <v>0.314975031861649</v>
      </c>
      <c r="N33" s="23" t="n">
        <f aca="false">IF('TASKS AND ROAD SEGMENT MATRIX'!AA33-1&gt;0,'TASKS AND ROAD SEGMENT MATRIX'!AA33-1,"-")</f>
        <v>0.629950063723298</v>
      </c>
      <c r="O33" s="23" t="str">
        <f aca="false">IF('TASKS AND ROAD SEGMENT MATRIX'!AB33-1&gt;0,'TASKS AND ROAD SEGMENT MATRIX'!AB33-1,"-")</f>
        <v>-</v>
      </c>
      <c r="P33" s="23" t="str">
        <f aca="false">IF('TASKS AND ROAD SEGMENT MATRIX'!AC33-1&gt;0,'TASKS AND ROAD SEGMENT MATRIX'!AC33-1,"-")</f>
        <v>-</v>
      </c>
      <c r="Q33" s="23" t="str">
        <f aca="false">IF('TASKS AND ROAD SEGMENT MATRIX'!AD33-1&gt;0,'TASKS AND ROAD SEGMENT MATRIX'!AD33-1,"-")</f>
        <v>-</v>
      </c>
      <c r="R33" s="23" t="str">
        <f aca="false">IF('TASKS AND ROAD SEGMENT MATRIX'!AE33-1&gt;0,'TASKS AND ROAD SEGMENT MATRIX'!AE33-1,"-")</f>
        <v>-</v>
      </c>
      <c r="S33" s="23" t="n">
        <f aca="false">IF('TASKS AND ROAD SEGMENT MATRIX'!AF33-1&gt;0,'TASKS AND ROAD SEGMENT MATRIX'!AF33-1,"-")</f>
        <v>0.314975031861649</v>
      </c>
      <c r="T33" s="23" t="n">
        <f aca="false">IF('TASKS AND ROAD SEGMENT MATRIX'!AG33-1&gt;0,'TASKS AND ROAD SEGMENT MATRIX'!AG33-1,"-")</f>
        <v>0.629950063723298</v>
      </c>
      <c r="U33" s="23" t="n">
        <f aca="false">IF('TASKS AND ROAD SEGMENT MATRIX'!AH33-1&gt;0,'TASKS AND ROAD SEGMENT MATRIX'!AH33-1,"-")</f>
        <v>0.629950063723298</v>
      </c>
      <c r="V33" s="23" t="n">
        <f aca="false">IF('TASKS AND ROAD SEGMENT MATRIX'!AI33-1&gt;0,'TASKS AND ROAD SEGMENT MATRIX'!AI33-1,"-")</f>
        <v>0.314975031861649</v>
      </c>
      <c r="W33" s="23" t="n">
        <f aca="false">IF('TASKS AND ROAD SEGMENT MATRIX'!AJ33-1&gt;0,'TASKS AND ROAD SEGMENT MATRIX'!AJ33-1,"-")</f>
        <v>0.314975031861649</v>
      </c>
      <c r="X33" s="23" t="str">
        <f aca="false">IF('TASKS AND ROAD SEGMENT MATRIX'!AK33-1&gt;0,'TASKS AND ROAD SEGMENT MATRIX'!AK33-1,"-")</f>
        <v>-</v>
      </c>
      <c r="Y33" s="23" t="n">
        <f aca="false">IF('TASKS AND ROAD SEGMENT MATRIX'!AL33-1&gt;0,'TASKS AND ROAD SEGMENT MATRIX'!AL33-1,"-")</f>
        <v>0.629950063723298</v>
      </c>
      <c r="Z33" s="23" t="n">
        <f aca="false">IF('TASKS AND ROAD SEGMENT MATRIX'!AM33-1&gt;0,'TASKS AND ROAD SEGMENT MATRIX'!AM33-1,"-")</f>
        <v>0.629950063723298</v>
      </c>
      <c r="AA33" s="23" t="n">
        <f aca="false">IF('TASKS AND ROAD SEGMENT MATRIX'!AN33-1&gt;0,'TASKS AND ROAD SEGMENT MATRIX'!AN33-1,"-")</f>
        <v>0.314975031861649</v>
      </c>
      <c r="AB33" s="23" t="n">
        <f aca="false">IF('TASKS AND ROAD SEGMENT MATRIX'!AO33-1&gt;0,'TASKS AND ROAD SEGMENT MATRIX'!AO33-1,"-")</f>
        <v>0.314975031861649</v>
      </c>
      <c r="AC33" s="23" t="n">
        <f aca="false">IF('TASKS AND ROAD SEGMENT MATRIX'!AP33-1&gt;0,'TASKS AND ROAD SEGMENT MATRIX'!AP33-1,"-")</f>
        <v>0.314975031861649</v>
      </c>
      <c r="AD33" s="23" t="str">
        <f aca="false">IF('TASKS AND ROAD SEGMENT MATRIX'!AQ33-1&gt;0,'TASKS AND ROAD SEGMENT MATRIX'!AQ33-1,"-")</f>
        <v>-</v>
      </c>
      <c r="AE33" s="23" t="str">
        <f aca="false">IF('TASKS AND ROAD SEGMENT MATRIX'!AR33-1&gt;0,'TASKS AND ROAD SEGMENT MATRIX'!AR33-1,"-")</f>
        <v>-</v>
      </c>
      <c r="AF33" s="23" t="str">
        <f aca="false">IF('TASKS AND ROAD SEGMENT MATRIX'!AS33-1&gt;0,'TASKS AND ROAD SEGMENT MATRIX'!AS33-1,"-")</f>
        <v>-</v>
      </c>
      <c r="AG33" s="23" t="str">
        <f aca="false">IF('TASKS AND ROAD SEGMENT MATRIX'!AT33-1&gt;0,'TASKS AND ROAD SEGMENT MATRIX'!AT33-1,"-")</f>
        <v>-</v>
      </c>
      <c r="AH33" s="23" t="str">
        <f aca="false">IF('TASKS AND ROAD SEGMENT MATRIX'!AU33-1&gt;0,'TASKS AND ROAD SEGMENT MATRIX'!AU33-1,"-")</f>
        <v>-</v>
      </c>
      <c r="AI33" s="23" t="str">
        <f aca="false">IF('TASKS AND ROAD SEGMENT MATRIX'!AV33-1&gt;0,'TASKS AND ROAD SEGMENT MATRIX'!AV33-1,"-")</f>
        <v>-</v>
      </c>
      <c r="AJ33" s="23" t="str">
        <f aca="false">IF('TASKS AND ROAD SEGMENT MATRIX'!AW33-1&gt;0,'TASKS AND ROAD SEGMENT MATRIX'!AW33-1,"-")</f>
        <v>-</v>
      </c>
      <c r="AK33" s="23" t="n">
        <f aca="false">IF('TASKS AND ROAD SEGMENT MATRIX'!AX33-1&gt;0,'TASKS AND ROAD SEGMENT MATRIX'!AX33-1,"-")</f>
        <v>0.314975031861649</v>
      </c>
      <c r="AL33" s="23" t="n">
        <f aca="false">IF('TASKS AND ROAD SEGMENT MATRIX'!AY33-1&gt;0,'TASKS AND ROAD SEGMENT MATRIX'!AY33-1,"-")</f>
        <v>0.314975031861649</v>
      </c>
      <c r="AM33" s="23" t="str">
        <f aca="false">IF('TASKS AND ROAD SEGMENT MATRIX'!AZ33-1&gt;0,'TASKS AND ROAD SEGMENT MATRIX'!AZ33-1,"-")</f>
        <v>-</v>
      </c>
      <c r="AN33" s="23" t="str">
        <f aca="false">IF('TASKS AND ROAD SEGMENT MATRIX'!BA33-1&gt;0,'TASKS AND ROAD SEGMENT MATRIX'!BA33-1,"-")</f>
        <v>-</v>
      </c>
      <c r="AO33" s="23" t="str">
        <f aca="false">IF('TASKS AND ROAD SEGMENT MATRIX'!BB33-1&gt;0,'TASKS AND ROAD SEGMENT MATRIX'!BB33-1,"-")</f>
        <v>-</v>
      </c>
      <c r="AP33" s="23" t="str">
        <f aca="false">IF('TASKS AND ROAD SEGMENT MATRIX'!BC33-1&gt;0,'TASKS AND ROAD SEGMENT MATRIX'!BC33-1,"-")</f>
        <v>-</v>
      </c>
      <c r="AQ33" s="23" t="str">
        <f aca="false">IF('TASKS AND ROAD SEGMENT MATRIX'!BD33-1&gt;0,'TASKS AND ROAD SEGMENT MATRIX'!BD33-1,"-")</f>
        <v>-</v>
      </c>
      <c r="AR33" s="23" t="str">
        <f aca="false">IF('TASKS AND ROAD SEGMENT MATRIX'!BE33-1&gt;0,'TASKS AND ROAD SEGMENT MATRIX'!BE33-1,"-")</f>
        <v>-</v>
      </c>
      <c r="AS33" s="23" t="n">
        <f aca="false">IF('TASKS AND ROAD SEGMENT MATRIX'!BF33-1&gt;0,'TASKS AND ROAD SEGMENT MATRIX'!BF33-1,"-")</f>
        <v>0.314975031861649</v>
      </c>
      <c r="AT33" s="23" t="n">
        <f aca="false">IF('TASKS AND ROAD SEGMENT MATRIX'!BG33-1&gt;0,'TASKS AND ROAD SEGMENT MATRIX'!BG33-1,"-")</f>
        <v>0.314975031861649</v>
      </c>
      <c r="AU33" s="23" t="str">
        <f aca="false">IF('TASKS AND ROAD SEGMENT MATRIX'!BH33-1&gt;0,'TASKS AND ROAD SEGMENT MATRIX'!BH33-1,"-")</f>
        <v>-</v>
      </c>
    </row>
    <row r="34" customFormat="false" ht="13.8" hidden="false" customHeight="false" outlineLevel="0" collapsed="false">
      <c r="A34" s="19" t="s">
        <v>70</v>
      </c>
      <c r="B34" s="0" t="s">
        <v>112</v>
      </c>
      <c r="C34" s="23" t="str">
        <f aca="false">IF('TASKS AND ROAD SEGMENT MATRIX'!P34-1&gt;0,'TASKS AND ROAD SEGMENT MATRIX'!P34-1,"-")</f>
        <v>-</v>
      </c>
      <c r="D34" s="23" t="str">
        <f aca="false">IF('TASKS AND ROAD SEGMENT MATRIX'!Q34-1&gt;0,'TASKS AND ROAD SEGMENT MATRIX'!Q34-1,"-")</f>
        <v>-</v>
      </c>
      <c r="E34" s="23" t="str">
        <f aca="false">IF('TASKS AND ROAD SEGMENT MATRIX'!R34-1&gt;0,'TASKS AND ROAD SEGMENT MATRIX'!R34-1,"-")</f>
        <v>-</v>
      </c>
      <c r="F34" s="23" t="str">
        <f aca="false">IF('TASKS AND ROAD SEGMENT MATRIX'!S34-1&gt;0,'TASKS AND ROAD SEGMENT MATRIX'!S34-1,"-")</f>
        <v>-</v>
      </c>
      <c r="G34" s="23" t="str">
        <f aca="false">IF('TASKS AND ROAD SEGMENT MATRIX'!T34-1&gt;0,'TASKS AND ROAD SEGMENT MATRIX'!T34-1,"-")</f>
        <v>-</v>
      </c>
      <c r="H34" s="23" t="str">
        <f aca="false">IF('TASKS AND ROAD SEGMENT MATRIX'!U34-1&gt;0,'TASKS AND ROAD SEGMENT MATRIX'!U34-1,"-")</f>
        <v>-</v>
      </c>
      <c r="I34" s="23" t="str">
        <f aca="false">IF('TASKS AND ROAD SEGMENT MATRIX'!V34-1&gt;0,'TASKS AND ROAD SEGMENT MATRIX'!V34-1,"-")</f>
        <v>-</v>
      </c>
      <c r="J34" s="23" t="n">
        <f aca="false">IF('TASKS AND ROAD SEGMENT MATRIX'!W34-1&gt;0,'TASKS AND ROAD SEGMENT MATRIX'!W34-1,"-")</f>
        <v>0.32997384290268</v>
      </c>
      <c r="K34" s="23" t="n">
        <f aca="false">IF('TASKS AND ROAD SEGMENT MATRIX'!X34-1&gt;0,'TASKS AND ROAD SEGMENT MATRIX'!X34-1,"-")</f>
        <v>0.32997384290268</v>
      </c>
      <c r="L34" s="23" t="n">
        <f aca="false">IF('TASKS AND ROAD SEGMENT MATRIX'!Y34-1&gt;0,'TASKS AND ROAD SEGMENT MATRIX'!Y34-1,"-")</f>
        <v>0.659947685805359</v>
      </c>
      <c r="M34" s="23" t="str">
        <f aca="false">IF('TASKS AND ROAD SEGMENT MATRIX'!Z34-1&gt;0,'TASKS AND ROAD SEGMENT MATRIX'!Z34-1,"-")</f>
        <v>-</v>
      </c>
      <c r="N34" s="23" t="str">
        <f aca="false">IF('TASKS AND ROAD SEGMENT MATRIX'!AA34-1&gt;0,'TASKS AND ROAD SEGMENT MATRIX'!AA34-1,"-")</f>
        <v>-</v>
      </c>
      <c r="O34" s="23" t="str">
        <f aca="false">IF('TASKS AND ROAD SEGMENT MATRIX'!AB34-1&gt;0,'TASKS AND ROAD SEGMENT MATRIX'!AB34-1,"-")</f>
        <v>-</v>
      </c>
      <c r="P34" s="23" t="str">
        <f aca="false">IF('TASKS AND ROAD SEGMENT MATRIX'!AC34-1&gt;0,'TASKS AND ROAD SEGMENT MATRIX'!AC34-1,"-")</f>
        <v>-</v>
      </c>
      <c r="Q34" s="23" t="str">
        <f aca="false">IF('TASKS AND ROAD SEGMENT MATRIX'!AD34-1&gt;0,'TASKS AND ROAD SEGMENT MATRIX'!AD34-1,"-")</f>
        <v>-</v>
      </c>
      <c r="R34" s="23" t="str">
        <f aca="false">IF('TASKS AND ROAD SEGMENT MATRIX'!AE34-1&gt;0,'TASKS AND ROAD SEGMENT MATRIX'!AE34-1,"-")</f>
        <v>-</v>
      </c>
      <c r="S34" s="23" t="n">
        <f aca="false">IF('TASKS AND ROAD SEGMENT MATRIX'!AF34-1&gt;0,'TASKS AND ROAD SEGMENT MATRIX'!AF34-1,"-")</f>
        <v>0.659947685805359</v>
      </c>
      <c r="T34" s="23" t="n">
        <f aca="false">IF('TASKS AND ROAD SEGMENT MATRIX'!AG34-1&gt;0,'TASKS AND ROAD SEGMENT MATRIX'!AG34-1,"-")</f>
        <v>0.659947685805359</v>
      </c>
      <c r="U34" s="23" t="n">
        <f aca="false">IF('TASKS AND ROAD SEGMENT MATRIX'!AH34-1&gt;0,'TASKS AND ROAD SEGMENT MATRIX'!AH34-1,"-")</f>
        <v>0.32997384290268</v>
      </c>
      <c r="V34" s="23" t="str">
        <f aca="false">IF('TASKS AND ROAD SEGMENT MATRIX'!AI34-1&gt;0,'TASKS AND ROAD SEGMENT MATRIX'!AI34-1,"-")</f>
        <v>-</v>
      </c>
      <c r="W34" s="23" t="n">
        <f aca="false">IF('TASKS AND ROAD SEGMENT MATRIX'!AJ34-1&gt;0,'TASKS AND ROAD SEGMENT MATRIX'!AJ34-1,"-")</f>
        <v>0.659947685805359</v>
      </c>
      <c r="X34" s="23" t="n">
        <f aca="false">IF('TASKS AND ROAD SEGMENT MATRIX'!AK34-1&gt;0,'TASKS AND ROAD SEGMENT MATRIX'!AK34-1,"-")</f>
        <v>0.32997384290268</v>
      </c>
      <c r="Y34" s="23" t="n">
        <f aca="false">IF('TASKS AND ROAD SEGMENT MATRIX'!AL34-1&gt;0,'TASKS AND ROAD SEGMENT MATRIX'!AL34-1,"-")</f>
        <v>0.32997384290268</v>
      </c>
      <c r="Z34" s="23" t="n">
        <f aca="false">IF('TASKS AND ROAD SEGMENT MATRIX'!AM34-1&gt;0,'TASKS AND ROAD SEGMENT MATRIX'!AM34-1,"-")</f>
        <v>0.32997384290268</v>
      </c>
      <c r="AA34" s="23" t="str">
        <f aca="false">IF('TASKS AND ROAD SEGMENT MATRIX'!AN34-1&gt;0,'TASKS AND ROAD SEGMENT MATRIX'!AN34-1,"-")</f>
        <v>-</v>
      </c>
      <c r="AB34" s="23" t="str">
        <f aca="false">IF('TASKS AND ROAD SEGMENT MATRIX'!AO34-1&gt;0,'TASKS AND ROAD SEGMENT MATRIX'!AO34-1,"-")</f>
        <v>-</v>
      </c>
      <c r="AC34" s="23" t="str">
        <f aca="false">IF('TASKS AND ROAD SEGMENT MATRIX'!AP34-1&gt;0,'TASKS AND ROAD SEGMENT MATRIX'!AP34-1,"-")</f>
        <v>-</v>
      </c>
      <c r="AD34" s="23" t="str">
        <f aca="false">IF('TASKS AND ROAD SEGMENT MATRIX'!AQ34-1&gt;0,'TASKS AND ROAD SEGMENT MATRIX'!AQ34-1,"-")</f>
        <v>-</v>
      </c>
      <c r="AE34" s="23" t="str">
        <f aca="false">IF('TASKS AND ROAD SEGMENT MATRIX'!AR34-1&gt;0,'TASKS AND ROAD SEGMENT MATRIX'!AR34-1,"-")</f>
        <v>-</v>
      </c>
      <c r="AF34" s="23" t="n">
        <f aca="false">IF('TASKS AND ROAD SEGMENT MATRIX'!AS34-1&gt;0,'TASKS AND ROAD SEGMENT MATRIX'!AS34-1,"-")</f>
        <v>0.32997384290268</v>
      </c>
      <c r="AG34" s="23" t="n">
        <f aca="false">IF('TASKS AND ROAD SEGMENT MATRIX'!AT34-1&gt;0,'TASKS AND ROAD SEGMENT MATRIX'!AT34-1,"-")</f>
        <v>0.32997384290268</v>
      </c>
      <c r="AH34" s="23" t="str">
        <f aca="false">IF('TASKS AND ROAD SEGMENT MATRIX'!AU34-1&gt;0,'TASKS AND ROAD SEGMENT MATRIX'!AU34-1,"-")</f>
        <v>-</v>
      </c>
      <c r="AI34" s="23" t="n">
        <f aca="false">IF('TASKS AND ROAD SEGMENT MATRIX'!AV34-1&gt;0,'TASKS AND ROAD SEGMENT MATRIX'!AV34-1,"-")</f>
        <v>0.32997384290268</v>
      </c>
      <c r="AJ34" s="23" t="n">
        <f aca="false">IF('TASKS AND ROAD SEGMENT MATRIX'!AW34-1&gt;0,'TASKS AND ROAD SEGMENT MATRIX'!AW34-1,"-")</f>
        <v>0.32997384290268</v>
      </c>
      <c r="AK34" s="23" t="str">
        <f aca="false">IF('TASKS AND ROAD SEGMENT MATRIX'!AX34-1&gt;0,'TASKS AND ROAD SEGMENT MATRIX'!AX34-1,"-")</f>
        <v>-</v>
      </c>
      <c r="AL34" s="23" t="str">
        <f aca="false">IF('TASKS AND ROAD SEGMENT MATRIX'!AY34-1&gt;0,'TASKS AND ROAD SEGMENT MATRIX'!AY34-1,"-")</f>
        <v>-</v>
      </c>
      <c r="AM34" s="23" t="str">
        <f aca="false">IF('TASKS AND ROAD SEGMENT MATRIX'!AZ34-1&gt;0,'TASKS AND ROAD SEGMENT MATRIX'!AZ34-1,"-")</f>
        <v>-</v>
      </c>
      <c r="AN34" s="23" t="str">
        <f aca="false">IF('TASKS AND ROAD SEGMENT MATRIX'!BA34-1&gt;0,'TASKS AND ROAD SEGMENT MATRIX'!BA34-1,"-")</f>
        <v>-</v>
      </c>
      <c r="AO34" s="23" t="str">
        <f aca="false">IF('TASKS AND ROAD SEGMENT MATRIX'!BB34-1&gt;0,'TASKS AND ROAD SEGMENT MATRIX'!BB34-1,"-")</f>
        <v>-</v>
      </c>
      <c r="AP34" s="23" t="str">
        <f aca="false">IF('TASKS AND ROAD SEGMENT MATRIX'!BC34-1&gt;0,'TASKS AND ROAD SEGMENT MATRIX'!BC34-1,"-")</f>
        <v>-</v>
      </c>
      <c r="AQ34" s="23" t="str">
        <f aca="false">IF('TASKS AND ROAD SEGMENT MATRIX'!BD34-1&gt;0,'TASKS AND ROAD SEGMENT MATRIX'!BD34-1,"-")</f>
        <v>-</v>
      </c>
      <c r="AR34" s="23" t="n">
        <f aca="false">IF('TASKS AND ROAD SEGMENT MATRIX'!BE34-1&gt;0,'TASKS AND ROAD SEGMENT MATRIX'!BE34-1,"-")</f>
        <v>0.32997384290268</v>
      </c>
      <c r="AS34" s="23" t="n">
        <f aca="false">IF('TASKS AND ROAD SEGMENT MATRIX'!BF34-1&gt;0,'TASKS AND ROAD SEGMENT MATRIX'!BF34-1,"-")</f>
        <v>0.32997384290268</v>
      </c>
      <c r="AT34" s="23" t="str">
        <f aca="false">IF('TASKS AND ROAD SEGMENT MATRIX'!BG34-1&gt;0,'TASKS AND ROAD SEGMENT MATRIX'!BG34-1,"-")</f>
        <v>-</v>
      </c>
      <c r="AU34" s="23" t="str">
        <f aca="false">IF('TASKS AND ROAD SEGMENT MATRIX'!BH34-1&gt;0,'TASKS AND ROAD SEGMENT MATRIX'!BH34-1,"-")</f>
        <v>-</v>
      </c>
    </row>
    <row r="35" customFormat="false" ht="13.8" hidden="false" customHeight="false" outlineLevel="0" collapsed="false">
      <c r="A35" s="19" t="s">
        <v>70</v>
      </c>
      <c r="B35" s="0" t="s">
        <v>115</v>
      </c>
      <c r="C35" s="23" t="str">
        <f aca="false">IF('TASKS AND ROAD SEGMENT MATRIX'!P35-1&gt;0,'TASKS AND ROAD SEGMENT MATRIX'!P35-1,"-")</f>
        <v>-</v>
      </c>
      <c r="D35" s="23" t="str">
        <f aca="false">IF('TASKS AND ROAD SEGMENT MATRIX'!Q35-1&gt;0,'TASKS AND ROAD SEGMENT MATRIX'!Q35-1,"-")</f>
        <v>-</v>
      </c>
      <c r="E35" s="23" t="str">
        <f aca="false">IF('TASKS AND ROAD SEGMENT MATRIX'!R35-1&gt;0,'TASKS AND ROAD SEGMENT MATRIX'!R35-1,"-")</f>
        <v>-</v>
      </c>
      <c r="F35" s="23" t="str">
        <f aca="false">IF('TASKS AND ROAD SEGMENT MATRIX'!S35-1&gt;0,'TASKS AND ROAD SEGMENT MATRIX'!S35-1,"-")</f>
        <v>-</v>
      </c>
      <c r="G35" s="23" t="str">
        <f aca="false">IF('TASKS AND ROAD SEGMENT MATRIX'!T35-1&gt;0,'TASKS AND ROAD SEGMENT MATRIX'!T35-1,"-")</f>
        <v>-</v>
      </c>
      <c r="H35" s="23" t="str">
        <f aca="false">IF('TASKS AND ROAD SEGMENT MATRIX'!U35-1&gt;0,'TASKS AND ROAD SEGMENT MATRIX'!U35-1,"-")</f>
        <v>-</v>
      </c>
      <c r="I35" s="23" t="str">
        <f aca="false">IF('TASKS AND ROAD SEGMENT MATRIX'!V35-1&gt;0,'TASKS AND ROAD SEGMENT MATRIX'!V35-1,"-")</f>
        <v>-</v>
      </c>
      <c r="J35" s="23" t="n">
        <f aca="false">IF('TASKS AND ROAD SEGMENT MATRIX'!W35-1&gt;0,'TASKS AND ROAD SEGMENT MATRIX'!W35-1,"-")</f>
        <v>0.49496076435402</v>
      </c>
      <c r="K35" s="23" t="n">
        <f aca="false">IF('TASKS AND ROAD SEGMENT MATRIX'!X35-1&gt;0,'TASKS AND ROAD SEGMENT MATRIX'!X35-1,"-")</f>
        <v>0.49496076435402</v>
      </c>
      <c r="L35" s="23" t="n">
        <f aca="false">IF('TASKS AND ROAD SEGMENT MATRIX'!Y35-1&gt;0,'TASKS AND ROAD SEGMENT MATRIX'!Y35-1,"-")</f>
        <v>0.989921528708039</v>
      </c>
      <c r="M35" s="23" t="str">
        <f aca="false">IF('TASKS AND ROAD SEGMENT MATRIX'!Z35-1&gt;0,'TASKS AND ROAD SEGMENT MATRIX'!Z35-1,"-")</f>
        <v>-</v>
      </c>
      <c r="N35" s="23" t="str">
        <f aca="false">IF('TASKS AND ROAD SEGMENT MATRIX'!AA35-1&gt;0,'TASKS AND ROAD SEGMENT MATRIX'!AA35-1,"-")</f>
        <v>-</v>
      </c>
      <c r="O35" s="23" t="str">
        <f aca="false">IF('TASKS AND ROAD SEGMENT MATRIX'!AB35-1&gt;0,'TASKS AND ROAD SEGMENT MATRIX'!AB35-1,"-")</f>
        <v>-</v>
      </c>
      <c r="P35" s="23" t="str">
        <f aca="false">IF('TASKS AND ROAD SEGMENT MATRIX'!AC35-1&gt;0,'TASKS AND ROAD SEGMENT MATRIX'!AC35-1,"-")</f>
        <v>-</v>
      </c>
      <c r="Q35" s="23" t="str">
        <f aca="false">IF('TASKS AND ROAD SEGMENT MATRIX'!AD35-1&gt;0,'TASKS AND ROAD SEGMENT MATRIX'!AD35-1,"-")</f>
        <v>-</v>
      </c>
      <c r="R35" s="23" t="str">
        <f aca="false">IF('TASKS AND ROAD SEGMENT MATRIX'!AE35-1&gt;0,'TASKS AND ROAD SEGMENT MATRIX'!AE35-1,"-")</f>
        <v>-</v>
      </c>
      <c r="S35" s="23" t="n">
        <f aca="false">IF('TASKS AND ROAD SEGMENT MATRIX'!AF35-1&gt;0,'TASKS AND ROAD SEGMENT MATRIX'!AF35-1,"-")</f>
        <v>0.989921528708039</v>
      </c>
      <c r="T35" s="23" t="n">
        <f aca="false">IF('TASKS AND ROAD SEGMENT MATRIX'!AG35-1&gt;0,'TASKS AND ROAD SEGMENT MATRIX'!AG35-1,"-")</f>
        <v>0.989921528708039</v>
      </c>
      <c r="U35" s="23" t="n">
        <f aca="false">IF('TASKS AND ROAD SEGMENT MATRIX'!AH35-1&gt;0,'TASKS AND ROAD SEGMENT MATRIX'!AH35-1,"-")</f>
        <v>0.49496076435402</v>
      </c>
      <c r="V35" s="23" t="n">
        <f aca="false">IF('TASKS AND ROAD SEGMENT MATRIX'!AI35-1&gt;0,'TASKS AND ROAD SEGMENT MATRIX'!AI35-1,"-")</f>
        <v>0.989921528708039</v>
      </c>
      <c r="W35" s="23" t="n">
        <f aca="false">IF('TASKS AND ROAD SEGMENT MATRIX'!AJ35-1&gt;0,'TASKS AND ROAD SEGMENT MATRIX'!AJ35-1,"-")</f>
        <v>0.989921528708039</v>
      </c>
      <c r="X35" s="23" t="n">
        <f aca="false">IF('TASKS AND ROAD SEGMENT MATRIX'!AK35-1&gt;0,'TASKS AND ROAD SEGMENT MATRIX'!AK35-1,"-")</f>
        <v>0.49496076435402</v>
      </c>
      <c r="Y35" s="23" t="n">
        <f aca="false">IF('TASKS AND ROAD SEGMENT MATRIX'!AL35-1&gt;0,'TASKS AND ROAD SEGMENT MATRIX'!AL35-1,"-")</f>
        <v>0.49496076435402</v>
      </c>
      <c r="Z35" s="23" t="n">
        <f aca="false">IF('TASKS AND ROAD SEGMENT MATRIX'!AM35-1&gt;0,'TASKS AND ROAD SEGMENT MATRIX'!AM35-1,"-")</f>
        <v>0.49496076435402</v>
      </c>
      <c r="AA35" s="23" t="str">
        <f aca="false">IF('TASKS AND ROAD SEGMENT MATRIX'!AN35-1&gt;0,'TASKS AND ROAD SEGMENT MATRIX'!AN35-1,"-")</f>
        <v>-</v>
      </c>
      <c r="AB35" s="23" t="str">
        <f aca="false">IF('TASKS AND ROAD SEGMENT MATRIX'!AO35-1&gt;0,'TASKS AND ROAD SEGMENT MATRIX'!AO35-1,"-")</f>
        <v>-</v>
      </c>
      <c r="AC35" s="23" t="str">
        <f aca="false">IF('TASKS AND ROAD SEGMENT MATRIX'!AP35-1&gt;0,'TASKS AND ROAD SEGMENT MATRIX'!AP35-1,"-")</f>
        <v>-</v>
      </c>
      <c r="AD35" s="23" t="str">
        <f aca="false">IF('TASKS AND ROAD SEGMENT MATRIX'!AQ35-1&gt;0,'TASKS AND ROAD SEGMENT MATRIX'!AQ35-1,"-")</f>
        <v>-</v>
      </c>
      <c r="AE35" s="23" t="str">
        <f aca="false">IF('TASKS AND ROAD SEGMENT MATRIX'!AR35-1&gt;0,'TASKS AND ROAD SEGMENT MATRIX'!AR35-1,"-")</f>
        <v>-</v>
      </c>
      <c r="AF35" s="23" t="n">
        <f aca="false">IF('TASKS AND ROAD SEGMENT MATRIX'!AS35-1&gt;0,'TASKS AND ROAD SEGMENT MATRIX'!AS35-1,"-")</f>
        <v>0.49496076435402</v>
      </c>
      <c r="AG35" s="23" t="n">
        <f aca="false">IF('TASKS AND ROAD SEGMENT MATRIX'!AT35-1&gt;0,'TASKS AND ROAD SEGMENT MATRIX'!AT35-1,"-")</f>
        <v>0.49496076435402</v>
      </c>
      <c r="AH35" s="23" t="str">
        <f aca="false">IF('TASKS AND ROAD SEGMENT MATRIX'!AU35-1&gt;0,'TASKS AND ROAD SEGMENT MATRIX'!AU35-1,"-")</f>
        <v>-</v>
      </c>
      <c r="AI35" s="23" t="n">
        <f aca="false">IF('TASKS AND ROAD SEGMENT MATRIX'!AV35-1&gt;0,'TASKS AND ROAD SEGMENT MATRIX'!AV35-1,"-")</f>
        <v>0.49496076435402</v>
      </c>
      <c r="AJ35" s="23" t="n">
        <f aca="false">IF('TASKS AND ROAD SEGMENT MATRIX'!AW35-1&gt;0,'TASKS AND ROAD SEGMENT MATRIX'!AW35-1,"-")</f>
        <v>0.49496076435402</v>
      </c>
      <c r="AK35" s="23" t="str">
        <f aca="false">IF('TASKS AND ROAD SEGMENT MATRIX'!AX35-1&gt;0,'TASKS AND ROAD SEGMENT MATRIX'!AX35-1,"-")</f>
        <v>-</v>
      </c>
      <c r="AL35" s="23" t="str">
        <f aca="false">IF('TASKS AND ROAD SEGMENT MATRIX'!AY35-1&gt;0,'TASKS AND ROAD SEGMENT MATRIX'!AY35-1,"-")</f>
        <v>-</v>
      </c>
      <c r="AM35" s="23" t="str">
        <f aca="false">IF('TASKS AND ROAD SEGMENT MATRIX'!AZ35-1&gt;0,'TASKS AND ROAD SEGMENT MATRIX'!AZ35-1,"-")</f>
        <v>-</v>
      </c>
      <c r="AN35" s="23" t="str">
        <f aca="false">IF('TASKS AND ROAD SEGMENT MATRIX'!BA35-1&gt;0,'TASKS AND ROAD SEGMENT MATRIX'!BA35-1,"-")</f>
        <v>-</v>
      </c>
      <c r="AO35" s="23" t="str">
        <f aca="false">IF('TASKS AND ROAD SEGMENT MATRIX'!BB35-1&gt;0,'TASKS AND ROAD SEGMENT MATRIX'!BB35-1,"-")</f>
        <v>-</v>
      </c>
      <c r="AP35" s="23" t="str">
        <f aca="false">IF('TASKS AND ROAD SEGMENT MATRIX'!BC35-1&gt;0,'TASKS AND ROAD SEGMENT MATRIX'!BC35-1,"-")</f>
        <v>-</v>
      </c>
      <c r="AQ35" s="23" t="str">
        <f aca="false">IF('TASKS AND ROAD SEGMENT MATRIX'!BD35-1&gt;0,'TASKS AND ROAD SEGMENT MATRIX'!BD35-1,"-")</f>
        <v>-</v>
      </c>
      <c r="AR35" s="23" t="n">
        <f aca="false">IF('TASKS AND ROAD SEGMENT MATRIX'!BE35-1&gt;0,'TASKS AND ROAD SEGMENT MATRIX'!BE35-1,"-")</f>
        <v>0.49496076435402</v>
      </c>
      <c r="AS35" s="23" t="n">
        <f aca="false">IF('TASKS AND ROAD SEGMENT MATRIX'!BF35-1&gt;0,'TASKS AND ROAD SEGMENT MATRIX'!BF35-1,"-")</f>
        <v>0.49496076435402</v>
      </c>
      <c r="AT35" s="23" t="str">
        <f aca="false">IF('TASKS AND ROAD SEGMENT MATRIX'!BG35-1&gt;0,'TASKS AND ROAD SEGMENT MATRIX'!BG35-1,"-")</f>
        <v>-</v>
      </c>
      <c r="AU35" s="23" t="str">
        <f aca="false">IF('TASKS AND ROAD SEGMENT MATRIX'!BH35-1&gt;0,'TASKS AND ROAD SEGMENT MATRIX'!BH35-1,"-")</f>
        <v>-</v>
      </c>
    </row>
    <row r="36" customFormat="false" ht="13.8" hidden="false" customHeight="false" outlineLevel="0" collapsed="false">
      <c r="A36" s="19" t="s">
        <v>70</v>
      </c>
      <c r="B36" s="0" t="s">
        <v>117</v>
      </c>
      <c r="C36" s="23" t="str">
        <f aca="false">IF('TASKS AND ROAD SEGMENT MATRIX'!P36-1&gt;0,'TASKS AND ROAD SEGMENT MATRIX'!P36-1,"-")</f>
        <v>-</v>
      </c>
      <c r="D36" s="23" t="str">
        <f aca="false">IF('TASKS AND ROAD SEGMENT MATRIX'!Q36-1&gt;0,'TASKS AND ROAD SEGMENT MATRIX'!Q36-1,"-")</f>
        <v>-</v>
      </c>
      <c r="E36" s="23" t="str">
        <f aca="false">IF('TASKS AND ROAD SEGMENT MATRIX'!R36-1&gt;0,'TASKS AND ROAD SEGMENT MATRIX'!R36-1,"-")</f>
        <v>-</v>
      </c>
      <c r="F36" s="23" t="str">
        <f aca="false">IF('TASKS AND ROAD SEGMENT MATRIX'!S36-1&gt;0,'TASKS AND ROAD SEGMENT MATRIX'!S36-1,"-")</f>
        <v>-</v>
      </c>
      <c r="G36" s="23" t="str">
        <f aca="false">IF('TASKS AND ROAD SEGMENT MATRIX'!T36-1&gt;0,'TASKS AND ROAD SEGMENT MATRIX'!T36-1,"-")</f>
        <v>-</v>
      </c>
      <c r="H36" s="23" t="str">
        <f aca="false">IF('TASKS AND ROAD SEGMENT MATRIX'!U36-1&gt;0,'TASKS AND ROAD SEGMENT MATRIX'!U36-1,"-")</f>
        <v>-</v>
      </c>
      <c r="I36" s="23" t="str">
        <f aca="false">IF('TASKS AND ROAD SEGMENT MATRIX'!V36-1&gt;0,'TASKS AND ROAD SEGMENT MATRIX'!V36-1,"-")</f>
        <v>-</v>
      </c>
      <c r="J36" s="23" t="n">
        <f aca="false">IF('TASKS AND ROAD SEGMENT MATRIX'!W36-1&gt;0,'TASKS AND ROAD SEGMENT MATRIX'!W36-1,"-")</f>
        <v>0.41246730362835</v>
      </c>
      <c r="K36" s="23" t="n">
        <f aca="false">IF('TASKS AND ROAD SEGMENT MATRIX'!X36-1&gt;0,'TASKS AND ROAD SEGMENT MATRIX'!X36-1,"-")</f>
        <v>0.41246730362835</v>
      </c>
      <c r="L36" s="23" t="n">
        <f aca="false">IF('TASKS AND ROAD SEGMENT MATRIX'!Y36-1&gt;0,'TASKS AND ROAD SEGMENT MATRIX'!Y36-1,"-")</f>
        <v>0.824934607256699</v>
      </c>
      <c r="M36" s="23" t="str">
        <f aca="false">IF('TASKS AND ROAD SEGMENT MATRIX'!Z36-1&gt;0,'TASKS AND ROAD SEGMENT MATRIX'!Z36-1,"-")</f>
        <v>-</v>
      </c>
      <c r="N36" s="23" t="str">
        <f aca="false">IF('TASKS AND ROAD SEGMENT MATRIX'!AA36-1&gt;0,'TASKS AND ROAD SEGMENT MATRIX'!AA36-1,"-")</f>
        <v>-</v>
      </c>
      <c r="O36" s="23" t="str">
        <f aca="false">IF('TASKS AND ROAD SEGMENT MATRIX'!AB36-1&gt;0,'TASKS AND ROAD SEGMENT MATRIX'!AB36-1,"-")</f>
        <v>-</v>
      </c>
      <c r="P36" s="23" t="str">
        <f aca="false">IF('TASKS AND ROAD SEGMENT MATRIX'!AC36-1&gt;0,'TASKS AND ROAD SEGMENT MATRIX'!AC36-1,"-")</f>
        <v>-</v>
      </c>
      <c r="Q36" s="23" t="str">
        <f aca="false">IF('TASKS AND ROAD SEGMENT MATRIX'!AD36-1&gt;0,'TASKS AND ROAD SEGMENT MATRIX'!AD36-1,"-")</f>
        <v>-</v>
      </c>
      <c r="R36" s="23" t="str">
        <f aca="false">IF('TASKS AND ROAD SEGMENT MATRIX'!AE36-1&gt;0,'TASKS AND ROAD SEGMENT MATRIX'!AE36-1,"-")</f>
        <v>-</v>
      </c>
      <c r="S36" s="23" t="n">
        <f aca="false">IF('TASKS AND ROAD SEGMENT MATRIX'!AF36-1&gt;0,'TASKS AND ROAD SEGMENT MATRIX'!AF36-1,"-")</f>
        <v>0.824934607256699</v>
      </c>
      <c r="T36" s="23" t="n">
        <f aca="false">IF('TASKS AND ROAD SEGMENT MATRIX'!AG36-1&gt;0,'TASKS AND ROAD SEGMENT MATRIX'!AG36-1,"-")</f>
        <v>0.824934607256699</v>
      </c>
      <c r="U36" s="23" t="n">
        <f aca="false">IF('TASKS AND ROAD SEGMENT MATRIX'!AH36-1&gt;0,'TASKS AND ROAD SEGMENT MATRIX'!AH36-1,"-")</f>
        <v>0.41246730362835</v>
      </c>
      <c r="V36" s="23" t="n">
        <f aca="false">IF('TASKS AND ROAD SEGMENT MATRIX'!AI36-1&gt;0,'TASKS AND ROAD SEGMENT MATRIX'!AI36-1,"-")</f>
        <v>0.41246730362835</v>
      </c>
      <c r="W36" s="23" t="n">
        <f aca="false">IF('TASKS AND ROAD SEGMENT MATRIX'!AJ36-1&gt;0,'TASKS AND ROAD SEGMENT MATRIX'!AJ36-1,"-")</f>
        <v>0.824934607256699</v>
      </c>
      <c r="X36" s="23" t="n">
        <f aca="false">IF('TASKS AND ROAD SEGMENT MATRIX'!AK36-1&gt;0,'TASKS AND ROAD SEGMENT MATRIX'!AK36-1,"-")</f>
        <v>0.41246730362835</v>
      </c>
      <c r="Y36" s="23" t="n">
        <f aca="false">IF('TASKS AND ROAD SEGMENT MATRIX'!AL36-1&gt;0,'TASKS AND ROAD SEGMENT MATRIX'!AL36-1,"-")</f>
        <v>0.41246730362835</v>
      </c>
      <c r="Z36" s="23" t="n">
        <f aca="false">IF('TASKS AND ROAD SEGMENT MATRIX'!AM36-1&gt;0,'TASKS AND ROAD SEGMENT MATRIX'!AM36-1,"-")</f>
        <v>0.41246730362835</v>
      </c>
      <c r="AA36" s="23" t="str">
        <f aca="false">IF('TASKS AND ROAD SEGMENT MATRIX'!AN36-1&gt;0,'TASKS AND ROAD SEGMENT MATRIX'!AN36-1,"-")</f>
        <v>-</v>
      </c>
      <c r="AB36" s="23" t="str">
        <f aca="false">IF('TASKS AND ROAD SEGMENT MATRIX'!AO36-1&gt;0,'TASKS AND ROAD SEGMENT MATRIX'!AO36-1,"-")</f>
        <v>-</v>
      </c>
      <c r="AC36" s="23" t="str">
        <f aca="false">IF('TASKS AND ROAD SEGMENT MATRIX'!AP36-1&gt;0,'TASKS AND ROAD SEGMENT MATRIX'!AP36-1,"-")</f>
        <v>-</v>
      </c>
      <c r="AD36" s="23" t="str">
        <f aca="false">IF('TASKS AND ROAD SEGMENT MATRIX'!AQ36-1&gt;0,'TASKS AND ROAD SEGMENT MATRIX'!AQ36-1,"-")</f>
        <v>-</v>
      </c>
      <c r="AE36" s="23" t="str">
        <f aca="false">IF('TASKS AND ROAD SEGMENT MATRIX'!AR36-1&gt;0,'TASKS AND ROAD SEGMENT MATRIX'!AR36-1,"-")</f>
        <v>-</v>
      </c>
      <c r="AF36" s="23" t="n">
        <f aca="false">IF('TASKS AND ROAD SEGMENT MATRIX'!AS36-1&gt;0,'TASKS AND ROAD SEGMENT MATRIX'!AS36-1,"-")</f>
        <v>0.41246730362835</v>
      </c>
      <c r="AG36" s="23" t="n">
        <f aca="false">IF('TASKS AND ROAD SEGMENT MATRIX'!AT36-1&gt;0,'TASKS AND ROAD SEGMENT MATRIX'!AT36-1,"-")</f>
        <v>0.41246730362835</v>
      </c>
      <c r="AH36" s="23" t="str">
        <f aca="false">IF('TASKS AND ROAD SEGMENT MATRIX'!AU36-1&gt;0,'TASKS AND ROAD SEGMENT MATRIX'!AU36-1,"-")</f>
        <v>-</v>
      </c>
      <c r="AI36" s="23" t="n">
        <f aca="false">IF('TASKS AND ROAD SEGMENT MATRIX'!AV36-1&gt;0,'TASKS AND ROAD SEGMENT MATRIX'!AV36-1,"-")</f>
        <v>0.41246730362835</v>
      </c>
      <c r="AJ36" s="23" t="n">
        <f aca="false">IF('TASKS AND ROAD SEGMENT MATRIX'!AW36-1&gt;0,'TASKS AND ROAD SEGMENT MATRIX'!AW36-1,"-")</f>
        <v>0.41246730362835</v>
      </c>
      <c r="AK36" s="23" t="str">
        <f aca="false">IF('TASKS AND ROAD SEGMENT MATRIX'!AX36-1&gt;0,'TASKS AND ROAD SEGMENT MATRIX'!AX36-1,"-")</f>
        <v>-</v>
      </c>
      <c r="AL36" s="23" t="str">
        <f aca="false">IF('TASKS AND ROAD SEGMENT MATRIX'!AY36-1&gt;0,'TASKS AND ROAD SEGMENT MATRIX'!AY36-1,"-")</f>
        <v>-</v>
      </c>
      <c r="AM36" s="23" t="str">
        <f aca="false">IF('TASKS AND ROAD SEGMENT MATRIX'!AZ36-1&gt;0,'TASKS AND ROAD SEGMENT MATRIX'!AZ36-1,"-")</f>
        <v>-</v>
      </c>
      <c r="AN36" s="23" t="str">
        <f aca="false">IF('TASKS AND ROAD SEGMENT MATRIX'!BA36-1&gt;0,'TASKS AND ROAD SEGMENT MATRIX'!BA36-1,"-")</f>
        <v>-</v>
      </c>
      <c r="AO36" s="23" t="str">
        <f aca="false">IF('TASKS AND ROAD SEGMENT MATRIX'!BB36-1&gt;0,'TASKS AND ROAD SEGMENT MATRIX'!BB36-1,"-")</f>
        <v>-</v>
      </c>
      <c r="AP36" s="23" t="str">
        <f aca="false">IF('TASKS AND ROAD SEGMENT MATRIX'!BC36-1&gt;0,'TASKS AND ROAD SEGMENT MATRIX'!BC36-1,"-")</f>
        <v>-</v>
      </c>
      <c r="AQ36" s="23" t="str">
        <f aca="false">IF('TASKS AND ROAD SEGMENT MATRIX'!BD36-1&gt;0,'TASKS AND ROAD SEGMENT MATRIX'!BD36-1,"-")</f>
        <v>-</v>
      </c>
      <c r="AR36" s="23" t="n">
        <f aca="false">IF('TASKS AND ROAD SEGMENT MATRIX'!BE36-1&gt;0,'TASKS AND ROAD SEGMENT MATRIX'!BE36-1,"-")</f>
        <v>0.41246730362835</v>
      </c>
      <c r="AS36" s="23" t="n">
        <f aca="false">IF('TASKS AND ROAD SEGMENT MATRIX'!BF36-1&gt;0,'TASKS AND ROAD SEGMENT MATRIX'!BF36-1,"-")</f>
        <v>0.41246730362835</v>
      </c>
      <c r="AT36" s="23" t="str">
        <f aca="false">IF('TASKS AND ROAD SEGMENT MATRIX'!BG36-1&gt;0,'TASKS AND ROAD SEGMENT MATRIX'!BG36-1,"-")</f>
        <v>-</v>
      </c>
      <c r="AU36" s="23" t="str">
        <f aca="false">IF('TASKS AND ROAD SEGMENT MATRIX'!BH36-1&gt;0,'TASKS AND ROAD SEGMENT MATRIX'!BH36-1,"-")</f>
        <v>-</v>
      </c>
    </row>
    <row r="37" customFormat="false" ht="13.8" hidden="false" customHeight="false" outlineLevel="0" collapsed="false">
      <c r="A37" s="19" t="s">
        <v>70</v>
      </c>
      <c r="B37" s="0" t="s">
        <v>119</v>
      </c>
      <c r="C37" s="23" t="str">
        <f aca="false">IF('TASKS AND ROAD SEGMENT MATRIX'!P37-1&gt;0,'TASKS AND ROAD SEGMENT MATRIX'!P37-1,"-")</f>
        <v>-</v>
      </c>
      <c r="D37" s="23" t="str">
        <f aca="false">IF('TASKS AND ROAD SEGMENT MATRIX'!Q37-1&gt;0,'TASKS AND ROAD SEGMENT MATRIX'!Q37-1,"-")</f>
        <v>-</v>
      </c>
      <c r="E37" s="23" t="str">
        <f aca="false">IF('TASKS AND ROAD SEGMENT MATRIX'!R37-1&gt;0,'TASKS AND ROAD SEGMENT MATRIX'!R37-1,"-")</f>
        <v>-</v>
      </c>
      <c r="F37" s="23" t="str">
        <f aca="false">IF('TASKS AND ROAD SEGMENT MATRIX'!S37-1&gt;0,'TASKS AND ROAD SEGMENT MATRIX'!S37-1,"-")</f>
        <v>-</v>
      </c>
      <c r="G37" s="23" t="str">
        <f aca="false">IF('TASKS AND ROAD SEGMENT MATRIX'!T37-1&gt;0,'TASKS AND ROAD SEGMENT MATRIX'!T37-1,"-")</f>
        <v>-</v>
      </c>
      <c r="H37" s="23" t="str">
        <f aca="false">IF('TASKS AND ROAD SEGMENT MATRIX'!U37-1&gt;0,'TASKS AND ROAD SEGMENT MATRIX'!U37-1,"-")</f>
        <v>-</v>
      </c>
      <c r="I37" s="23" t="str">
        <f aca="false">IF('TASKS AND ROAD SEGMENT MATRIX'!V37-1&gt;0,'TASKS AND ROAD SEGMENT MATRIX'!V37-1,"-")</f>
        <v>-</v>
      </c>
      <c r="J37" s="23" t="n">
        <f aca="false">IF('TASKS AND ROAD SEGMENT MATRIX'!W37-1&gt;0,'TASKS AND ROAD SEGMENT MATRIX'!W37-1,"-")</f>
        <v>0.49496076435402</v>
      </c>
      <c r="K37" s="23" t="n">
        <f aca="false">IF('TASKS AND ROAD SEGMENT MATRIX'!X37-1&gt;0,'TASKS AND ROAD SEGMENT MATRIX'!X37-1,"-")</f>
        <v>0.49496076435402</v>
      </c>
      <c r="L37" s="23" t="n">
        <f aca="false">IF('TASKS AND ROAD SEGMENT MATRIX'!Y37-1&gt;0,'TASKS AND ROAD SEGMENT MATRIX'!Y37-1,"-")</f>
        <v>0.989921528708039</v>
      </c>
      <c r="M37" s="23" t="str">
        <f aca="false">IF('TASKS AND ROAD SEGMENT MATRIX'!Z37-1&gt;0,'TASKS AND ROAD SEGMENT MATRIX'!Z37-1,"-")</f>
        <v>-</v>
      </c>
      <c r="N37" s="23" t="str">
        <f aca="false">IF('TASKS AND ROAD SEGMENT MATRIX'!AA37-1&gt;0,'TASKS AND ROAD SEGMENT MATRIX'!AA37-1,"-")</f>
        <v>-</v>
      </c>
      <c r="O37" s="23" t="str">
        <f aca="false">IF('TASKS AND ROAD SEGMENT MATRIX'!AB37-1&gt;0,'TASKS AND ROAD SEGMENT MATRIX'!AB37-1,"-")</f>
        <v>-</v>
      </c>
      <c r="P37" s="23" t="str">
        <f aca="false">IF('TASKS AND ROAD SEGMENT MATRIX'!AC37-1&gt;0,'TASKS AND ROAD SEGMENT MATRIX'!AC37-1,"-")</f>
        <v>-</v>
      </c>
      <c r="Q37" s="23" t="str">
        <f aca="false">IF('TASKS AND ROAD SEGMENT MATRIX'!AD37-1&gt;0,'TASKS AND ROAD SEGMENT MATRIX'!AD37-1,"-")</f>
        <v>-</v>
      </c>
      <c r="R37" s="23" t="str">
        <f aca="false">IF('TASKS AND ROAD SEGMENT MATRIX'!AE37-1&gt;0,'TASKS AND ROAD SEGMENT MATRIX'!AE37-1,"-")</f>
        <v>-</v>
      </c>
      <c r="S37" s="23" t="n">
        <f aca="false">IF('TASKS AND ROAD SEGMENT MATRIX'!AF37-1&gt;0,'TASKS AND ROAD SEGMENT MATRIX'!AF37-1,"-")</f>
        <v>0.989921528708039</v>
      </c>
      <c r="T37" s="23" t="n">
        <f aca="false">IF('TASKS AND ROAD SEGMENT MATRIX'!AG37-1&gt;0,'TASKS AND ROAD SEGMENT MATRIX'!AG37-1,"-")</f>
        <v>0.989921528708039</v>
      </c>
      <c r="U37" s="23" t="n">
        <f aca="false">IF('TASKS AND ROAD SEGMENT MATRIX'!AH37-1&gt;0,'TASKS AND ROAD SEGMENT MATRIX'!AH37-1,"-")</f>
        <v>0.49496076435402</v>
      </c>
      <c r="V37" s="23" t="n">
        <f aca="false">IF('TASKS AND ROAD SEGMENT MATRIX'!AI37-1&gt;0,'TASKS AND ROAD SEGMENT MATRIX'!AI37-1,"-")</f>
        <v>0.989921528708039</v>
      </c>
      <c r="W37" s="23" t="n">
        <f aca="false">IF('TASKS AND ROAD SEGMENT MATRIX'!AJ37-1&gt;0,'TASKS AND ROAD SEGMENT MATRIX'!AJ37-1,"-")</f>
        <v>0.989921528708039</v>
      </c>
      <c r="X37" s="23" t="n">
        <f aca="false">IF('TASKS AND ROAD SEGMENT MATRIX'!AK37-1&gt;0,'TASKS AND ROAD SEGMENT MATRIX'!AK37-1,"-")</f>
        <v>0.49496076435402</v>
      </c>
      <c r="Y37" s="23" t="n">
        <f aca="false">IF('TASKS AND ROAD SEGMENT MATRIX'!AL37-1&gt;0,'TASKS AND ROAD SEGMENT MATRIX'!AL37-1,"-")</f>
        <v>0.49496076435402</v>
      </c>
      <c r="Z37" s="23" t="n">
        <f aca="false">IF('TASKS AND ROAD SEGMENT MATRIX'!AM37-1&gt;0,'TASKS AND ROAD SEGMENT MATRIX'!AM37-1,"-")</f>
        <v>0.49496076435402</v>
      </c>
      <c r="AA37" s="23" t="str">
        <f aca="false">IF('TASKS AND ROAD SEGMENT MATRIX'!AN37-1&gt;0,'TASKS AND ROAD SEGMENT MATRIX'!AN37-1,"-")</f>
        <v>-</v>
      </c>
      <c r="AB37" s="23" t="str">
        <f aca="false">IF('TASKS AND ROAD SEGMENT MATRIX'!AO37-1&gt;0,'TASKS AND ROAD SEGMENT MATRIX'!AO37-1,"-")</f>
        <v>-</v>
      </c>
      <c r="AC37" s="23" t="str">
        <f aca="false">IF('TASKS AND ROAD SEGMENT MATRIX'!AP37-1&gt;0,'TASKS AND ROAD SEGMENT MATRIX'!AP37-1,"-")</f>
        <v>-</v>
      </c>
      <c r="AD37" s="23" t="str">
        <f aca="false">IF('TASKS AND ROAD SEGMENT MATRIX'!AQ37-1&gt;0,'TASKS AND ROAD SEGMENT MATRIX'!AQ37-1,"-")</f>
        <v>-</v>
      </c>
      <c r="AE37" s="23" t="str">
        <f aca="false">IF('TASKS AND ROAD SEGMENT MATRIX'!AR37-1&gt;0,'TASKS AND ROAD SEGMENT MATRIX'!AR37-1,"-")</f>
        <v>-</v>
      </c>
      <c r="AF37" s="23" t="n">
        <f aca="false">IF('TASKS AND ROAD SEGMENT MATRIX'!AS37-1&gt;0,'TASKS AND ROAD SEGMENT MATRIX'!AS37-1,"-")</f>
        <v>0.49496076435402</v>
      </c>
      <c r="AG37" s="23" t="n">
        <f aca="false">IF('TASKS AND ROAD SEGMENT MATRIX'!AT37-1&gt;0,'TASKS AND ROAD SEGMENT MATRIX'!AT37-1,"-")</f>
        <v>0.49496076435402</v>
      </c>
      <c r="AH37" s="23" t="str">
        <f aca="false">IF('TASKS AND ROAD SEGMENT MATRIX'!AU37-1&gt;0,'TASKS AND ROAD SEGMENT MATRIX'!AU37-1,"-")</f>
        <v>-</v>
      </c>
      <c r="AI37" s="23" t="n">
        <f aca="false">IF('TASKS AND ROAD SEGMENT MATRIX'!AV37-1&gt;0,'TASKS AND ROAD SEGMENT MATRIX'!AV37-1,"-")</f>
        <v>0.49496076435402</v>
      </c>
      <c r="AJ37" s="23" t="n">
        <f aca="false">IF('TASKS AND ROAD SEGMENT MATRIX'!AW37-1&gt;0,'TASKS AND ROAD SEGMENT MATRIX'!AW37-1,"-")</f>
        <v>0.49496076435402</v>
      </c>
      <c r="AK37" s="23" t="str">
        <f aca="false">IF('TASKS AND ROAD SEGMENT MATRIX'!AX37-1&gt;0,'TASKS AND ROAD SEGMENT MATRIX'!AX37-1,"-")</f>
        <v>-</v>
      </c>
      <c r="AL37" s="23" t="str">
        <f aca="false">IF('TASKS AND ROAD SEGMENT MATRIX'!AY37-1&gt;0,'TASKS AND ROAD SEGMENT MATRIX'!AY37-1,"-")</f>
        <v>-</v>
      </c>
      <c r="AM37" s="23" t="str">
        <f aca="false">IF('TASKS AND ROAD SEGMENT MATRIX'!AZ37-1&gt;0,'TASKS AND ROAD SEGMENT MATRIX'!AZ37-1,"-")</f>
        <v>-</v>
      </c>
      <c r="AN37" s="23" t="str">
        <f aca="false">IF('TASKS AND ROAD SEGMENT MATRIX'!BA37-1&gt;0,'TASKS AND ROAD SEGMENT MATRIX'!BA37-1,"-")</f>
        <v>-</v>
      </c>
      <c r="AO37" s="23" t="str">
        <f aca="false">IF('TASKS AND ROAD SEGMENT MATRIX'!BB37-1&gt;0,'TASKS AND ROAD SEGMENT MATRIX'!BB37-1,"-")</f>
        <v>-</v>
      </c>
      <c r="AP37" s="23" t="str">
        <f aca="false">IF('TASKS AND ROAD SEGMENT MATRIX'!BC37-1&gt;0,'TASKS AND ROAD SEGMENT MATRIX'!BC37-1,"-")</f>
        <v>-</v>
      </c>
      <c r="AQ37" s="23" t="str">
        <f aca="false">IF('TASKS AND ROAD SEGMENT MATRIX'!BD37-1&gt;0,'TASKS AND ROAD SEGMENT MATRIX'!BD37-1,"-")</f>
        <v>-</v>
      </c>
      <c r="AR37" s="23" t="n">
        <f aca="false">IF('TASKS AND ROAD SEGMENT MATRIX'!BE37-1&gt;0,'TASKS AND ROAD SEGMENT MATRIX'!BE37-1,"-")</f>
        <v>0.49496076435402</v>
      </c>
      <c r="AS37" s="23" t="n">
        <f aca="false">IF('TASKS AND ROAD SEGMENT MATRIX'!BF37-1&gt;0,'TASKS AND ROAD SEGMENT MATRIX'!BF37-1,"-")</f>
        <v>0.49496076435402</v>
      </c>
      <c r="AT37" s="23" t="str">
        <f aca="false">IF('TASKS AND ROAD SEGMENT MATRIX'!BG37-1&gt;0,'TASKS AND ROAD SEGMENT MATRIX'!BG37-1,"-")</f>
        <v>-</v>
      </c>
      <c r="AU37" s="23" t="str">
        <f aca="false">IF('TASKS AND ROAD SEGMENT MATRIX'!BH37-1&gt;0,'TASKS AND ROAD SEGMENT MATRIX'!BH37-1,"-")</f>
        <v>-</v>
      </c>
    </row>
    <row r="38" customFormat="false" ht="13.8" hidden="false" customHeight="false" outlineLevel="0" collapsed="false">
      <c r="A38" s="0" t="s">
        <v>71</v>
      </c>
      <c r="B38" s="0" t="s">
        <v>112</v>
      </c>
      <c r="C38" s="23" t="n">
        <f aca="false">IF('TASKS AND ROAD SEGMENT MATRIX'!P38-1&gt;0,'TASKS AND ROAD SEGMENT MATRIX'!P38-1,"-")</f>
        <v>0.314151907807443</v>
      </c>
      <c r="D38" s="23" t="n">
        <f aca="false">IF('TASKS AND ROAD SEGMENT MATRIX'!Q38-1&gt;0,'TASKS AND ROAD SEGMENT MATRIX'!Q38-1,"-")</f>
        <v>0.314151907807443</v>
      </c>
      <c r="E38" s="23" t="str">
        <f aca="false">IF('TASKS AND ROAD SEGMENT MATRIX'!R38-1&gt;0,'TASKS AND ROAD SEGMENT MATRIX'!R38-1,"-")</f>
        <v>-</v>
      </c>
      <c r="F38" s="23" t="str">
        <f aca="false">IF('TASKS AND ROAD SEGMENT MATRIX'!S38-1&gt;0,'TASKS AND ROAD SEGMENT MATRIX'!S38-1,"-")</f>
        <v>-</v>
      </c>
      <c r="G38" s="23" t="str">
        <f aca="false">IF('TASKS AND ROAD SEGMENT MATRIX'!T38-1&gt;0,'TASKS AND ROAD SEGMENT MATRIX'!T38-1,"-")</f>
        <v>-</v>
      </c>
      <c r="H38" s="23" t="n">
        <f aca="false">IF('TASKS AND ROAD SEGMENT MATRIX'!U38-1&gt;0,'TASKS AND ROAD SEGMENT MATRIX'!U38-1,"-")</f>
        <v>0.314151907807443</v>
      </c>
      <c r="I38" s="23" t="str">
        <f aca="false">IF('TASKS AND ROAD SEGMENT MATRIX'!V38-1&gt;0,'TASKS AND ROAD SEGMENT MATRIX'!V38-1,"-")</f>
        <v>-</v>
      </c>
      <c r="J38" s="23" t="n">
        <f aca="false">IF('TASKS AND ROAD SEGMENT MATRIX'!W38-1&gt;0,'TASKS AND ROAD SEGMENT MATRIX'!W38-1,"-")</f>
        <v>0.314151907807443</v>
      </c>
      <c r="K38" s="23" t="str">
        <f aca="false">IF('TASKS AND ROAD SEGMENT MATRIX'!X38-1&gt;0,'TASKS AND ROAD SEGMENT MATRIX'!X38-1,"-")</f>
        <v>-</v>
      </c>
      <c r="L38" s="23" t="n">
        <f aca="false">IF('TASKS AND ROAD SEGMENT MATRIX'!Y38-1&gt;0,'TASKS AND ROAD SEGMENT MATRIX'!Y38-1,"-")</f>
        <v>0.314151907807443</v>
      </c>
      <c r="M38" s="23" t="str">
        <f aca="false">IF('TASKS AND ROAD SEGMENT MATRIX'!Z38-1&gt;0,'TASKS AND ROAD SEGMENT MATRIX'!Z38-1,"-")</f>
        <v>-</v>
      </c>
      <c r="N38" s="23" t="str">
        <f aca="false">IF('TASKS AND ROAD SEGMENT MATRIX'!AA38-1&gt;0,'TASKS AND ROAD SEGMENT MATRIX'!AA38-1,"-")</f>
        <v>-</v>
      </c>
      <c r="O38" s="23" t="str">
        <f aca="false">IF('TASKS AND ROAD SEGMENT MATRIX'!AB38-1&gt;0,'TASKS AND ROAD SEGMENT MATRIX'!AB38-1,"-")</f>
        <v>-</v>
      </c>
      <c r="P38" s="23" t="str">
        <f aca="false">IF('TASKS AND ROAD SEGMENT MATRIX'!AC38-1&gt;0,'TASKS AND ROAD SEGMENT MATRIX'!AC38-1,"-")</f>
        <v>-</v>
      </c>
      <c r="Q38" s="23" t="str">
        <f aca="false">IF('TASKS AND ROAD SEGMENT MATRIX'!AD38-1&gt;0,'TASKS AND ROAD SEGMENT MATRIX'!AD38-1,"-")</f>
        <v>-</v>
      </c>
      <c r="R38" s="23" t="n">
        <f aca="false">IF('TASKS AND ROAD SEGMENT MATRIX'!AE38-1&gt;0,'TASKS AND ROAD SEGMENT MATRIX'!AE38-1,"-")</f>
        <v>0.314151907807443</v>
      </c>
      <c r="S38" s="23" t="n">
        <f aca="false">IF('TASKS AND ROAD SEGMENT MATRIX'!AF38-1&gt;0,'TASKS AND ROAD SEGMENT MATRIX'!AF38-1,"-")</f>
        <v>0.628303815614886</v>
      </c>
      <c r="T38" s="23" t="n">
        <f aca="false">IF('TASKS AND ROAD SEGMENT MATRIX'!AG38-1&gt;0,'TASKS AND ROAD SEGMENT MATRIX'!AG38-1,"-")</f>
        <v>0.628303815614886</v>
      </c>
      <c r="U38" s="23" t="n">
        <f aca="false">IF('TASKS AND ROAD SEGMENT MATRIX'!AH38-1&gt;0,'TASKS AND ROAD SEGMENT MATRIX'!AH38-1,"-")</f>
        <v>0.314151907807443</v>
      </c>
      <c r="V38" s="23" t="n">
        <f aca="false">IF('TASKS AND ROAD SEGMENT MATRIX'!AI38-1&gt;0,'TASKS AND ROAD SEGMENT MATRIX'!AI38-1,"-")</f>
        <v>0.628303815614886</v>
      </c>
      <c r="W38" s="23" t="str">
        <f aca="false">IF('TASKS AND ROAD SEGMENT MATRIX'!AJ38-1&gt;0,'TASKS AND ROAD SEGMENT MATRIX'!AJ38-1,"-")</f>
        <v>-</v>
      </c>
      <c r="X38" s="23" t="n">
        <f aca="false">IF('TASKS AND ROAD SEGMENT MATRIX'!AK38-1&gt;0,'TASKS AND ROAD SEGMENT MATRIX'!AK38-1,"-")</f>
        <v>0.628303815614886</v>
      </c>
      <c r="Y38" s="23" t="n">
        <f aca="false">IF('TASKS AND ROAD SEGMENT MATRIX'!AL38-1&gt;0,'TASKS AND ROAD SEGMENT MATRIX'!AL38-1,"-")</f>
        <v>0.314151907807443</v>
      </c>
      <c r="Z38" s="23" t="n">
        <f aca="false">IF('TASKS AND ROAD SEGMENT MATRIX'!AM38-1&gt;0,'TASKS AND ROAD SEGMENT MATRIX'!AM38-1,"-")</f>
        <v>0.314151907807443</v>
      </c>
      <c r="AA38" s="23" t="str">
        <f aca="false">IF('TASKS AND ROAD SEGMENT MATRIX'!AN38-1&gt;0,'TASKS AND ROAD SEGMENT MATRIX'!AN38-1,"-")</f>
        <v>-</v>
      </c>
      <c r="AB38" s="23" t="str">
        <f aca="false">IF('TASKS AND ROAD SEGMENT MATRIX'!AO38-1&gt;0,'TASKS AND ROAD SEGMENT MATRIX'!AO38-1,"-")</f>
        <v>-</v>
      </c>
      <c r="AC38" s="23" t="n">
        <f aca="false">IF('TASKS AND ROAD SEGMENT MATRIX'!AP38-1&gt;0,'TASKS AND ROAD SEGMENT MATRIX'!AP38-1,"-")</f>
        <v>0.314151907807443</v>
      </c>
      <c r="AD38" s="23" t="n">
        <f aca="false">IF('TASKS AND ROAD SEGMENT MATRIX'!AQ38-1&gt;0,'TASKS AND ROAD SEGMENT MATRIX'!AQ38-1,"-")</f>
        <v>0.314151907807443</v>
      </c>
      <c r="AE38" s="23" t="str">
        <f aca="false">IF('TASKS AND ROAD SEGMENT MATRIX'!AR38-1&gt;0,'TASKS AND ROAD SEGMENT MATRIX'!AR38-1,"-")</f>
        <v>-</v>
      </c>
      <c r="AF38" s="23" t="n">
        <f aca="false">IF('TASKS AND ROAD SEGMENT MATRIX'!AS38-1&gt;0,'TASKS AND ROAD SEGMENT MATRIX'!AS38-1,"-")</f>
        <v>0.628303815614886</v>
      </c>
      <c r="AG38" s="23" t="n">
        <f aca="false">IF('TASKS AND ROAD SEGMENT MATRIX'!AT38-1&gt;0,'TASKS AND ROAD SEGMENT MATRIX'!AT38-1,"-")</f>
        <v>0.628303815614886</v>
      </c>
      <c r="AH38" s="23" t="str">
        <f aca="false">IF('TASKS AND ROAD SEGMENT MATRIX'!AU38-1&gt;0,'TASKS AND ROAD SEGMENT MATRIX'!AU38-1,"-")</f>
        <v>-</v>
      </c>
      <c r="AI38" s="23" t="str">
        <f aca="false">IF('TASKS AND ROAD SEGMENT MATRIX'!AV38-1&gt;0,'TASKS AND ROAD SEGMENT MATRIX'!AV38-1,"-")</f>
        <v>-</v>
      </c>
      <c r="AJ38" s="23" t="str">
        <f aca="false">IF('TASKS AND ROAD SEGMENT MATRIX'!AW38-1&gt;0,'TASKS AND ROAD SEGMENT MATRIX'!AW38-1,"-")</f>
        <v>-</v>
      </c>
      <c r="AK38" s="23" t="str">
        <f aca="false">IF('TASKS AND ROAD SEGMENT MATRIX'!AX38-1&gt;0,'TASKS AND ROAD SEGMENT MATRIX'!AX38-1,"-")</f>
        <v>-</v>
      </c>
      <c r="AL38" s="23" t="str">
        <f aca="false">IF('TASKS AND ROAD SEGMENT MATRIX'!AY38-1&gt;0,'TASKS AND ROAD SEGMENT MATRIX'!AY38-1,"-")</f>
        <v>-</v>
      </c>
      <c r="AM38" s="23" t="str">
        <f aca="false">IF('TASKS AND ROAD SEGMENT MATRIX'!AZ38-1&gt;0,'TASKS AND ROAD SEGMENT MATRIX'!AZ38-1,"-")</f>
        <v>-</v>
      </c>
      <c r="AN38" s="23" t="str">
        <f aca="false">IF('TASKS AND ROAD SEGMENT MATRIX'!BA38-1&gt;0,'TASKS AND ROAD SEGMENT MATRIX'!BA38-1,"-")</f>
        <v>-</v>
      </c>
      <c r="AO38" s="23" t="str">
        <f aca="false">IF('TASKS AND ROAD SEGMENT MATRIX'!BB38-1&gt;0,'TASKS AND ROAD SEGMENT MATRIX'!BB38-1,"-")</f>
        <v>-</v>
      </c>
      <c r="AP38" s="23" t="str">
        <f aca="false">IF('TASKS AND ROAD SEGMENT MATRIX'!BC38-1&gt;0,'TASKS AND ROAD SEGMENT MATRIX'!BC38-1,"-")</f>
        <v>-</v>
      </c>
      <c r="AQ38" s="23" t="str">
        <f aca="false">IF('TASKS AND ROAD SEGMENT MATRIX'!BD38-1&gt;0,'TASKS AND ROAD SEGMENT MATRIX'!BD38-1,"-")</f>
        <v>-</v>
      </c>
      <c r="AR38" s="23" t="n">
        <f aca="false">IF('TASKS AND ROAD SEGMENT MATRIX'!BE38-1&gt;0,'TASKS AND ROAD SEGMENT MATRIX'!BE38-1,"-")</f>
        <v>0.628303815614886</v>
      </c>
      <c r="AS38" s="23" t="n">
        <f aca="false">IF('TASKS AND ROAD SEGMENT MATRIX'!BF38-1&gt;0,'TASKS AND ROAD SEGMENT MATRIX'!BF38-1,"-")</f>
        <v>0.314151907807443</v>
      </c>
      <c r="AT38" s="23" t="str">
        <f aca="false">IF('TASKS AND ROAD SEGMENT MATRIX'!BG38-1&gt;0,'TASKS AND ROAD SEGMENT MATRIX'!BG38-1,"-")</f>
        <v>-</v>
      </c>
      <c r="AU38" s="23" t="str">
        <f aca="false">IF('TASKS AND ROAD SEGMENT MATRIX'!BH38-1&gt;0,'TASKS AND ROAD SEGMENT MATRIX'!BH38-1,"-")</f>
        <v>-</v>
      </c>
    </row>
    <row r="39" customFormat="false" ht="13.8" hidden="false" customHeight="false" outlineLevel="0" collapsed="false">
      <c r="A39" s="0" t="s">
        <v>71</v>
      </c>
      <c r="B39" s="0" t="s">
        <v>115</v>
      </c>
      <c r="C39" s="23" t="n">
        <f aca="false">IF('TASKS AND ROAD SEGMENT MATRIX'!P39-1&gt;0,'TASKS AND ROAD SEGMENT MATRIX'!P39-1,"-")</f>
        <v>0.471227861711165</v>
      </c>
      <c r="D39" s="23" t="n">
        <f aca="false">IF('TASKS AND ROAD SEGMENT MATRIX'!Q39-1&gt;0,'TASKS AND ROAD SEGMENT MATRIX'!Q39-1,"-")</f>
        <v>0.471227861711165</v>
      </c>
      <c r="E39" s="23" t="str">
        <f aca="false">IF('TASKS AND ROAD SEGMENT MATRIX'!R39-1&gt;0,'TASKS AND ROAD SEGMENT MATRIX'!R39-1,"-")</f>
        <v>-</v>
      </c>
      <c r="F39" s="23" t="str">
        <f aca="false">IF('TASKS AND ROAD SEGMENT MATRIX'!S39-1&gt;0,'TASKS AND ROAD SEGMENT MATRIX'!S39-1,"-")</f>
        <v>-</v>
      </c>
      <c r="G39" s="23" t="str">
        <f aca="false">IF('TASKS AND ROAD SEGMENT MATRIX'!T39-1&gt;0,'TASKS AND ROAD SEGMENT MATRIX'!T39-1,"-")</f>
        <v>-</v>
      </c>
      <c r="H39" s="23" t="n">
        <f aca="false">IF('TASKS AND ROAD SEGMENT MATRIX'!U39-1&gt;0,'TASKS AND ROAD SEGMENT MATRIX'!U39-1,"-")</f>
        <v>0.471227861711165</v>
      </c>
      <c r="I39" s="23" t="str">
        <f aca="false">IF('TASKS AND ROAD SEGMENT MATRIX'!V39-1&gt;0,'TASKS AND ROAD SEGMENT MATRIX'!V39-1,"-")</f>
        <v>-</v>
      </c>
      <c r="J39" s="23" t="n">
        <f aca="false">IF('TASKS AND ROAD SEGMENT MATRIX'!W39-1&gt;0,'TASKS AND ROAD SEGMENT MATRIX'!W39-1,"-")</f>
        <v>0.471227861711165</v>
      </c>
      <c r="K39" s="23" t="str">
        <f aca="false">IF('TASKS AND ROAD SEGMENT MATRIX'!X39-1&gt;0,'TASKS AND ROAD SEGMENT MATRIX'!X39-1,"-")</f>
        <v>-</v>
      </c>
      <c r="L39" s="23" t="n">
        <f aca="false">IF('TASKS AND ROAD SEGMENT MATRIX'!Y39-1&gt;0,'TASKS AND ROAD SEGMENT MATRIX'!Y39-1,"-")</f>
        <v>0.471227861711165</v>
      </c>
      <c r="M39" s="23" t="str">
        <f aca="false">IF('TASKS AND ROAD SEGMENT MATRIX'!Z39-1&gt;0,'TASKS AND ROAD SEGMENT MATRIX'!Z39-1,"-")</f>
        <v>-</v>
      </c>
      <c r="N39" s="23" t="str">
        <f aca="false">IF('TASKS AND ROAD SEGMENT MATRIX'!AA39-1&gt;0,'TASKS AND ROAD SEGMENT MATRIX'!AA39-1,"-")</f>
        <v>-</v>
      </c>
      <c r="O39" s="23" t="str">
        <f aca="false">IF('TASKS AND ROAD SEGMENT MATRIX'!AB39-1&gt;0,'TASKS AND ROAD SEGMENT MATRIX'!AB39-1,"-")</f>
        <v>-</v>
      </c>
      <c r="P39" s="23" t="str">
        <f aca="false">IF('TASKS AND ROAD SEGMENT MATRIX'!AC39-1&gt;0,'TASKS AND ROAD SEGMENT MATRIX'!AC39-1,"-")</f>
        <v>-</v>
      </c>
      <c r="Q39" s="23" t="str">
        <f aca="false">IF('TASKS AND ROAD SEGMENT MATRIX'!AD39-1&gt;0,'TASKS AND ROAD SEGMENT MATRIX'!AD39-1,"-")</f>
        <v>-</v>
      </c>
      <c r="R39" s="23" t="n">
        <f aca="false">IF('TASKS AND ROAD SEGMENT MATRIX'!AE39-1&gt;0,'TASKS AND ROAD SEGMENT MATRIX'!AE39-1,"-")</f>
        <v>0.471227861711165</v>
      </c>
      <c r="S39" s="23" t="n">
        <f aca="false">IF('TASKS AND ROAD SEGMENT MATRIX'!AF39-1&gt;0,'TASKS AND ROAD SEGMENT MATRIX'!AF39-1,"-")</f>
        <v>0.942455723422329</v>
      </c>
      <c r="T39" s="23" t="n">
        <f aca="false">IF('TASKS AND ROAD SEGMENT MATRIX'!AG39-1&gt;0,'TASKS AND ROAD SEGMENT MATRIX'!AG39-1,"-")</f>
        <v>0.942455723422329</v>
      </c>
      <c r="U39" s="23" t="n">
        <f aca="false">IF('TASKS AND ROAD SEGMENT MATRIX'!AH39-1&gt;0,'TASKS AND ROAD SEGMENT MATRIX'!AH39-1,"-")</f>
        <v>0.471227861711165</v>
      </c>
      <c r="V39" s="23" t="n">
        <f aca="false">IF('TASKS AND ROAD SEGMENT MATRIX'!AI39-1&gt;0,'TASKS AND ROAD SEGMENT MATRIX'!AI39-1,"-")</f>
        <v>0.942455723422329</v>
      </c>
      <c r="W39" s="23" t="n">
        <f aca="false">IF('TASKS AND ROAD SEGMENT MATRIX'!AJ39-1&gt;0,'TASKS AND ROAD SEGMENT MATRIX'!AJ39-1,"-")</f>
        <v>0.942455723422329</v>
      </c>
      <c r="X39" s="23" t="n">
        <f aca="false">IF('TASKS AND ROAD SEGMENT MATRIX'!AK39-1&gt;0,'TASKS AND ROAD SEGMENT MATRIX'!AK39-1,"-")</f>
        <v>0.942455723422329</v>
      </c>
      <c r="Y39" s="23" t="n">
        <f aca="false">IF('TASKS AND ROAD SEGMENT MATRIX'!AL39-1&gt;0,'TASKS AND ROAD SEGMENT MATRIX'!AL39-1,"-")</f>
        <v>0.471227861711165</v>
      </c>
      <c r="Z39" s="23" t="n">
        <f aca="false">IF('TASKS AND ROAD SEGMENT MATRIX'!AM39-1&gt;0,'TASKS AND ROAD SEGMENT MATRIX'!AM39-1,"-")</f>
        <v>0.471227861711165</v>
      </c>
      <c r="AA39" s="23" t="str">
        <f aca="false">IF('TASKS AND ROAD SEGMENT MATRIX'!AN39-1&gt;0,'TASKS AND ROAD SEGMENT MATRIX'!AN39-1,"-")</f>
        <v>-</v>
      </c>
      <c r="AB39" s="23" t="str">
        <f aca="false">IF('TASKS AND ROAD SEGMENT MATRIX'!AO39-1&gt;0,'TASKS AND ROAD SEGMENT MATRIX'!AO39-1,"-")</f>
        <v>-</v>
      </c>
      <c r="AC39" s="23" t="n">
        <f aca="false">IF('TASKS AND ROAD SEGMENT MATRIX'!AP39-1&gt;0,'TASKS AND ROAD SEGMENT MATRIX'!AP39-1,"-")</f>
        <v>0.471227861711165</v>
      </c>
      <c r="AD39" s="23" t="n">
        <f aca="false">IF('TASKS AND ROAD SEGMENT MATRIX'!AQ39-1&gt;0,'TASKS AND ROAD SEGMENT MATRIX'!AQ39-1,"-")</f>
        <v>0.471227861711165</v>
      </c>
      <c r="AE39" s="23" t="str">
        <f aca="false">IF('TASKS AND ROAD SEGMENT MATRIX'!AR39-1&gt;0,'TASKS AND ROAD SEGMENT MATRIX'!AR39-1,"-")</f>
        <v>-</v>
      </c>
      <c r="AF39" s="23" t="n">
        <f aca="false">IF('TASKS AND ROAD SEGMENT MATRIX'!AS39-1&gt;0,'TASKS AND ROAD SEGMENT MATRIX'!AS39-1,"-")</f>
        <v>0.942455723422329</v>
      </c>
      <c r="AG39" s="23" t="n">
        <f aca="false">IF('TASKS AND ROAD SEGMENT MATRIX'!AT39-1&gt;0,'TASKS AND ROAD SEGMENT MATRIX'!AT39-1,"-")</f>
        <v>0.942455723422329</v>
      </c>
      <c r="AH39" s="23" t="str">
        <f aca="false">IF('TASKS AND ROAD SEGMENT MATRIX'!AU39-1&gt;0,'TASKS AND ROAD SEGMENT MATRIX'!AU39-1,"-")</f>
        <v>-</v>
      </c>
      <c r="AI39" s="23" t="str">
        <f aca="false">IF('TASKS AND ROAD SEGMENT MATRIX'!AV39-1&gt;0,'TASKS AND ROAD SEGMENT MATRIX'!AV39-1,"-")</f>
        <v>-</v>
      </c>
      <c r="AJ39" s="23" t="str">
        <f aca="false">IF('TASKS AND ROAD SEGMENT MATRIX'!AW39-1&gt;0,'TASKS AND ROAD SEGMENT MATRIX'!AW39-1,"-")</f>
        <v>-</v>
      </c>
      <c r="AK39" s="23" t="str">
        <f aca="false">IF('TASKS AND ROAD SEGMENT MATRIX'!AX39-1&gt;0,'TASKS AND ROAD SEGMENT MATRIX'!AX39-1,"-")</f>
        <v>-</v>
      </c>
      <c r="AL39" s="23" t="str">
        <f aca="false">IF('TASKS AND ROAD SEGMENT MATRIX'!AY39-1&gt;0,'TASKS AND ROAD SEGMENT MATRIX'!AY39-1,"-")</f>
        <v>-</v>
      </c>
      <c r="AM39" s="23" t="str">
        <f aca="false">IF('TASKS AND ROAD SEGMENT MATRIX'!AZ39-1&gt;0,'TASKS AND ROAD SEGMENT MATRIX'!AZ39-1,"-")</f>
        <v>-</v>
      </c>
      <c r="AN39" s="23" t="str">
        <f aca="false">IF('TASKS AND ROAD SEGMENT MATRIX'!BA39-1&gt;0,'TASKS AND ROAD SEGMENT MATRIX'!BA39-1,"-")</f>
        <v>-</v>
      </c>
      <c r="AO39" s="23" t="str">
        <f aca="false">IF('TASKS AND ROAD SEGMENT MATRIX'!BB39-1&gt;0,'TASKS AND ROAD SEGMENT MATRIX'!BB39-1,"-")</f>
        <v>-</v>
      </c>
      <c r="AP39" s="23" t="str">
        <f aca="false">IF('TASKS AND ROAD SEGMENT MATRIX'!BC39-1&gt;0,'TASKS AND ROAD SEGMENT MATRIX'!BC39-1,"-")</f>
        <v>-</v>
      </c>
      <c r="AQ39" s="23" t="str">
        <f aca="false">IF('TASKS AND ROAD SEGMENT MATRIX'!BD39-1&gt;0,'TASKS AND ROAD SEGMENT MATRIX'!BD39-1,"-")</f>
        <v>-</v>
      </c>
      <c r="AR39" s="23" t="n">
        <f aca="false">IF('TASKS AND ROAD SEGMENT MATRIX'!BE39-1&gt;0,'TASKS AND ROAD SEGMENT MATRIX'!BE39-1,"-")</f>
        <v>0.942455723422329</v>
      </c>
      <c r="AS39" s="23" t="n">
        <f aca="false">IF('TASKS AND ROAD SEGMENT MATRIX'!BF39-1&gt;0,'TASKS AND ROAD SEGMENT MATRIX'!BF39-1,"-")</f>
        <v>0.471227861711165</v>
      </c>
      <c r="AT39" s="23" t="str">
        <f aca="false">IF('TASKS AND ROAD SEGMENT MATRIX'!BG39-1&gt;0,'TASKS AND ROAD SEGMENT MATRIX'!BG39-1,"-")</f>
        <v>-</v>
      </c>
      <c r="AU39" s="23" t="str">
        <f aca="false">IF('TASKS AND ROAD SEGMENT MATRIX'!BH39-1&gt;0,'TASKS AND ROAD SEGMENT MATRIX'!BH39-1,"-")</f>
        <v>-</v>
      </c>
    </row>
    <row r="40" customFormat="false" ht="13.8" hidden="false" customHeight="false" outlineLevel="0" collapsed="false">
      <c r="A40" s="0" t="s">
        <v>71</v>
      </c>
      <c r="B40" s="0" t="s">
        <v>117</v>
      </c>
      <c r="C40" s="23" t="n">
        <f aca="false">IF('TASKS AND ROAD SEGMENT MATRIX'!P40-1&gt;0,'TASKS AND ROAD SEGMENT MATRIX'!P40-1,"-")</f>
        <v>0.392689884759304</v>
      </c>
      <c r="D40" s="23" t="n">
        <f aca="false">IF('TASKS AND ROAD SEGMENT MATRIX'!Q40-1&gt;0,'TASKS AND ROAD SEGMENT MATRIX'!Q40-1,"-")</f>
        <v>0.392689884759304</v>
      </c>
      <c r="E40" s="23" t="str">
        <f aca="false">IF('TASKS AND ROAD SEGMENT MATRIX'!R40-1&gt;0,'TASKS AND ROAD SEGMENT MATRIX'!R40-1,"-")</f>
        <v>-</v>
      </c>
      <c r="F40" s="23" t="str">
        <f aca="false">IF('TASKS AND ROAD SEGMENT MATRIX'!S40-1&gt;0,'TASKS AND ROAD SEGMENT MATRIX'!S40-1,"-")</f>
        <v>-</v>
      </c>
      <c r="G40" s="23" t="str">
        <f aca="false">IF('TASKS AND ROAD SEGMENT MATRIX'!T40-1&gt;0,'TASKS AND ROAD SEGMENT MATRIX'!T40-1,"-")</f>
        <v>-</v>
      </c>
      <c r="H40" s="23" t="n">
        <f aca="false">IF('TASKS AND ROAD SEGMENT MATRIX'!U40-1&gt;0,'TASKS AND ROAD SEGMENT MATRIX'!U40-1,"-")</f>
        <v>0.392689884759304</v>
      </c>
      <c r="I40" s="23" t="str">
        <f aca="false">IF('TASKS AND ROAD SEGMENT MATRIX'!V40-1&gt;0,'TASKS AND ROAD SEGMENT MATRIX'!V40-1,"-")</f>
        <v>-</v>
      </c>
      <c r="J40" s="23" t="n">
        <f aca="false">IF('TASKS AND ROAD SEGMENT MATRIX'!W40-1&gt;0,'TASKS AND ROAD SEGMENT MATRIX'!W40-1,"-")</f>
        <v>0.392689884759304</v>
      </c>
      <c r="K40" s="23" t="str">
        <f aca="false">IF('TASKS AND ROAD SEGMENT MATRIX'!X40-1&gt;0,'TASKS AND ROAD SEGMENT MATRIX'!X40-1,"-")</f>
        <v>-</v>
      </c>
      <c r="L40" s="23" t="n">
        <f aca="false">IF('TASKS AND ROAD SEGMENT MATRIX'!Y40-1&gt;0,'TASKS AND ROAD SEGMENT MATRIX'!Y40-1,"-")</f>
        <v>0.392689884759304</v>
      </c>
      <c r="M40" s="23" t="str">
        <f aca="false">IF('TASKS AND ROAD SEGMENT MATRIX'!Z40-1&gt;0,'TASKS AND ROAD SEGMENT MATRIX'!Z40-1,"-")</f>
        <v>-</v>
      </c>
      <c r="N40" s="23" t="str">
        <f aca="false">IF('TASKS AND ROAD SEGMENT MATRIX'!AA40-1&gt;0,'TASKS AND ROAD SEGMENT MATRIX'!AA40-1,"-")</f>
        <v>-</v>
      </c>
      <c r="O40" s="23" t="str">
        <f aca="false">IF('TASKS AND ROAD SEGMENT MATRIX'!AB40-1&gt;0,'TASKS AND ROAD SEGMENT MATRIX'!AB40-1,"-")</f>
        <v>-</v>
      </c>
      <c r="P40" s="23" t="str">
        <f aca="false">IF('TASKS AND ROAD SEGMENT MATRIX'!AC40-1&gt;0,'TASKS AND ROAD SEGMENT MATRIX'!AC40-1,"-")</f>
        <v>-</v>
      </c>
      <c r="Q40" s="23" t="str">
        <f aca="false">IF('TASKS AND ROAD SEGMENT MATRIX'!AD40-1&gt;0,'TASKS AND ROAD SEGMENT MATRIX'!AD40-1,"-")</f>
        <v>-</v>
      </c>
      <c r="R40" s="23" t="n">
        <f aca="false">IF('TASKS AND ROAD SEGMENT MATRIX'!AE40-1&gt;0,'TASKS AND ROAD SEGMENT MATRIX'!AE40-1,"-")</f>
        <v>0.392689884759304</v>
      </c>
      <c r="S40" s="23" t="n">
        <f aca="false">IF('TASKS AND ROAD SEGMENT MATRIX'!AF40-1&gt;0,'TASKS AND ROAD SEGMENT MATRIX'!AF40-1,"-")</f>
        <v>0.785379769518607</v>
      </c>
      <c r="T40" s="23" t="n">
        <f aca="false">IF('TASKS AND ROAD SEGMENT MATRIX'!AG40-1&gt;0,'TASKS AND ROAD SEGMENT MATRIX'!AG40-1,"-")</f>
        <v>0.785379769518607</v>
      </c>
      <c r="U40" s="23" t="n">
        <f aca="false">IF('TASKS AND ROAD SEGMENT MATRIX'!AH40-1&gt;0,'TASKS AND ROAD SEGMENT MATRIX'!AH40-1,"-")</f>
        <v>0.392689884759304</v>
      </c>
      <c r="V40" s="23" t="n">
        <f aca="false">IF('TASKS AND ROAD SEGMENT MATRIX'!AI40-1&gt;0,'TASKS AND ROAD SEGMENT MATRIX'!AI40-1,"-")</f>
        <v>0.785379769518607</v>
      </c>
      <c r="W40" s="23" t="n">
        <f aca="false">IF('TASKS AND ROAD SEGMENT MATRIX'!AJ40-1&gt;0,'TASKS AND ROAD SEGMENT MATRIX'!AJ40-1,"-")</f>
        <v>0.392689884759304</v>
      </c>
      <c r="X40" s="23" t="n">
        <f aca="false">IF('TASKS AND ROAD SEGMENT MATRIX'!AK40-1&gt;0,'TASKS AND ROAD SEGMENT MATRIX'!AK40-1,"-")</f>
        <v>0.785379769518607</v>
      </c>
      <c r="Y40" s="23" t="n">
        <f aca="false">IF('TASKS AND ROAD SEGMENT MATRIX'!AL40-1&gt;0,'TASKS AND ROAD SEGMENT MATRIX'!AL40-1,"-")</f>
        <v>0.392689884759304</v>
      </c>
      <c r="Z40" s="23" t="n">
        <f aca="false">IF('TASKS AND ROAD SEGMENT MATRIX'!AM40-1&gt;0,'TASKS AND ROAD SEGMENT MATRIX'!AM40-1,"-")</f>
        <v>0.392689884759304</v>
      </c>
      <c r="AA40" s="23" t="str">
        <f aca="false">IF('TASKS AND ROAD SEGMENT MATRIX'!AN40-1&gt;0,'TASKS AND ROAD SEGMENT MATRIX'!AN40-1,"-")</f>
        <v>-</v>
      </c>
      <c r="AB40" s="23" t="str">
        <f aca="false">IF('TASKS AND ROAD SEGMENT MATRIX'!AO40-1&gt;0,'TASKS AND ROAD SEGMENT MATRIX'!AO40-1,"-")</f>
        <v>-</v>
      </c>
      <c r="AC40" s="23" t="n">
        <f aca="false">IF('TASKS AND ROAD SEGMENT MATRIX'!AP40-1&gt;0,'TASKS AND ROAD SEGMENT MATRIX'!AP40-1,"-")</f>
        <v>0.392689884759304</v>
      </c>
      <c r="AD40" s="23" t="n">
        <f aca="false">IF('TASKS AND ROAD SEGMENT MATRIX'!AQ40-1&gt;0,'TASKS AND ROAD SEGMENT MATRIX'!AQ40-1,"-")</f>
        <v>0.392689884759304</v>
      </c>
      <c r="AE40" s="23" t="str">
        <f aca="false">IF('TASKS AND ROAD SEGMENT MATRIX'!AR40-1&gt;0,'TASKS AND ROAD SEGMENT MATRIX'!AR40-1,"-")</f>
        <v>-</v>
      </c>
      <c r="AF40" s="23" t="n">
        <f aca="false">IF('TASKS AND ROAD SEGMENT MATRIX'!AS40-1&gt;0,'TASKS AND ROAD SEGMENT MATRIX'!AS40-1,"-")</f>
        <v>0.785379769518607</v>
      </c>
      <c r="AG40" s="23" t="n">
        <f aca="false">IF('TASKS AND ROAD SEGMENT MATRIX'!AT40-1&gt;0,'TASKS AND ROAD SEGMENT MATRIX'!AT40-1,"-")</f>
        <v>0.785379769518607</v>
      </c>
      <c r="AH40" s="23" t="str">
        <f aca="false">IF('TASKS AND ROAD SEGMENT MATRIX'!AU40-1&gt;0,'TASKS AND ROAD SEGMENT MATRIX'!AU40-1,"-")</f>
        <v>-</v>
      </c>
      <c r="AI40" s="23" t="str">
        <f aca="false">IF('TASKS AND ROAD SEGMENT MATRIX'!AV40-1&gt;0,'TASKS AND ROAD SEGMENT MATRIX'!AV40-1,"-")</f>
        <v>-</v>
      </c>
      <c r="AJ40" s="23" t="str">
        <f aca="false">IF('TASKS AND ROAD SEGMENT MATRIX'!AW40-1&gt;0,'TASKS AND ROAD SEGMENT MATRIX'!AW40-1,"-")</f>
        <v>-</v>
      </c>
      <c r="AK40" s="23" t="str">
        <f aca="false">IF('TASKS AND ROAD SEGMENT MATRIX'!AX40-1&gt;0,'TASKS AND ROAD SEGMENT MATRIX'!AX40-1,"-")</f>
        <v>-</v>
      </c>
      <c r="AL40" s="23" t="str">
        <f aca="false">IF('TASKS AND ROAD SEGMENT MATRIX'!AY40-1&gt;0,'TASKS AND ROAD SEGMENT MATRIX'!AY40-1,"-")</f>
        <v>-</v>
      </c>
      <c r="AM40" s="23" t="str">
        <f aca="false">IF('TASKS AND ROAD SEGMENT MATRIX'!AZ40-1&gt;0,'TASKS AND ROAD SEGMENT MATRIX'!AZ40-1,"-")</f>
        <v>-</v>
      </c>
      <c r="AN40" s="23" t="str">
        <f aca="false">IF('TASKS AND ROAD SEGMENT MATRIX'!BA40-1&gt;0,'TASKS AND ROAD SEGMENT MATRIX'!BA40-1,"-")</f>
        <v>-</v>
      </c>
      <c r="AO40" s="23" t="str">
        <f aca="false">IF('TASKS AND ROAD SEGMENT MATRIX'!BB40-1&gt;0,'TASKS AND ROAD SEGMENT MATRIX'!BB40-1,"-")</f>
        <v>-</v>
      </c>
      <c r="AP40" s="23" t="str">
        <f aca="false">IF('TASKS AND ROAD SEGMENT MATRIX'!BC40-1&gt;0,'TASKS AND ROAD SEGMENT MATRIX'!BC40-1,"-")</f>
        <v>-</v>
      </c>
      <c r="AQ40" s="23" t="str">
        <f aca="false">IF('TASKS AND ROAD SEGMENT MATRIX'!BD40-1&gt;0,'TASKS AND ROAD SEGMENT MATRIX'!BD40-1,"-")</f>
        <v>-</v>
      </c>
      <c r="AR40" s="23" t="n">
        <f aca="false">IF('TASKS AND ROAD SEGMENT MATRIX'!BE40-1&gt;0,'TASKS AND ROAD SEGMENT MATRIX'!BE40-1,"-")</f>
        <v>0.785379769518607</v>
      </c>
      <c r="AS40" s="23" t="n">
        <f aca="false">IF('TASKS AND ROAD SEGMENT MATRIX'!BF40-1&gt;0,'TASKS AND ROAD SEGMENT MATRIX'!BF40-1,"-")</f>
        <v>0.392689884759304</v>
      </c>
      <c r="AT40" s="23" t="str">
        <f aca="false">IF('TASKS AND ROAD SEGMENT MATRIX'!BG40-1&gt;0,'TASKS AND ROAD SEGMENT MATRIX'!BG40-1,"-")</f>
        <v>-</v>
      </c>
      <c r="AU40" s="23" t="str">
        <f aca="false">IF('TASKS AND ROAD SEGMENT MATRIX'!BH40-1&gt;0,'TASKS AND ROAD SEGMENT MATRIX'!BH40-1,"-")</f>
        <v>-</v>
      </c>
    </row>
    <row r="41" customFormat="false" ht="13.8" hidden="false" customHeight="false" outlineLevel="0" collapsed="false">
      <c r="A41" s="0" t="s">
        <v>71</v>
      </c>
      <c r="B41" s="0" t="s">
        <v>119</v>
      </c>
      <c r="C41" s="23" t="n">
        <f aca="false">IF('TASKS AND ROAD SEGMENT MATRIX'!P41-1&gt;0,'TASKS AND ROAD SEGMENT MATRIX'!P41-1,"-")</f>
        <v>0.471227861711165</v>
      </c>
      <c r="D41" s="23" t="n">
        <f aca="false">IF('TASKS AND ROAD SEGMENT MATRIX'!Q41-1&gt;0,'TASKS AND ROAD SEGMENT MATRIX'!Q41-1,"-")</f>
        <v>0.471227861711165</v>
      </c>
      <c r="E41" s="23" t="str">
        <f aca="false">IF('TASKS AND ROAD SEGMENT MATRIX'!R41-1&gt;0,'TASKS AND ROAD SEGMENT MATRIX'!R41-1,"-")</f>
        <v>-</v>
      </c>
      <c r="F41" s="23" t="str">
        <f aca="false">IF('TASKS AND ROAD SEGMENT MATRIX'!S41-1&gt;0,'TASKS AND ROAD SEGMENT MATRIX'!S41-1,"-")</f>
        <v>-</v>
      </c>
      <c r="G41" s="23" t="str">
        <f aca="false">IF('TASKS AND ROAD SEGMENT MATRIX'!T41-1&gt;0,'TASKS AND ROAD SEGMENT MATRIX'!T41-1,"-")</f>
        <v>-</v>
      </c>
      <c r="H41" s="23" t="n">
        <f aca="false">IF('TASKS AND ROAD SEGMENT MATRIX'!U41-1&gt;0,'TASKS AND ROAD SEGMENT MATRIX'!U41-1,"-")</f>
        <v>0.471227861711165</v>
      </c>
      <c r="I41" s="23" t="str">
        <f aca="false">IF('TASKS AND ROAD SEGMENT MATRIX'!V41-1&gt;0,'TASKS AND ROAD SEGMENT MATRIX'!V41-1,"-")</f>
        <v>-</v>
      </c>
      <c r="J41" s="23" t="n">
        <f aca="false">IF('TASKS AND ROAD SEGMENT MATRIX'!W41-1&gt;0,'TASKS AND ROAD SEGMENT MATRIX'!W41-1,"-")</f>
        <v>0.471227861711165</v>
      </c>
      <c r="K41" s="23" t="str">
        <f aca="false">IF('TASKS AND ROAD SEGMENT MATRIX'!X41-1&gt;0,'TASKS AND ROAD SEGMENT MATRIX'!X41-1,"-")</f>
        <v>-</v>
      </c>
      <c r="L41" s="23" t="n">
        <f aca="false">IF('TASKS AND ROAD SEGMENT MATRIX'!Y41-1&gt;0,'TASKS AND ROAD SEGMENT MATRIX'!Y41-1,"-")</f>
        <v>0.471227861711165</v>
      </c>
      <c r="M41" s="23" t="str">
        <f aca="false">IF('TASKS AND ROAD SEGMENT MATRIX'!Z41-1&gt;0,'TASKS AND ROAD SEGMENT MATRIX'!Z41-1,"-")</f>
        <v>-</v>
      </c>
      <c r="N41" s="23" t="str">
        <f aca="false">IF('TASKS AND ROAD SEGMENT MATRIX'!AA41-1&gt;0,'TASKS AND ROAD SEGMENT MATRIX'!AA41-1,"-")</f>
        <v>-</v>
      </c>
      <c r="O41" s="23" t="str">
        <f aca="false">IF('TASKS AND ROAD SEGMENT MATRIX'!AB41-1&gt;0,'TASKS AND ROAD SEGMENT MATRIX'!AB41-1,"-")</f>
        <v>-</v>
      </c>
      <c r="P41" s="23" t="str">
        <f aca="false">IF('TASKS AND ROAD SEGMENT MATRIX'!AC41-1&gt;0,'TASKS AND ROAD SEGMENT MATRIX'!AC41-1,"-")</f>
        <v>-</v>
      </c>
      <c r="Q41" s="23" t="str">
        <f aca="false">IF('TASKS AND ROAD SEGMENT MATRIX'!AD41-1&gt;0,'TASKS AND ROAD SEGMENT MATRIX'!AD41-1,"-")</f>
        <v>-</v>
      </c>
      <c r="R41" s="23" t="n">
        <f aca="false">IF('TASKS AND ROAD SEGMENT MATRIX'!AE41-1&gt;0,'TASKS AND ROAD SEGMENT MATRIX'!AE41-1,"-")</f>
        <v>0.471227861711165</v>
      </c>
      <c r="S41" s="23" t="n">
        <f aca="false">IF('TASKS AND ROAD SEGMENT MATRIX'!AF41-1&gt;0,'TASKS AND ROAD SEGMENT MATRIX'!AF41-1,"-")</f>
        <v>0.942455723422329</v>
      </c>
      <c r="T41" s="23" t="n">
        <f aca="false">IF('TASKS AND ROAD SEGMENT MATRIX'!AG41-1&gt;0,'TASKS AND ROAD SEGMENT MATRIX'!AG41-1,"-")</f>
        <v>0.942455723422329</v>
      </c>
      <c r="U41" s="23" t="n">
        <f aca="false">IF('TASKS AND ROAD SEGMENT MATRIX'!AH41-1&gt;0,'TASKS AND ROAD SEGMENT MATRIX'!AH41-1,"-")</f>
        <v>0.471227861711165</v>
      </c>
      <c r="V41" s="23" t="n">
        <f aca="false">IF('TASKS AND ROAD SEGMENT MATRIX'!AI41-1&gt;0,'TASKS AND ROAD SEGMENT MATRIX'!AI41-1,"-")</f>
        <v>0.942455723422329</v>
      </c>
      <c r="W41" s="23" t="n">
        <f aca="false">IF('TASKS AND ROAD SEGMENT MATRIX'!AJ41-1&gt;0,'TASKS AND ROAD SEGMENT MATRIX'!AJ41-1,"-")</f>
        <v>0.942455723422329</v>
      </c>
      <c r="X41" s="23" t="n">
        <f aca="false">IF('TASKS AND ROAD SEGMENT MATRIX'!AK41-1&gt;0,'TASKS AND ROAD SEGMENT MATRIX'!AK41-1,"-")</f>
        <v>0.942455723422329</v>
      </c>
      <c r="Y41" s="23" t="n">
        <f aca="false">IF('TASKS AND ROAD SEGMENT MATRIX'!AL41-1&gt;0,'TASKS AND ROAD SEGMENT MATRIX'!AL41-1,"-")</f>
        <v>0.471227861711165</v>
      </c>
      <c r="Z41" s="23" t="n">
        <f aca="false">IF('TASKS AND ROAD SEGMENT MATRIX'!AM41-1&gt;0,'TASKS AND ROAD SEGMENT MATRIX'!AM41-1,"-")</f>
        <v>0.471227861711165</v>
      </c>
      <c r="AA41" s="23" t="str">
        <f aca="false">IF('TASKS AND ROAD SEGMENT MATRIX'!AN41-1&gt;0,'TASKS AND ROAD SEGMENT MATRIX'!AN41-1,"-")</f>
        <v>-</v>
      </c>
      <c r="AB41" s="23" t="str">
        <f aca="false">IF('TASKS AND ROAD SEGMENT MATRIX'!AO41-1&gt;0,'TASKS AND ROAD SEGMENT MATRIX'!AO41-1,"-")</f>
        <v>-</v>
      </c>
      <c r="AC41" s="23" t="n">
        <f aca="false">IF('TASKS AND ROAD SEGMENT MATRIX'!AP41-1&gt;0,'TASKS AND ROAD SEGMENT MATRIX'!AP41-1,"-")</f>
        <v>0.471227861711165</v>
      </c>
      <c r="AD41" s="23" t="n">
        <f aca="false">IF('TASKS AND ROAD SEGMENT MATRIX'!AQ41-1&gt;0,'TASKS AND ROAD SEGMENT MATRIX'!AQ41-1,"-")</f>
        <v>0.471227861711165</v>
      </c>
      <c r="AE41" s="23" t="str">
        <f aca="false">IF('TASKS AND ROAD SEGMENT MATRIX'!AR41-1&gt;0,'TASKS AND ROAD SEGMENT MATRIX'!AR41-1,"-")</f>
        <v>-</v>
      </c>
      <c r="AF41" s="23" t="n">
        <f aca="false">IF('TASKS AND ROAD SEGMENT MATRIX'!AS41-1&gt;0,'TASKS AND ROAD SEGMENT MATRIX'!AS41-1,"-")</f>
        <v>0.942455723422329</v>
      </c>
      <c r="AG41" s="23" t="n">
        <f aca="false">IF('TASKS AND ROAD SEGMENT MATRIX'!AT41-1&gt;0,'TASKS AND ROAD SEGMENT MATRIX'!AT41-1,"-")</f>
        <v>0.942455723422329</v>
      </c>
      <c r="AH41" s="23" t="str">
        <f aca="false">IF('TASKS AND ROAD SEGMENT MATRIX'!AU41-1&gt;0,'TASKS AND ROAD SEGMENT MATRIX'!AU41-1,"-")</f>
        <v>-</v>
      </c>
      <c r="AI41" s="23" t="str">
        <f aca="false">IF('TASKS AND ROAD SEGMENT MATRIX'!AV41-1&gt;0,'TASKS AND ROAD SEGMENT MATRIX'!AV41-1,"-")</f>
        <v>-</v>
      </c>
      <c r="AJ41" s="23" t="str">
        <f aca="false">IF('TASKS AND ROAD SEGMENT MATRIX'!AW41-1&gt;0,'TASKS AND ROAD SEGMENT MATRIX'!AW41-1,"-")</f>
        <v>-</v>
      </c>
      <c r="AK41" s="23" t="str">
        <f aca="false">IF('TASKS AND ROAD SEGMENT MATRIX'!AX41-1&gt;0,'TASKS AND ROAD SEGMENT MATRIX'!AX41-1,"-")</f>
        <v>-</v>
      </c>
      <c r="AL41" s="23" t="str">
        <f aca="false">IF('TASKS AND ROAD SEGMENT MATRIX'!AY41-1&gt;0,'TASKS AND ROAD SEGMENT MATRIX'!AY41-1,"-")</f>
        <v>-</v>
      </c>
      <c r="AM41" s="23" t="str">
        <f aca="false">IF('TASKS AND ROAD SEGMENT MATRIX'!AZ41-1&gt;0,'TASKS AND ROAD SEGMENT MATRIX'!AZ41-1,"-")</f>
        <v>-</v>
      </c>
      <c r="AN41" s="23" t="str">
        <f aca="false">IF('TASKS AND ROAD SEGMENT MATRIX'!BA41-1&gt;0,'TASKS AND ROAD SEGMENT MATRIX'!BA41-1,"-")</f>
        <v>-</v>
      </c>
      <c r="AO41" s="23" t="str">
        <f aca="false">IF('TASKS AND ROAD SEGMENT MATRIX'!BB41-1&gt;0,'TASKS AND ROAD SEGMENT MATRIX'!BB41-1,"-")</f>
        <v>-</v>
      </c>
      <c r="AP41" s="23" t="str">
        <f aca="false">IF('TASKS AND ROAD SEGMENT MATRIX'!BC41-1&gt;0,'TASKS AND ROAD SEGMENT MATRIX'!BC41-1,"-")</f>
        <v>-</v>
      </c>
      <c r="AQ41" s="23" t="str">
        <f aca="false">IF('TASKS AND ROAD SEGMENT MATRIX'!BD41-1&gt;0,'TASKS AND ROAD SEGMENT MATRIX'!BD41-1,"-")</f>
        <v>-</v>
      </c>
      <c r="AR41" s="23" t="n">
        <f aca="false">IF('TASKS AND ROAD SEGMENT MATRIX'!BE41-1&gt;0,'TASKS AND ROAD SEGMENT MATRIX'!BE41-1,"-")</f>
        <v>0.942455723422329</v>
      </c>
      <c r="AS41" s="23" t="n">
        <f aca="false">IF('TASKS AND ROAD SEGMENT MATRIX'!BF41-1&gt;0,'TASKS AND ROAD SEGMENT MATRIX'!BF41-1,"-")</f>
        <v>0.471227861711165</v>
      </c>
      <c r="AT41" s="23" t="str">
        <f aca="false">IF('TASKS AND ROAD SEGMENT MATRIX'!BG41-1&gt;0,'TASKS AND ROAD SEGMENT MATRIX'!BG41-1,"-")</f>
        <v>-</v>
      </c>
      <c r="AU41" s="23" t="str">
        <f aca="false">IF('TASKS AND ROAD SEGMENT MATRIX'!BH41-1&gt;0,'TASKS AND ROAD SEGMENT MATRIX'!BH41-1,"-")</f>
        <v>-</v>
      </c>
    </row>
    <row r="42" customFormat="false" ht="13.8" hidden="false" customHeight="false" outlineLevel="0" collapsed="false">
      <c r="A42" s="9" t="s">
        <v>72</v>
      </c>
      <c r="B42" s="0" t="s">
        <v>112</v>
      </c>
      <c r="C42" s="23" t="str">
        <f aca="false">IF('TASKS AND ROAD SEGMENT MATRIX'!P42-1&gt;0,'TASKS AND ROAD SEGMENT MATRIX'!P42-1,"-")</f>
        <v>-</v>
      </c>
      <c r="D42" s="23" t="str">
        <f aca="false">IF('TASKS AND ROAD SEGMENT MATRIX'!Q42-1&gt;0,'TASKS AND ROAD SEGMENT MATRIX'!Q42-1,"-")</f>
        <v>-</v>
      </c>
      <c r="E42" s="23" t="str">
        <f aca="false">IF('TASKS AND ROAD SEGMENT MATRIX'!R42-1&gt;0,'TASKS AND ROAD SEGMENT MATRIX'!R42-1,"-")</f>
        <v>-</v>
      </c>
      <c r="F42" s="23" t="str">
        <f aca="false">IF('TASKS AND ROAD SEGMENT MATRIX'!S42-1&gt;0,'TASKS AND ROAD SEGMENT MATRIX'!S42-1,"-")</f>
        <v>-</v>
      </c>
      <c r="G42" s="23" t="str">
        <f aca="false">IF('TASKS AND ROAD SEGMENT MATRIX'!T42-1&gt;0,'TASKS AND ROAD SEGMENT MATRIX'!T42-1,"-")</f>
        <v>-</v>
      </c>
      <c r="H42" s="23" t="str">
        <f aca="false">IF('TASKS AND ROAD SEGMENT MATRIX'!U42-1&gt;0,'TASKS AND ROAD SEGMENT MATRIX'!U42-1,"-")</f>
        <v>-</v>
      </c>
      <c r="I42" s="23" t="str">
        <f aca="false">IF('TASKS AND ROAD SEGMENT MATRIX'!V42-1&gt;0,'TASKS AND ROAD SEGMENT MATRIX'!V42-1,"-")</f>
        <v>-</v>
      </c>
      <c r="J42" s="23" t="n">
        <f aca="false">IF('TASKS AND ROAD SEGMENT MATRIX'!W42-1&gt;0,'TASKS AND ROAD SEGMENT MATRIX'!W42-1,"-")</f>
        <v>0.209983354574433</v>
      </c>
      <c r="K42" s="23" t="str">
        <f aca="false">IF('TASKS AND ROAD SEGMENT MATRIX'!X42-1&gt;0,'TASKS AND ROAD SEGMENT MATRIX'!X42-1,"-")</f>
        <v>-</v>
      </c>
      <c r="L42" s="23" t="str">
        <f aca="false">IF('TASKS AND ROAD SEGMENT MATRIX'!Y42-1&gt;0,'TASKS AND ROAD SEGMENT MATRIX'!Y42-1,"-")</f>
        <v>-</v>
      </c>
      <c r="M42" s="23" t="str">
        <f aca="false">IF('TASKS AND ROAD SEGMENT MATRIX'!Z42-1&gt;0,'TASKS AND ROAD SEGMENT MATRIX'!Z42-1,"-")</f>
        <v>-</v>
      </c>
      <c r="N42" s="23" t="str">
        <f aca="false">IF('TASKS AND ROAD SEGMENT MATRIX'!AA42-1&gt;0,'TASKS AND ROAD SEGMENT MATRIX'!AA42-1,"-")</f>
        <v>-</v>
      </c>
      <c r="O42" s="23" t="str">
        <f aca="false">IF('TASKS AND ROAD SEGMENT MATRIX'!AB42-1&gt;0,'TASKS AND ROAD SEGMENT MATRIX'!AB42-1,"-")</f>
        <v>-</v>
      </c>
      <c r="P42" s="23" t="str">
        <f aca="false">IF('TASKS AND ROAD SEGMENT MATRIX'!AC42-1&gt;0,'TASKS AND ROAD SEGMENT MATRIX'!AC42-1,"-")</f>
        <v>-</v>
      </c>
      <c r="Q42" s="23" t="n">
        <f aca="false">IF('TASKS AND ROAD SEGMENT MATRIX'!AD42-1&gt;0,'TASKS AND ROAD SEGMENT MATRIX'!AD42-1,"-")</f>
        <v>0.209983354574433</v>
      </c>
      <c r="R42" s="23" t="n">
        <f aca="false">IF('TASKS AND ROAD SEGMENT MATRIX'!AE42-1&gt;0,'TASKS AND ROAD SEGMENT MATRIX'!AE42-1,"-")</f>
        <v>0.419966709148865</v>
      </c>
      <c r="S42" s="23" t="n">
        <f aca="false">IF('TASKS AND ROAD SEGMENT MATRIX'!AF42-1&gt;0,'TASKS AND ROAD SEGMENT MATRIX'!AF42-1,"-")</f>
        <v>0.419966709148865</v>
      </c>
      <c r="T42" s="23" t="n">
        <f aca="false">IF('TASKS AND ROAD SEGMENT MATRIX'!AG42-1&gt;0,'TASKS AND ROAD SEGMENT MATRIX'!AG42-1,"-")</f>
        <v>0.209983354574433</v>
      </c>
      <c r="U42" s="23" t="str">
        <f aca="false">IF('TASKS AND ROAD SEGMENT MATRIX'!AH42-1&gt;0,'TASKS AND ROAD SEGMENT MATRIX'!AH42-1,"-")</f>
        <v>-</v>
      </c>
      <c r="V42" s="23" t="n">
        <f aca="false">IF('TASKS AND ROAD SEGMENT MATRIX'!AI42-1&gt;0,'TASKS AND ROAD SEGMENT MATRIX'!AI42-1,"-")</f>
        <v>0.209983354574433</v>
      </c>
      <c r="W42" s="23" t="n">
        <f aca="false">IF('TASKS AND ROAD SEGMENT MATRIX'!AJ42-1&gt;0,'TASKS AND ROAD SEGMENT MATRIX'!AJ42-1,"-")</f>
        <v>0.209983354574433</v>
      </c>
      <c r="X42" s="23" t="str">
        <f aca="false">IF('TASKS AND ROAD SEGMENT MATRIX'!AK42-1&gt;0,'TASKS AND ROAD SEGMENT MATRIX'!AK42-1,"-")</f>
        <v>-</v>
      </c>
      <c r="Y42" s="23" t="str">
        <f aca="false">IF('TASKS AND ROAD SEGMENT MATRIX'!AL42-1&gt;0,'TASKS AND ROAD SEGMENT MATRIX'!AL42-1,"-")</f>
        <v>-</v>
      </c>
      <c r="Z42" s="23" t="str">
        <f aca="false">IF('TASKS AND ROAD SEGMENT MATRIX'!AM42-1&gt;0,'TASKS AND ROAD SEGMENT MATRIX'!AM42-1,"-")</f>
        <v>-</v>
      </c>
      <c r="AA42" s="23" t="str">
        <f aca="false">IF('TASKS AND ROAD SEGMENT MATRIX'!AN42-1&gt;0,'TASKS AND ROAD SEGMENT MATRIX'!AN42-1,"-")</f>
        <v>-</v>
      </c>
      <c r="AB42" s="23" t="str">
        <f aca="false">IF('TASKS AND ROAD SEGMENT MATRIX'!AO42-1&gt;0,'TASKS AND ROAD SEGMENT MATRIX'!AO42-1,"-")</f>
        <v>-</v>
      </c>
      <c r="AC42" s="23" t="n">
        <f aca="false">IF('TASKS AND ROAD SEGMENT MATRIX'!AP42-1&gt;0,'TASKS AND ROAD SEGMENT MATRIX'!AP42-1,"-")</f>
        <v>0.209983354574433</v>
      </c>
      <c r="AD42" s="23" t="n">
        <f aca="false">IF('TASKS AND ROAD SEGMENT MATRIX'!AQ42-1&gt;0,'TASKS AND ROAD SEGMENT MATRIX'!AQ42-1,"-")</f>
        <v>0.209983354574433</v>
      </c>
      <c r="AE42" s="23" t="n">
        <f aca="false">IF('TASKS AND ROAD SEGMENT MATRIX'!AR42-1&gt;0,'TASKS AND ROAD SEGMENT MATRIX'!AR42-1,"-")</f>
        <v>0.209983354574433</v>
      </c>
      <c r="AF42" s="23" t="n">
        <f aca="false">IF('TASKS AND ROAD SEGMENT MATRIX'!AS42-1&gt;0,'TASKS AND ROAD SEGMENT MATRIX'!AS42-1,"-")</f>
        <v>0.419966709148865</v>
      </c>
      <c r="AG42" s="23" t="n">
        <f aca="false">IF('TASKS AND ROAD SEGMENT MATRIX'!AT42-1&gt;0,'TASKS AND ROAD SEGMENT MATRIX'!AT42-1,"-")</f>
        <v>0.419966709148865</v>
      </c>
      <c r="AH42" s="23" t="str">
        <f aca="false">IF('TASKS AND ROAD SEGMENT MATRIX'!AU42-1&gt;0,'TASKS AND ROAD SEGMENT MATRIX'!AU42-1,"-")</f>
        <v>-</v>
      </c>
      <c r="AI42" s="23" t="str">
        <f aca="false">IF('TASKS AND ROAD SEGMENT MATRIX'!AV42-1&gt;0,'TASKS AND ROAD SEGMENT MATRIX'!AV42-1,"-")</f>
        <v>-</v>
      </c>
      <c r="AJ42" s="23" t="str">
        <f aca="false">IF('TASKS AND ROAD SEGMENT MATRIX'!AW42-1&gt;0,'TASKS AND ROAD SEGMENT MATRIX'!AW42-1,"-")</f>
        <v>-</v>
      </c>
      <c r="AK42" s="23" t="str">
        <f aca="false">IF('TASKS AND ROAD SEGMENT MATRIX'!AX42-1&gt;0,'TASKS AND ROAD SEGMENT MATRIX'!AX42-1,"-")</f>
        <v>-</v>
      </c>
      <c r="AL42" s="23" t="str">
        <f aca="false">IF('TASKS AND ROAD SEGMENT MATRIX'!AY42-1&gt;0,'TASKS AND ROAD SEGMENT MATRIX'!AY42-1,"-")</f>
        <v>-</v>
      </c>
      <c r="AM42" s="23" t="str">
        <f aca="false">IF('TASKS AND ROAD SEGMENT MATRIX'!AZ42-1&gt;0,'TASKS AND ROAD SEGMENT MATRIX'!AZ42-1,"-")</f>
        <v>-</v>
      </c>
      <c r="AN42" s="23" t="str">
        <f aca="false">IF('TASKS AND ROAD SEGMENT MATRIX'!BA42-1&gt;0,'TASKS AND ROAD SEGMENT MATRIX'!BA42-1,"-")</f>
        <v>-</v>
      </c>
      <c r="AO42" s="23" t="n">
        <f aca="false">IF('TASKS AND ROAD SEGMENT MATRIX'!BB42-1&gt;0,'TASKS AND ROAD SEGMENT MATRIX'!BB42-1,"-")</f>
        <v>0.209983354574433</v>
      </c>
      <c r="AP42" s="23" t="n">
        <f aca="false">IF('TASKS AND ROAD SEGMENT MATRIX'!BC42-1&gt;0,'TASKS AND ROAD SEGMENT MATRIX'!BC42-1,"-")</f>
        <v>0.209983354574433</v>
      </c>
      <c r="AQ42" s="23" t="str">
        <f aca="false">IF('TASKS AND ROAD SEGMENT MATRIX'!BD42-1&gt;0,'TASKS AND ROAD SEGMENT MATRIX'!BD42-1,"-")</f>
        <v>-</v>
      </c>
      <c r="AR42" s="23" t="n">
        <f aca="false">IF('TASKS AND ROAD SEGMENT MATRIX'!BE42-1&gt;0,'TASKS AND ROAD SEGMENT MATRIX'!BE42-1,"-")</f>
        <v>0.209983354574433</v>
      </c>
      <c r="AS42" s="23" t="str">
        <f aca="false">IF('TASKS AND ROAD SEGMENT MATRIX'!BF42-1&gt;0,'TASKS AND ROAD SEGMENT MATRIX'!BF42-1,"-")</f>
        <v>-</v>
      </c>
      <c r="AT42" s="23" t="str">
        <f aca="false">IF('TASKS AND ROAD SEGMENT MATRIX'!BG42-1&gt;0,'TASKS AND ROAD SEGMENT MATRIX'!BG42-1,"-")</f>
        <v>-</v>
      </c>
      <c r="AU42" s="23" t="str">
        <f aca="false">IF('TASKS AND ROAD SEGMENT MATRIX'!BH42-1&gt;0,'TASKS AND ROAD SEGMENT MATRIX'!BH42-1,"-")</f>
        <v>-</v>
      </c>
    </row>
    <row r="43" customFormat="false" ht="13.8" hidden="false" customHeight="false" outlineLevel="0" collapsed="false">
      <c r="A43" s="9" t="s">
        <v>72</v>
      </c>
      <c r="B43" s="0" t="s">
        <v>115</v>
      </c>
      <c r="C43" s="23" t="str">
        <f aca="false">IF('TASKS AND ROAD SEGMENT MATRIX'!P43-1&gt;0,'TASKS AND ROAD SEGMENT MATRIX'!P43-1,"-")</f>
        <v>-</v>
      </c>
      <c r="D43" s="23" t="str">
        <f aca="false">IF('TASKS AND ROAD SEGMENT MATRIX'!Q43-1&gt;0,'TASKS AND ROAD SEGMENT MATRIX'!Q43-1,"-")</f>
        <v>-</v>
      </c>
      <c r="E43" s="23" t="str">
        <f aca="false">IF('TASKS AND ROAD SEGMENT MATRIX'!R43-1&gt;0,'TASKS AND ROAD SEGMENT MATRIX'!R43-1,"-")</f>
        <v>-</v>
      </c>
      <c r="F43" s="23" t="str">
        <f aca="false">IF('TASKS AND ROAD SEGMENT MATRIX'!S43-1&gt;0,'TASKS AND ROAD SEGMENT MATRIX'!S43-1,"-")</f>
        <v>-</v>
      </c>
      <c r="G43" s="23" t="str">
        <f aca="false">IF('TASKS AND ROAD SEGMENT MATRIX'!T43-1&gt;0,'TASKS AND ROAD SEGMENT MATRIX'!T43-1,"-")</f>
        <v>-</v>
      </c>
      <c r="H43" s="23" t="str">
        <f aca="false">IF('TASKS AND ROAD SEGMENT MATRIX'!U43-1&gt;0,'TASKS AND ROAD SEGMENT MATRIX'!U43-1,"-")</f>
        <v>-</v>
      </c>
      <c r="I43" s="23" t="str">
        <f aca="false">IF('TASKS AND ROAD SEGMENT MATRIX'!V43-1&gt;0,'TASKS AND ROAD SEGMENT MATRIX'!V43-1,"-")</f>
        <v>-</v>
      </c>
      <c r="J43" s="23" t="n">
        <f aca="false">IF('TASKS AND ROAD SEGMENT MATRIX'!W43-1&gt;0,'TASKS AND ROAD SEGMENT MATRIX'!W43-1,"-")</f>
        <v>0.314975031861649</v>
      </c>
      <c r="K43" s="23" t="str">
        <f aca="false">IF('TASKS AND ROAD SEGMENT MATRIX'!X43-1&gt;0,'TASKS AND ROAD SEGMENT MATRIX'!X43-1,"-")</f>
        <v>-</v>
      </c>
      <c r="L43" s="23" t="str">
        <f aca="false">IF('TASKS AND ROAD SEGMENT MATRIX'!Y43-1&gt;0,'TASKS AND ROAD SEGMENT MATRIX'!Y43-1,"-")</f>
        <v>-</v>
      </c>
      <c r="M43" s="23" t="str">
        <f aca="false">IF('TASKS AND ROAD SEGMENT MATRIX'!Z43-1&gt;0,'TASKS AND ROAD SEGMENT MATRIX'!Z43-1,"-")</f>
        <v>-</v>
      </c>
      <c r="N43" s="23" t="str">
        <f aca="false">IF('TASKS AND ROAD SEGMENT MATRIX'!AA43-1&gt;0,'TASKS AND ROAD SEGMENT MATRIX'!AA43-1,"-")</f>
        <v>-</v>
      </c>
      <c r="O43" s="23" t="str">
        <f aca="false">IF('TASKS AND ROAD SEGMENT MATRIX'!AB43-1&gt;0,'TASKS AND ROAD SEGMENT MATRIX'!AB43-1,"-")</f>
        <v>-</v>
      </c>
      <c r="P43" s="23" t="str">
        <f aca="false">IF('TASKS AND ROAD SEGMENT MATRIX'!AC43-1&gt;0,'TASKS AND ROAD SEGMENT MATRIX'!AC43-1,"-")</f>
        <v>-</v>
      </c>
      <c r="Q43" s="23" t="n">
        <f aca="false">IF('TASKS AND ROAD SEGMENT MATRIX'!AD43-1&gt;0,'TASKS AND ROAD SEGMENT MATRIX'!AD43-1,"-")</f>
        <v>0.314975031861649</v>
      </c>
      <c r="R43" s="23" t="n">
        <f aca="false">IF('TASKS AND ROAD SEGMENT MATRIX'!AE43-1&gt;0,'TASKS AND ROAD SEGMENT MATRIX'!AE43-1,"-")</f>
        <v>0.629950063723298</v>
      </c>
      <c r="S43" s="23" t="n">
        <f aca="false">IF('TASKS AND ROAD SEGMENT MATRIX'!AF43-1&gt;0,'TASKS AND ROAD SEGMENT MATRIX'!AF43-1,"-")</f>
        <v>0.629950063723298</v>
      </c>
      <c r="T43" s="23" t="n">
        <f aca="false">IF('TASKS AND ROAD SEGMENT MATRIX'!AG43-1&gt;0,'TASKS AND ROAD SEGMENT MATRIX'!AG43-1,"-")</f>
        <v>0.314975031861649</v>
      </c>
      <c r="U43" s="23" t="str">
        <f aca="false">IF('TASKS AND ROAD SEGMENT MATRIX'!AH43-1&gt;0,'TASKS AND ROAD SEGMENT MATRIX'!AH43-1,"-")</f>
        <v>-</v>
      </c>
      <c r="V43" s="23" t="n">
        <f aca="false">IF('TASKS AND ROAD SEGMENT MATRIX'!AI43-1&gt;0,'TASKS AND ROAD SEGMENT MATRIX'!AI43-1,"-")</f>
        <v>0.314975031861649</v>
      </c>
      <c r="W43" s="23" t="n">
        <f aca="false">IF('TASKS AND ROAD SEGMENT MATRIX'!AJ43-1&gt;0,'TASKS AND ROAD SEGMENT MATRIX'!AJ43-1,"-")</f>
        <v>0.314975031861649</v>
      </c>
      <c r="X43" s="23" t="n">
        <f aca="false">IF('TASKS AND ROAD SEGMENT MATRIX'!AK43-1&gt;0,'TASKS AND ROAD SEGMENT MATRIX'!AK43-1,"-")</f>
        <v>0.629950063723298</v>
      </c>
      <c r="Y43" s="23" t="str">
        <f aca="false">IF('TASKS AND ROAD SEGMENT MATRIX'!AL43-1&gt;0,'TASKS AND ROAD SEGMENT MATRIX'!AL43-1,"-")</f>
        <v>-</v>
      </c>
      <c r="Z43" s="23" t="str">
        <f aca="false">IF('TASKS AND ROAD SEGMENT MATRIX'!AM43-1&gt;0,'TASKS AND ROAD SEGMENT MATRIX'!AM43-1,"-")</f>
        <v>-</v>
      </c>
      <c r="AA43" s="23" t="str">
        <f aca="false">IF('TASKS AND ROAD SEGMENT MATRIX'!AN43-1&gt;0,'TASKS AND ROAD SEGMENT MATRIX'!AN43-1,"-")</f>
        <v>-</v>
      </c>
      <c r="AB43" s="23" t="str">
        <f aca="false">IF('TASKS AND ROAD SEGMENT MATRIX'!AO43-1&gt;0,'TASKS AND ROAD SEGMENT MATRIX'!AO43-1,"-")</f>
        <v>-</v>
      </c>
      <c r="AC43" s="23" t="n">
        <f aca="false">IF('TASKS AND ROAD SEGMENT MATRIX'!AP43-1&gt;0,'TASKS AND ROAD SEGMENT MATRIX'!AP43-1,"-")</f>
        <v>0.314975031861649</v>
      </c>
      <c r="AD43" s="23" t="n">
        <f aca="false">IF('TASKS AND ROAD SEGMENT MATRIX'!AQ43-1&gt;0,'TASKS AND ROAD SEGMENT MATRIX'!AQ43-1,"-")</f>
        <v>0.314975031861649</v>
      </c>
      <c r="AE43" s="23" t="n">
        <f aca="false">IF('TASKS AND ROAD SEGMENT MATRIX'!AR43-1&gt;0,'TASKS AND ROAD SEGMENT MATRIX'!AR43-1,"-")</f>
        <v>0.314975031861649</v>
      </c>
      <c r="AF43" s="23" t="n">
        <f aca="false">IF('TASKS AND ROAD SEGMENT MATRIX'!AS43-1&gt;0,'TASKS AND ROAD SEGMENT MATRIX'!AS43-1,"-")</f>
        <v>0.629950063723298</v>
      </c>
      <c r="AG43" s="23" t="n">
        <f aca="false">IF('TASKS AND ROAD SEGMENT MATRIX'!AT43-1&gt;0,'TASKS AND ROAD SEGMENT MATRIX'!AT43-1,"-")</f>
        <v>0.629950063723298</v>
      </c>
      <c r="AH43" s="23" t="str">
        <f aca="false">IF('TASKS AND ROAD SEGMENT MATRIX'!AU43-1&gt;0,'TASKS AND ROAD SEGMENT MATRIX'!AU43-1,"-")</f>
        <v>-</v>
      </c>
      <c r="AI43" s="23" t="str">
        <f aca="false">IF('TASKS AND ROAD SEGMENT MATRIX'!AV43-1&gt;0,'TASKS AND ROAD SEGMENT MATRIX'!AV43-1,"-")</f>
        <v>-</v>
      </c>
      <c r="AJ43" s="23" t="str">
        <f aca="false">IF('TASKS AND ROAD SEGMENT MATRIX'!AW43-1&gt;0,'TASKS AND ROAD SEGMENT MATRIX'!AW43-1,"-")</f>
        <v>-</v>
      </c>
      <c r="AK43" s="23" t="str">
        <f aca="false">IF('TASKS AND ROAD SEGMENT MATRIX'!AX43-1&gt;0,'TASKS AND ROAD SEGMENT MATRIX'!AX43-1,"-")</f>
        <v>-</v>
      </c>
      <c r="AL43" s="23" t="str">
        <f aca="false">IF('TASKS AND ROAD SEGMENT MATRIX'!AY43-1&gt;0,'TASKS AND ROAD SEGMENT MATRIX'!AY43-1,"-")</f>
        <v>-</v>
      </c>
      <c r="AM43" s="23" t="str">
        <f aca="false">IF('TASKS AND ROAD SEGMENT MATRIX'!AZ43-1&gt;0,'TASKS AND ROAD SEGMENT MATRIX'!AZ43-1,"-")</f>
        <v>-</v>
      </c>
      <c r="AN43" s="23" t="str">
        <f aca="false">IF('TASKS AND ROAD SEGMENT MATRIX'!BA43-1&gt;0,'TASKS AND ROAD SEGMENT MATRIX'!BA43-1,"-")</f>
        <v>-</v>
      </c>
      <c r="AO43" s="23" t="n">
        <f aca="false">IF('TASKS AND ROAD SEGMENT MATRIX'!BB43-1&gt;0,'TASKS AND ROAD SEGMENT MATRIX'!BB43-1,"-")</f>
        <v>0.314975031861649</v>
      </c>
      <c r="AP43" s="23" t="n">
        <f aca="false">IF('TASKS AND ROAD SEGMENT MATRIX'!BC43-1&gt;0,'TASKS AND ROAD SEGMENT MATRIX'!BC43-1,"-")</f>
        <v>0.314975031861649</v>
      </c>
      <c r="AQ43" s="23" t="str">
        <f aca="false">IF('TASKS AND ROAD SEGMENT MATRIX'!BD43-1&gt;0,'TASKS AND ROAD SEGMENT MATRIX'!BD43-1,"-")</f>
        <v>-</v>
      </c>
      <c r="AR43" s="23" t="n">
        <f aca="false">IF('TASKS AND ROAD SEGMENT MATRIX'!BE43-1&gt;0,'TASKS AND ROAD SEGMENT MATRIX'!BE43-1,"-")</f>
        <v>0.314975031861649</v>
      </c>
      <c r="AS43" s="23" t="str">
        <f aca="false">IF('TASKS AND ROAD SEGMENT MATRIX'!BF43-1&gt;0,'TASKS AND ROAD SEGMENT MATRIX'!BF43-1,"-")</f>
        <v>-</v>
      </c>
      <c r="AT43" s="23" t="str">
        <f aca="false">IF('TASKS AND ROAD SEGMENT MATRIX'!BG43-1&gt;0,'TASKS AND ROAD SEGMENT MATRIX'!BG43-1,"-")</f>
        <v>-</v>
      </c>
      <c r="AU43" s="23" t="str">
        <f aca="false">IF('TASKS AND ROAD SEGMENT MATRIX'!BH43-1&gt;0,'TASKS AND ROAD SEGMENT MATRIX'!BH43-1,"-")</f>
        <v>-</v>
      </c>
    </row>
    <row r="44" customFormat="false" ht="13.8" hidden="false" customHeight="false" outlineLevel="0" collapsed="false">
      <c r="A44" s="9" t="s">
        <v>72</v>
      </c>
      <c r="B44" s="0" t="s">
        <v>117</v>
      </c>
      <c r="C44" s="23" t="str">
        <f aca="false">IF('TASKS AND ROAD SEGMENT MATRIX'!P44-1&gt;0,'TASKS AND ROAD SEGMENT MATRIX'!P44-1,"-")</f>
        <v>-</v>
      </c>
      <c r="D44" s="23" t="str">
        <f aca="false">IF('TASKS AND ROAD SEGMENT MATRIX'!Q44-1&gt;0,'TASKS AND ROAD SEGMENT MATRIX'!Q44-1,"-")</f>
        <v>-</v>
      </c>
      <c r="E44" s="23" t="str">
        <f aca="false">IF('TASKS AND ROAD SEGMENT MATRIX'!R44-1&gt;0,'TASKS AND ROAD SEGMENT MATRIX'!R44-1,"-")</f>
        <v>-</v>
      </c>
      <c r="F44" s="23" t="str">
        <f aca="false">IF('TASKS AND ROAD SEGMENT MATRIX'!S44-1&gt;0,'TASKS AND ROAD SEGMENT MATRIX'!S44-1,"-")</f>
        <v>-</v>
      </c>
      <c r="G44" s="23" t="str">
        <f aca="false">IF('TASKS AND ROAD SEGMENT MATRIX'!T44-1&gt;0,'TASKS AND ROAD SEGMENT MATRIX'!T44-1,"-")</f>
        <v>-</v>
      </c>
      <c r="H44" s="23" t="str">
        <f aca="false">IF('TASKS AND ROAD SEGMENT MATRIX'!U44-1&gt;0,'TASKS AND ROAD SEGMENT MATRIX'!U44-1,"-")</f>
        <v>-</v>
      </c>
      <c r="I44" s="23" t="str">
        <f aca="false">IF('TASKS AND ROAD SEGMENT MATRIX'!V44-1&gt;0,'TASKS AND ROAD SEGMENT MATRIX'!V44-1,"-")</f>
        <v>-</v>
      </c>
      <c r="J44" s="23" t="n">
        <f aca="false">IF('TASKS AND ROAD SEGMENT MATRIX'!W44-1&gt;0,'TASKS AND ROAD SEGMENT MATRIX'!W44-1,"-")</f>
        <v>0.262479193218041</v>
      </c>
      <c r="K44" s="23" t="str">
        <f aca="false">IF('TASKS AND ROAD SEGMENT MATRIX'!X44-1&gt;0,'TASKS AND ROAD SEGMENT MATRIX'!X44-1,"-")</f>
        <v>-</v>
      </c>
      <c r="L44" s="23" t="str">
        <f aca="false">IF('TASKS AND ROAD SEGMENT MATRIX'!Y44-1&gt;0,'TASKS AND ROAD SEGMENT MATRIX'!Y44-1,"-")</f>
        <v>-</v>
      </c>
      <c r="M44" s="23" t="str">
        <f aca="false">IF('TASKS AND ROAD SEGMENT MATRIX'!Z44-1&gt;0,'TASKS AND ROAD SEGMENT MATRIX'!Z44-1,"-")</f>
        <v>-</v>
      </c>
      <c r="N44" s="23" t="str">
        <f aca="false">IF('TASKS AND ROAD SEGMENT MATRIX'!AA44-1&gt;0,'TASKS AND ROAD SEGMENT MATRIX'!AA44-1,"-")</f>
        <v>-</v>
      </c>
      <c r="O44" s="23" t="str">
        <f aca="false">IF('TASKS AND ROAD SEGMENT MATRIX'!AB44-1&gt;0,'TASKS AND ROAD SEGMENT MATRIX'!AB44-1,"-")</f>
        <v>-</v>
      </c>
      <c r="P44" s="23" t="str">
        <f aca="false">IF('TASKS AND ROAD SEGMENT MATRIX'!AC44-1&gt;0,'TASKS AND ROAD SEGMENT MATRIX'!AC44-1,"-")</f>
        <v>-</v>
      </c>
      <c r="Q44" s="23" t="n">
        <f aca="false">IF('TASKS AND ROAD SEGMENT MATRIX'!AD44-1&gt;0,'TASKS AND ROAD SEGMENT MATRIX'!AD44-1,"-")</f>
        <v>0.262479193218041</v>
      </c>
      <c r="R44" s="23" t="n">
        <f aca="false">IF('TASKS AND ROAD SEGMENT MATRIX'!AE44-1&gt;0,'TASKS AND ROAD SEGMENT MATRIX'!AE44-1,"-")</f>
        <v>0.524958386436081</v>
      </c>
      <c r="S44" s="23" t="n">
        <f aca="false">IF('TASKS AND ROAD SEGMENT MATRIX'!AF44-1&gt;0,'TASKS AND ROAD SEGMENT MATRIX'!AF44-1,"-")</f>
        <v>0.524958386436081</v>
      </c>
      <c r="T44" s="23" t="n">
        <f aca="false">IF('TASKS AND ROAD SEGMENT MATRIX'!AG44-1&gt;0,'TASKS AND ROAD SEGMENT MATRIX'!AG44-1,"-")</f>
        <v>0.262479193218041</v>
      </c>
      <c r="U44" s="23" t="str">
        <f aca="false">IF('TASKS AND ROAD SEGMENT MATRIX'!AH44-1&gt;0,'TASKS AND ROAD SEGMENT MATRIX'!AH44-1,"-")</f>
        <v>-</v>
      </c>
      <c r="V44" s="23" t="n">
        <f aca="false">IF('TASKS AND ROAD SEGMENT MATRIX'!AI44-1&gt;0,'TASKS AND ROAD SEGMENT MATRIX'!AI44-1,"-")</f>
        <v>0.262479193218041</v>
      </c>
      <c r="W44" s="23" t="n">
        <f aca="false">IF('TASKS AND ROAD SEGMENT MATRIX'!AJ44-1&gt;0,'TASKS AND ROAD SEGMENT MATRIX'!AJ44-1,"-")</f>
        <v>0.262479193218041</v>
      </c>
      <c r="X44" s="23" t="n">
        <f aca="false">IF('TASKS AND ROAD SEGMENT MATRIX'!AK44-1&gt;0,'TASKS AND ROAD SEGMENT MATRIX'!AK44-1,"-")</f>
        <v>0.262479193218041</v>
      </c>
      <c r="Y44" s="23" t="str">
        <f aca="false">IF('TASKS AND ROAD SEGMENT MATRIX'!AL44-1&gt;0,'TASKS AND ROAD SEGMENT MATRIX'!AL44-1,"-")</f>
        <v>-</v>
      </c>
      <c r="Z44" s="23" t="str">
        <f aca="false">IF('TASKS AND ROAD SEGMENT MATRIX'!AM44-1&gt;0,'TASKS AND ROAD SEGMENT MATRIX'!AM44-1,"-")</f>
        <v>-</v>
      </c>
      <c r="AA44" s="23" t="str">
        <f aca="false">IF('TASKS AND ROAD SEGMENT MATRIX'!AN44-1&gt;0,'TASKS AND ROAD SEGMENT MATRIX'!AN44-1,"-")</f>
        <v>-</v>
      </c>
      <c r="AB44" s="23" t="str">
        <f aca="false">IF('TASKS AND ROAD SEGMENT MATRIX'!AO44-1&gt;0,'TASKS AND ROAD SEGMENT MATRIX'!AO44-1,"-")</f>
        <v>-</v>
      </c>
      <c r="AC44" s="23" t="n">
        <f aca="false">IF('TASKS AND ROAD SEGMENT MATRIX'!AP44-1&gt;0,'TASKS AND ROAD SEGMENT MATRIX'!AP44-1,"-")</f>
        <v>0.262479193218041</v>
      </c>
      <c r="AD44" s="23" t="n">
        <f aca="false">IF('TASKS AND ROAD SEGMENT MATRIX'!AQ44-1&gt;0,'TASKS AND ROAD SEGMENT MATRIX'!AQ44-1,"-")</f>
        <v>0.262479193218041</v>
      </c>
      <c r="AE44" s="23" t="n">
        <f aca="false">IF('TASKS AND ROAD SEGMENT MATRIX'!AR44-1&gt;0,'TASKS AND ROAD SEGMENT MATRIX'!AR44-1,"-")</f>
        <v>0.262479193218041</v>
      </c>
      <c r="AF44" s="23" t="n">
        <f aca="false">IF('TASKS AND ROAD SEGMENT MATRIX'!AS44-1&gt;0,'TASKS AND ROAD SEGMENT MATRIX'!AS44-1,"-")</f>
        <v>0.524958386436081</v>
      </c>
      <c r="AG44" s="23" t="n">
        <f aca="false">IF('TASKS AND ROAD SEGMENT MATRIX'!AT44-1&gt;0,'TASKS AND ROAD SEGMENT MATRIX'!AT44-1,"-")</f>
        <v>0.524958386436081</v>
      </c>
      <c r="AH44" s="23" t="str">
        <f aca="false">IF('TASKS AND ROAD SEGMENT MATRIX'!AU44-1&gt;0,'TASKS AND ROAD SEGMENT MATRIX'!AU44-1,"-")</f>
        <v>-</v>
      </c>
      <c r="AI44" s="23" t="str">
        <f aca="false">IF('TASKS AND ROAD SEGMENT MATRIX'!AV44-1&gt;0,'TASKS AND ROAD SEGMENT MATRIX'!AV44-1,"-")</f>
        <v>-</v>
      </c>
      <c r="AJ44" s="23" t="str">
        <f aca="false">IF('TASKS AND ROAD SEGMENT MATRIX'!AW44-1&gt;0,'TASKS AND ROAD SEGMENT MATRIX'!AW44-1,"-")</f>
        <v>-</v>
      </c>
      <c r="AK44" s="23" t="str">
        <f aca="false">IF('TASKS AND ROAD SEGMENT MATRIX'!AX44-1&gt;0,'TASKS AND ROAD SEGMENT MATRIX'!AX44-1,"-")</f>
        <v>-</v>
      </c>
      <c r="AL44" s="23" t="str">
        <f aca="false">IF('TASKS AND ROAD SEGMENT MATRIX'!AY44-1&gt;0,'TASKS AND ROAD SEGMENT MATRIX'!AY44-1,"-")</f>
        <v>-</v>
      </c>
      <c r="AM44" s="23" t="str">
        <f aca="false">IF('TASKS AND ROAD SEGMENT MATRIX'!AZ44-1&gt;0,'TASKS AND ROAD SEGMENT MATRIX'!AZ44-1,"-")</f>
        <v>-</v>
      </c>
      <c r="AN44" s="23" t="str">
        <f aca="false">IF('TASKS AND ROAD SEGMENT MATRIX'!BA44-1&gt;0,'TASKS AND ROAD SEGMENT MATRIX'!BA44-1,"-")</f>
        <v>-</v>
      </c>
      <c r="AO44" s="23" t="n">
        <f aca="false">IF('TASKS AND ROAD SEGMENT MATRIX'!BB44-1&gt;0,'TASKS AND ROAD SEGMENT MATRIX'!BB44-1,"-")</f>
        <v>0.262479193218041</v>
      </c>
      <c r="AP44" s="23" t="n">
        <f aca="false">IF('TASKS AND ROAD SEGMENT MATRIX'!BC44-1&gt;0,'TASKS AND ROAD SEGMENT MATRIX'!BC44-1,"-")</f>
        <v>0.262479193218041</v>
      </c>
      <c r="AQ44" s="23" t="str">
        <f aca="false">IF('TASKS AND ROAD SEGMENT MATRIX'!BD44-1&gt;0,'TASKS AND ROAD SEGMENT MATRIX'!BD44-1,"-")</f>
        <v>-</v>
      </c>
      <c r="AR44" s="23" t="n">
        <f aca="false">IF('TASKS AND ROAD SEGMENT MATRIX'!BE44-1&gt;0,'TASKS AND ROAD SEGMENT MATRIX'!BE44-1,"-")</f>
        <v>0.262479193218041</v>
      </c>
      <c r="AS44" s="23" t="str">
        <f aca="false">IF('TASKS AND ROAD SEGMENT MATRIX'!BF44-1&gt;0,'TASKS AND ROAD SEGMENT MATRIX'!BF44-1,"-")</f>
        <v>-</v>
      </c>
      <c r="AT44" s="23" t="str">
        <f aca="false">IF('TASKS AND ROAD SEGMENT MATRIX'!BG44-1&gt;0,'TASKS AND ROAD SEGMENT MATRIX'!BG44-1,"-")</f>
        <v>-</v>
      </c>
      <c r="AU44" s="23" t="str">
        <f aca="false">IF('TASKS AND ROAD SEGMENT MATRIX'!BH44-1&gt;0,'TASKS AND ROAD SEGMENT MATRIX'!BH44-1,"-")</f>
        <v>-</v>
      </c>
    </row>
    <row r="45" customFormat="false" ht="13.8" hidden="false" customHeight="false" outlineLevel="0" collapsed="false">
      <c r="A45" s="9" t="s">
        <v>72</v>
      </c>
      <c r="B45" s="0" t="s">
        <v>119</v>
      </c>
      <c r="C45" s="23" t="str">
        <f aca="false">IF('TASKS AND ROAD SEGMENT MATRIX'!P45-1&gt;0,'TASKS AND ROAD SEGMENT MATRIX'!P45-1,"-")</f>
        <v>-</v>
      </c>
      <c r="D45" s="23" t="str">
        <f aca="false">IF('TASKS AND ROAD SEGMENT MATRIX'!Q45-1&gt;0,'TASKS AND ROAD SEGMENT MATRIX'!Q45-1,"-")</f>
        <v>-</v>
      </c>
      <c r="E45" s="23" t="str">
        <f aca="false">IF('TASKS AND ROAD SEGMENT MATRIX'!R45-1&gt;0,'TASKS AND ROAD SEGMENT MATRIX'!R45-1,"-")</f>
        <v>-</v>
      </c>
      <c r="F45" s="23" t="str">
        <f aca="false">IF('TASKS AND ROAD SEGMENT MATRIX'!S45-1&gt;0,'TASKS AND ROAD SEGMENT MATRIX'!S45-1,"-")</f>
        <v>-</v>
      </c>
      <c r="G45" s="23" t="str">
        <f aca="false">IF('TASKS AND ROAD SEGMENT MATRIX'!T45-1&gt;0,'TASKS AND ROAD SEGMENT MATRIX'!T45-1,"-")</f>
        <v>-</v>
      </c>
      <c r="H45" s="23" t="str">
        <f aca="false">IF('TASKS AND ROAD SEGMENT MATRIX'!U45-1&gt;0,'TASKS AND ROAD SEGMENT MATRIX'!U45-1,"-")</f>
        <v>-</v>
      </c>
      <c r="I45" s="23" t="str">
        <f aca="false">IF('TASKS AND ROAD SEGMENT MATRIX'!V45-1&gt;0,'TASKS AND ROAD SEGMENT MATRIX'!V45-1,"-")</f>
        <v>-</v>
      </c>
      <c r="J45" s="23" t="n">
        <f aca="false">IF('TASKS AND ROAD SEGMENT MATRIX'!W45-1&gt;0,'TASKS AND ROAD SEGMENT MATRIX'!W45-1,"-")</f>
        <v>0.314975031861649</v>
      </c>
      <c r="K45" s="23" t="str">
        <f aca="false">IF('TASKS AND ROAD SEGMENT MATRIX'!X45-1&gt;0,'TASKS AND ROAD SEGMENT MATRIX'!X45-1,"-")</f>
        <v>-</v>
      </c>
      <c r="L45" s="23" t="str">
        <f aca="false">IF('TASKS AND ROAD SEGMENT MATRIX'!Y45-1&gt;0,'TASKS AND ROAD SEGMENT MATRIX'!Y45-1,"-")</f>
        <v>-</v>
      </c>
      <c r="M45" s="23" t="str">
        <f aca="false">IF('TASKS AND ROAD SEGMENT MATRIX'!Z45-1&gt;0,'TASKS AND ROAD SEGMENT MATRIX'!Z45-1,"-")</f>
        <v>-</v>
      </c>
      <c r="N45" s="23" t="str">
        <f aca="false">IF('TASKS AND ROAD SEGMENT MATRIX'!AA45-1&gt;0,'TASKS AND ROAD SEGMENT MATRIX'!AA45-1,"-")</f>
        <v>-</v>
      </c>
      <c r="O45" s="23" t="str">
        <f aca="false">IF('TASKS AND ROAD SEGMENT MATRIX'!AB45-1&gt;0,'TASKS AND ROAD SEGMENT MATRIX'!AB45-1,"-")</f>
        <v>-</v>
      </c>
      <c r="P45" s="23" t="str">
        <f aca="false">IF('TASKS AND ROAD SEGMENT MATRIX'!AC45-1&gt;0,'TASKS AND ROAD SEGMENT MATRIX'!AC45-1,"-")</f>
        <v>-</v>
      </c>
      <c r="Q45" s="23" t="n">
        <f aca="false">IF('TASKS AND ROAD SEGMENT MATRIX'!AD45-1&gt;0,'TASKS AND ROAD SEGMENT MATRIX'!AD45-1,"-")</f>
        <v>0.314975031861649</v>
      </c>
      <c r="R45" s="23" t="n">
        <f aca="false">IF('TASKS AND ROAD SEGMENT MATRIX'!AE45-1&gt;0,'TASKS AND ROAD SEGMENT MATRIX'!AE45-1,"-")</f>
        <v>0.629950063723298</v>
      </c>
      <c r="S45" s="23" t="n">
        <f aca="false">IF('TASKS AND ROAD SEGMENT MATRIX'!AF45-1&gt;0,'TASKS AND ROAD SEGMENT MATRIX'!AF45-1,"-")</f>
        <v>0.629950063723298</v>
      </c>
      <c r="T45" s="23" t="n">
        <f aca="false">IF('TASKS AND ROAD SEGMENT MATRIX'!AG45-1&gt;0,'TASKS AND ROAD SEGMENT MATRIX'!AG45-1,"-")</f>
        <v>0.314975031861649</v>
      </c>
      <c r="U45" s="23" t="str">
        <f aca="false">IF('TASKS AND ROAD SEGMENT MATRIX'!AH45-1&gt;0,'TASKS AND ROAD SEGMENT MATRIX'!AH45-1,"-")</f>
        <v>-</v>
      </c>
      <c r="V45" s="23" t="n">
        <f aca="false">IF('TASKS AND ROAD SEGMENT MATRIX'!AI45-1&gt;0,'TASKS AND ROAD SEGMENT MATRIX'!AI45-1,"-")</f>
        <v>0.314975031861649</v>
      </c>
      <c r="W45" s="23" t="n">
        <f aca="false">IF('TASKS AND ROAD SEGMENT MATRIX'!AJ45-1&gt;0,'TASKS AND ROAD SEGMENT MATRIX'!AJ45-1,"-")</f>
        <v>0.314975031861649</v>
      </c>
      <c r="X45" s="23" t="n">
        <f aca="false">IF('TASKS AND ROAD SEGMENT MATRIX'!AK45-1&gt;0,'TASKS AND ROAD SEGMENT MATRIX'!AK45-1,"-")</f>
        <v>0.629950063723298</v>
      </c>
      <c r="Y45" s="23" t="str">
        <f aca="false">IF('TASKS AND ROAD SEGMENT MATRIX'!AL45-1&gt;0,'TASKS AND ROAD SEGMENT MATRIX'!AL45-1,"-")</f>
        <v>-</v>
      </c>
      <c r="Z45" s="23" t="str">
        <f aca="false">IF('TASKS AND ROAD SEGMENT MATRIX'!AM45-1&gt;0,'TASKS AND ROAD SEGMENT MATRIX'!AM45-1,"-")</f>
        <v>-</v>
      </c>
      <c r="AA45" s="23" t="str">
        <f aca="false">IF('TASKS AND ROAD SEGMENT MATRIX'!AN45-1&gt;0,'TASKS AND ROAD SEGMENT MATRIX'!AN45-1,"-")</f>
        <v>-</v>
      </c>
      <c r="AB45" s="23" t="str">
        <f aca="false">IF('TASKS AND ROAD SEGMENT MATRIX'!AO45-1&gt;0,'TASKS AND ROAD SEGMENT MATRIX'!AO45-1,"-")</f>
        <v>-</v>
      </c>
      <c r="AC45" s="23" t="n">
        <f aca="false">IF('TASKS AND ROAD SEGMENT MATRIX'!AP45-1&gt;0,'TASKS AND ROAD SEGMENT MATRIX'!AP45-1,"-")</f>
        <v>0.314975031861649</v>
      </c>
      <c r="AD45" s="23" t="n">
        <f aca="false">IF('TASKS AND ROAD SEGMENT MATRIX'!AQ45-1&gt;0,'TASKS AND ROAD SEGMENT MATRIX'!AQ45-1,"-")</f>
        <v>0.314975031861649</v>
      </c>
      <c r="AE45" s="23" t="n">
        <f aca="false">IF('TASKS AND ROAD SEGMENT MATRIX'!AR45-1&gt;0,'TASKS AND ROAD SEGMENT MATRIX'!AR45-1,"-")</f>
        <v>0.314975031861649</v>
      </c>
      <c r="AF45" s="23" t="n">
        <f aca="false">IF('TASKS AND ROAD SEGMENT MATRIX'!AS45-1&gt;0,'TASKS AND ROAD SEGMENT MATRIX'!AS45-1,"-")</f>
        <v>0.629950063723298</v>
      </c>
      <c r="AG45" s="23" t="n">
        <f aca="false">IF('TASKS AND ROAD SEGMENT MATRIX'!AT45-1&gt;0,'TASKS AND ROAD SEGMENT MATRIX'!AT45-1,"-")</f>
        <v>0.629950063723298</v>
      </c>
      <c r="AH45" s="23" t="str">
        <f aca="false">IF('TASKS AND ROAD SEGMENT MATRIX'!AU45-1&gt;0,'TASKS AND ROAD SEGMENT MATRIX'!AU45-1,"-")</f>
        <v>-</v>
      </c>
      <c r="AI45" s="23" t="str">
        <f aca="false">IF('TASKS AND ROAD SEGMENT MATRIX'!AV45-1&gt;0,'TASKS AND ROAD SEGMENT MATRIX'!AV45-1,"-")</f>
        <v>-</v>
      </c>
      <c r="AJ45" s="23" t="str">
        <f aca="false">IF('TASKS AND ROAD SEGMENT MATRIX'!AW45-1&gt;0,'TASKS AND ROAD SEGMENT MATRIX'!AW45-1,"-")</f>
        <v>-</v>
      </c>
      <c r="AK45" s="23" t="str">
        <f aca="false">IF('TASKS AND ROAD SEGMENT MATRIX'!AX45-1&gt;0,'TASKS AND ROAD SEGMENT MATRIX'!AX45-1,"-")</f>
        <v>-</v>
      </c>
      <c r="AL45" s="23" t="str">
        <f aca="false">IF('TASKS AND ROAD SEGMENT MATRIX'!AY45-1&gt;0,'TASKS AND ROAD SEGMENT MATRIX'!AY45-1,"-")</f>
        <v>-</v>
      </c>
      <c r="AM45" s="23" t="str">
        <f aca="false">IF('TASKS AND ROAD SEGMENT MATRIX'!AZ45-1&gt;0,'TASKS AND ROAD SEGMENT MATRIX'!AZ45-1,"-")</f>
        <v>-</v>
      </c>
      <c r="AN45" s="23" t="str">
        <f aca="false">IF('TASKS AND ROAD SEGMENT MATRIX'!BA45-1&gt;0,'TASKS AND ROAD SEGMENT MATRIX'!BA45-1,"-")</f>
        <v>-</v>
      </c>
      <c r="AO45" s="23" t="n">
        <f aca="false">IF('TASKS AND ROAD SEGMENT MATRIX'!BB45-1&gt;0,'TASKS AND ROAD SEGMENT MATRIX'!BB45-1,"-")</f>
        <v>0.314975031861649</v>
      </c>
      <c r="AP45" s="23" t="n">
        <f aca="false">IF('TASKS AND ROAD SEGMENT MATRIX'!BC45-1&gt;0,'TASKS AND ROAD SEGMENT MATRIX'!BC45-1,"-")</f>
        <v>0.314975031861649</v>
      </c>
      <c r="AQ45" s="23" t="str">
        <f aca="false">IF('TASKS AND ROAD SEGMENT MATRIX'!BD45-1&gt;0,'TASKS AND ROAD SEGMENT MATRIX'!BD45-1,"-")</f>
        <v>-</v>
      </c>
      <c r="AR45" s="23" t="n">
        <f aca="false">IF('TASKS AND ROAD SEGMENT MATRIX'!BE45-1&gt;0,'TASKS AND ROAD SEGMENT MATRIX'!BE45-1,"-")</f>
        <v>0.314975031861649</v>
      </c>
      <c r="AS45" s="23" t="str">
        <f aca="false">IF('TASKS AND ROAD SEGMENT MATRIX'!BF45-1&gt;0,'TASKS AND ROAD SEGMENT MATRIX'!BF45-1,"-")</f>
        <v>-</v>
      </c>
      <c r="AT45" s="23" t="str">
        <f aca="false">IF('TASKS AND ROAD SEGMENT MATRIX'!BG45-1&gt;0,'TASKS AND ROAD SEGMENT MATRIX'!BG45-1,"-")</f>
        <v>-</v>
      </c>
      <c r="AU45" s="23" t="str">
        <f aca="false">IF('TASKS AND ROAD SEGMENT MATRIX'!BH45-1&gt;0,'TASKS AND ROAD SEGMENT MATRIX'!BH45-1,"-")</f>
        <v>-</v>
      </c>
    </row>
    <row r="46" customFormat="false" ht="13.8" hidden="false" customHeight="false" outlineLevel="0" collapsed="false">
      <c r="A46" s="19" t="s">
        <v>73</v>
      </c>
      <c r="B46" s="0" t="s">
        <v>112</v>
      </c>
      <c r="C46" s="23" t="str">
        <f aca="false">IF('TASKS AND ROAD SEGMENT MATRIX'!P46-1&gt;0,'TASKS AND ROAD SEGMENT MATRIX'!P46-1,"-")</f>
        <v>-</v>
      </c>
      <c r="D46" s="23" t="str">
        <f aca="false">IF('TASKS AND ROAD SEGMENT MATRIX'!Q46-1&gt;0,'TASKS AND ROAD SEGMENT MATRIX'!Q46-1,"-")</f>
        <v>-</v>
      </c>
      <c r="E46" s="23" t="str">
        <f aca="false">IF('TASKS AND ROAD SEGMENT MATRIX'!R46-1&gt;0,'TASKS AND ROAD SEGMENT MATRIX'!R46-1,"-")</f>
        <v>-</v>
      </c>
      <c r="F46" s="23" t="str">
        <f aca="false">IF('TASKS AND ROAD SEGMENT MATRIX'!S46-1&gt;0,'TASKS AND ROAD SEGMENT MATRIX'!S46-1,"-")</f>
        <v>-</v>
      </c>
      <c r="G46" s="23" t="str">
        <f aca="false">IF('TASKS AND ROAD SEGMENT MATRIX'!T46-1&gt;0,'TASKS AND ROAD SEGMENT MATRIX'!T46-1,"-")</f>
        <v>-</v>
      </c>
      <c r="H46" s="23" t="str">
        <f aca="false">IF('TASKS AND ROAD SEGMENT MATRIX'!U46-1&gt;0,'TASKS AND ROAD SEGMENT MATRIX'!U46-1,"-")</f>
        <v>-</v>
      </c>
      <c r="I46" s="23" t="str">
        <f aca="false">IF('TASKS AND ROAD SEGMENT MATRIX'!V46-1&gt;0,'TASKS AND ROAD SEGMENT MATRIX'!V46-1,"-")</f>
        <v>-</v>
      </c>
      <c r="J46" s="23" t="str">
        <f aca="false">IF('TASKS AND ROAD SEGMENT MATRIX'!W46-1&gt;0,'TASKS AND ROAD SEGMENT MATRIX'!W46-1,"-")</f>
        <v>-</v>
      </c>
      <c r="K46" s="23" t="n">
        <f aca="false">IF('TASKS AND ROAD SEGMENT MATRIX'!X46-1&gt;0,'TASKS AND ROAD SEGMENT MATRIX'!X46-1,"-")</f>
        <v>0.32997384290268</v>
      </c>
      <c r="L46" s="23" t="n">
        <f aca="false">IF('TASKS AND ROAD SEGMENT MATRIX'!Y46-1&gt;0,'TASKS AND ROAD SEGMENT MATRIX'!Y46-1,"-")</f>
        <v>0.659947685805359</v>
      </c>
      <c r="M46" s="23" t="str">
        <f aca="false">IF('TASKS AND ROAD SEGMENT MATRIX'!Z46-1&gt;0,'TASKS AND ROAD SEGMENT MATRIX'!Z46-1,"-")</f>
        <v>-</v>
      </c>
      <c r="N46" s="23" t="n">
        <f aca="false">IF('TASKS AND ROAD SEGMENT MATRIX'!AA46-1&gt;0,'TASKS AND ROAD SEGMENT MATRIX'!AA46-1,"-")</f>
        <v>0.32997384290268</v>
      </c>
      <c r="O46" s="23" t="str">
        <f aca="false">IF('TASKS AND ROAD SEGMENT MATRIX'!AB46-1&gt;0,'TASKS AND ROAD SEGMENT MATRIX'!AB46-1,"-")</f>
        <v>-</v>
      </c>
      <c r="P46" s="23" t="str">
        <f aca="false">IF('TASKS AND ROAD SEGMENT MATRIX'!AC46-1&gt;0,'TASKS AND ROAD SEGMENT MATRIX'!AC46-1,"-")</f>
        <v>-</v>
      </c>
      <c r="Q46" s="23" t="str">
        <f aca="false">IF('TASKS AND ROAD SEGMENT MATRIX'!AD46-1&gt;0,'TASKS AND ROAD SEGMENT MATRIX'!AD46-1,"-")</f>
        <v>-</v>
      </c>
      <c r="R46" s="23" t="str">
        <f aca="false">IF('TASKS AND ROAD SEGMENT MATRIX'!AE46-1&gt;0,'TASKS AND ROAD SEGMENT MATRIX'!AE46-1,"-")</f>
        <v>-</v>
      </c>
      <c r="S46" s="23" t="n">
        <f aca="false">IF('TASKS AND ROAD SEGMENT MATRIX'!AF46-1&gt;0,'TASKS AND ROAD SEGMENT MATRIX'!AF46-1,"-")</f>
        <v>0.32997384290268</v>
      </c>
      <c r="T46" s="23" t="n">
        <f aca="false">IF('TASKS AND ROAD SEGMENT MATRIX'!AG46-1&gt;0,'TASKS AND ROAD SEGMENT MATRIX'!AG46-1,"-")</f>
        <v>0.659947685805359</v>
      </c>
      <c r="U46" s="23" t="n">
        <f aca="false">IF('TASKS AND ROAD SEGMENT MATRIX'!AH46-1&gt;0,'TASKS AND ROAD SEGMENT MATRIX'!AH46-1,"-")</f>
        <v>0.659947685805359</v>
      </c>
      <c r="V46" s="23" t="n">
        <f aca="false">IF('TASKS AND ROAD SEGMENT MATRIX'!AI46-1&gt;0,'TASKS AND ROAD SEGMENT MATRIX'!AI46-1,"-")</f>
        <v>0.32997384290268</v>
      </c>
      <c r="W46" s="23" t="n">
        <f aca="false">IF('TASKS AND ROAD SEGMENT MATRIX'!AJ46-1&gt;0,'TASKS AND ROAD SEGMENT MATRIX'!AJ46-1,"-")</f>
        <v>0.32997384290268</v>
      </c>
      <c r="X46" s="23" t="str">
        <f aca="false">IF('TASKS AND ROAD SEGMENT MATRIX'!AK46-1&gt;0,'TASKS AND ROAD SEGMENT MATRIX'!AK46-1,"-")</f>
        <v>-</v>
      </c>
      <c r="Y46" s="23" t="str">
        <f aca="false">IF('TASKS AND ROAD SEGMENT MATRIX'!AL46-1&gt;0,'TASKS AND ROAD SEGMENT MATRIX'!AL46-1,"-")</f>
        <v>-</v>
      </c>
      <c r="Z46" s="23" t="n">
        <f aca="false">IF('TASKS AND ROAD SEGMENT MATRIX'!AM46-1&gt;0,'TASKS AND ROAD SEGMENT MATRIX'!AM46-1,"-")</f>
        <v>0.659947685805359</v>
      </c>
      <c r="AA46" s="23" t="n">
        <f aca="false">IF('TASKS AND ROAD SEGMENT MATRIX'!AN46-1&gt;0,'TASKS AND ROAD SEGMENT MATRIX'!AN46-1,"-")</f>
        <v>0.32997384290268</v>
      </c>
      <c r="AB46" s="23" t="n">
        <f aca="false">IF('TASKS AND ROAD SEGMENT MATRIX'!AO46-1&gt;0,'TASKS AND ROAD SEGMENT MATRIX'!AO46-1,"-")</f>
        <v>0.32997384290268</v>
      </c>
      <c r="AC46" s="23" t="n">
        <f aca="false">IF('TASKS AND ROAD SEGMENT MATRIX'!AP46-1&gt;0,'TASKS AND ROAD SEGMENT MATRIX'!AP46-1,"-")</f>
        <v>0.32997384290268</v>
      </c>
      <c r="AD46" s="23" t="str">
        <f aca="false">IF('TASKS AND ROAD SEGMENT MATRIX'!AQ46-1&gt;0,'TASKS AND ROAD SEGMENT MATRIX'!AQ46-1,"-")</f>
        <v>-</v>
      </c>
      <c r="AE46" s="23" t="str">
        <f aca="false">IF('TASKS AND ROAD SEGMENT MATRIX'!AR46-1&gt;0,'TASKS AND ROAD SEGMENT MATRIX'!AR46-1,"-")</f>
        <v>-</v>
      </c>
      <c r="AF46" s="23" t="str">
        <f aca="false">IF('TASKS AND ROAD SEGMENT MATRIX'!AS46-1&gt;0,'TASKS AND ROAD SEGMENT MATRIX'!AS46-1,"-")</f>
        <v>-</v>
      </c>
      <c r="AG46" s="23" t="str">
        <f aca="false">IF('TASKS AND ROAD SEGMENT MATRIX'!AT46-1&gt;0,'TASKS AND ROAD SEGMENT MATRIX'!AT46-1,"-")</f>
        <v>-</v>
      </c>
      <c r="AH46" s="23" t="str">
        <f aca="false">IF('TASKS AND ROAD SEGMENT MATRIX'!AU46-1&gt;0,'TASKS AND ROAD SEGMENT MATRIX'!AU46-1,"-")</f>
        <v>-</v>
      </c>
      <c r="AI46" s="23" t="n">
        <f aca="false">IF('TASKS AND ROAD SEGMENT MATRIX'!AV46-1&gt;0,'TASKS AND ROAD SEGMENT MATRIX'!AV46-1,"-")</f>
        <v>0.32997384290268</v>
      </c>
      <c r="AJ46" s="23" t="n">
        <f aca="false">IF('TASKS AND ROAD SEGMENT MATRIX'!AW46-1&gt;0,'TASKS AND ROAD SEGMENT MATRIX'!AW46-1,"-")</f>
        <v>0.32997384290268</v>
      </c>
      <c r="AK46" s="23" t="str">
        <f aca="false">IF('TASKS AND ROAD SEGMENT MATRIX'!AX46-1&gt;0,'TASKS AND ROAD SEGMENT MATRIX'!AX46-1,"-")</f>
        <v>-</v>
      </c>
      <c r="AL46" s="23" t="str">
        <f aca="false">IF('TASKS AND ROAD SEGMENT MATRIX'!AY46-1&gt;0,'TASKS AND ROAD SEGMENT MATRIX'!AY46-1,"-")</f>
        <v>-</v>
      </c>
      <c r="AM46" s="23" t="str">
        <f aca="false">IF('TASKS AND ROAD SEGMENT MATRIX'!AZ46-1&gt;0,'TASKS AND ROAD SEGMENT MATRIX'!AZ46-1,"-")</f>
        <v>-</v>
      </c>
      <c r="AN46" s="23" t="str">
        <f aca="false">IF('TASKS AND ROAD SEGMENT MATRIX'!BA46-1&gt;0,'TASKS AND ROAD SEGMENT MATRIX'!BA46-1,"-")</f>
        <v>-</v>
      </c>
      <c r="AO46" s="23" t="str">
        <f aca="false">IF('TASKS AND ROAD SEGMENT MATRIX'!BB46-1&gt;0,'TASKS AND ROAD SEGMENT MATRIX'!BB46-1,"-")</f>
        <v>-</v>
      </c>
      <c r="AP46" s="23" t="str">
        <f aca="false">IF('TASKS AND ROAD SEGMENT MATRIX'!BC46-1&gt;0,'TASKS AND ROAD SEGMENT MATRIX'!BC46-1,"-")</f>
        <v>-</v>
      </c>
      <c r="AQ46" s="23" t="str">
        <f aca="false">IF('TASKS AND ROAD SEGMENT MATRIX'!BD46-1&gt;0,'TASKS AND ROAD SEGMENT MATRIX'!BD46-1,"-")</f>
        <v>-</v>
      </c>
      <c r="AR46" s="23" t="str">
        <f aca="false">IF('TASKS AND ROAD SEGMENT MATRIX'!BE46-1&gt;0,'TASKS AND ROAD SEGMENT MATRIX'!BE46-1,"-")</f>
        <v>-</v>
      </c>
      <c r="AS46" s="23" t="n">
        <f aca="false">IF('TASKS AND ROAD SEGMENT MATRIX'!BF46-1&gt;0,'TASKS AND ROAD SEGMENT MATRIX'!BF46-1,"-")</f>
        <v>0.32997384290268</v>
      </c>
      <c r="AT46" s="23" t="n">
        <f aca="false">IF('TASKS AND ROAD SEGMENT MATRIX'!BG46-1&gt;0,'TASKS AND ROAD SEGMENT MATRIX'!BG46-1,"-")</f>
        <v>0.32997384290268</v>
      </c>
      <c r="AU46" s="23" t="str">
        <f aca="false">IF('TASKS AND ROAD SEGMENT MATRIX'!BH46-1&gt;0,'TASKS AND ROAD SEGMENT MATRIX'!BH46-1,"-")</f>
        <v>-</v>
      </c>
    </row>
    <row r="47" customFormat="false" ht="13.8" hidden="false" customHeight="false" outlineLevel="0" collapsed="false">
      <c r="A47" s="19" t="s">
        <v>73</v>
      </c>
      <c r="B47" s="0" t="s">
        <v>115</v>
      </c>
      <c r="C47" s="23" t="str">
        <f aca="false">IF('TASKS AND ROAD SEGMENT MATRIX'!P47-1&gt;0,'TASKS AND ROAD SEGMENT MATRIX'!P47-1,"-")</f>
        <v>-</v>
      </c>
      <c r="D47" s="23" t="str">
        <f aca="false">IF('TASKS AND ROAD SEGMENT MATRIX'!Q47-1&gt;0,'TASKS AND ROAD SEGMENT MATRIX'!Q47-1,"-")</f>
        <v>-</v>
      </c>
      <c r="E47" s="23" t="str">
        <f aca="false">IF('TASKS AND ROAD SEGMENT MATRIX'!R47-1&gt;0,'TASKS AND ROAD SEGMENT MATRIX'!R47-1,"-")</f>
        <v>-</v>
      </c>
      <c r="F47" s="23" t="str">
        <f aca="false">IF('TASKS AND ROAD SEGMENT MATRIX'!S47-1&gt;0,'TASKS AND ROAD SEGMENT MATRIX'!S47-1,"-")</f>
        <v>-</v>
      </c>
      <c r="G47" s="23" t="str">
        <f aca="false">IF('TASKS AND ROAD SEGMENT MATRIX'!T47-1&gt;0,'TASKS AND ROAD SEGMENT MATRIX'!T47-1,"-")</f>
        <v>-</v>
      </c>
      <c r="H47" s="23" t="str">
        <f aca="false">IF('TASKS AND ROAD SEGMENT MATRIX'!U47-1&gt;0,'TASKS AND ROAD SEGMENT MATRIX'!U47-1,"-")</f>
        <v>-</v>
      </c>
      <c r="I47" s="23" t="str">
        <f aca="false">IF('TASKS AND ROAD SEGMENT MATRIX'!V47-1&gt;0,'TASKS AND ROAD SEGMENT MATRIX'!V47-1,"-")</f>
        <v>-</v>
      </c>
      <c r="J47" s="23" t="str">
        <f aca="false">IF('TASKS AND ROAD SEGMENT MATRIX'!W47-1&gt;0,'TASKS AND ROAD SEGMENT MATRIX'!W47-1,"-")</f>
        <v>-</v>
      </c>
      <c r="K47" s="23" t="n">
        <f aca="false">IF('TASKS AND ROAD SEGMENT MATRIX'!X47-1&gt;0,'TASKS AND ROAD SEGMENT MATRIX'!X47-1,"-")</f>
        <v>0.49496076435402</v>
      </c>
      <c r="L47" s="23" t="n">
        <f aca="false">IF('TASKS AND ROAD SEGMENT MATRIX'!Y47-1&gt;0,'TASKS AND ROAD SEGMENT MATRIX'!Y47-1,"-")</f>
        <v>0.989921528708039</v>
      </c>
      <c r="M47" s="23" t="str">
        <f aca="false">IF('TASKS AND ROAD SEGMENT MATRIX'!Z47-1&gt;0,'TASKS AND ROAD SEGMENT MATRIX'!Z47-1,"-")</f>
        <v>-</v>
      </c>
      <c r="N47" s="23" t="n">
        <f aca="false">IF('TASKS AND ROAD SEGMENT MATRIX'!AA47-1&gt;0,'TASKS AND ROAD SEGMENT MATRIX'!AA47-1,"-")</f>
        <v>0.49496076435402</v>
      </c>
      <c r="O47" s="23" t="str">
        <f aca="false">IF('TASKS AND ROAD SEGMENT MATRIX'!AB47-1&gt;0,'TASKS AND ROAD SEGMENT MATRIX'!AB47-1,"-")</f>
        <v>-</v>
      </c>
      <c r="P47" s="23" t="str">
        <f aca="false">IF('TASKS AND ROAD SEGMENT MATRIX'!AC47-1&gt;0,'TASKS AND ROAD SEGMENT MATRIX'!AC47-1,"-")</f>
        <v>-</v>
      </c>
      <c r="Q47" s="23" t="str">
        <f aca="false">IF('TASKS AND ROAD SEGMENT MATRIX'!AD47-1&gt;0,'TASKS AND ROAD SEGMENT MATRIX'!AD47-1,"-")</f>
        <v>-</v>
      </c>
      <c r="R47" s="23" t="str">
        <f aca="false">IF('TASKS AND ROAD SEGMENT MATRIX'!AE47-1&gt;0,'TASKS AND ROAD SEGMENT MATRIX'!AE47-1,"-")</f>
        <v>-</v>
      </c>
      <c r="S47" s="23" t="n">
        <f aca="false">IF('TASKS AND ROAD SEGMENT MATRIX'!AF47-1&gt;0,'TASKS AND ROAD SEGMENT MATRIX'!AF47-1,"-")</f>
        <v>0.49496076435402</v>
      </c>
      <c r="T47" s="23" t="n">
        <f aca="false">IF('TASKS AND ROAD SEGMENT MATRIX'!AG47-1&gt;0,'TASKS AND ROAD SEGMENT MATRIX'!AG47-1,"-")</f>
        <v>0.989921528708039</v>
      </c>
      <c r="U47" s="23" t="n">
        <f aca="false">IF('TASKS AND ROAD SEGMENT MATRIX'!AH47-1&gt;0,'TASKS AND ROAD SEGMENT MATRIX'!AH47-1,"-")</f>
        <v>0.989921528708039</v>
      </c>
      <c r="V47" s="23" t="n">
        <f aca="false">IF('TASKS AND ROAD SEGMENT MATRIX'!AI47-1&gt;0,'TASKS AND ROAD SEGMENT MATRIX'!AI47-1,"-")</f>
        <v>0.49496076435402</v>
      </c>
      <c r="W47" s="23" t="n">
        <f aca="false">IF('TASKS AND ROAD SEGMENT MATRIX'!AJ47-1&gt;0,'TASKS AND ROAD SEGMENT MATRIX'!AJ47-1,"-")</f>
        <v>0.49496076435402</v>
      </c>
      <c r="X47" s="23" t="str">
        <f aca="false">IF('TASKS AND ROAD SEGMENT MATRIX'!AK47-1&gt;0,'TASKS AND ROAD SEGMENT MATRIX'!AK47-1,"-")</f>
        <v>-</v>
      </c>
      <c r="Y47" s="23" t="n">
        <f aca="false">IF('TASKS AND ROAD SEGMENT MATRIX'!AL47-1&gt;0,'TASKS AND ROAD SEGMENT MATRIX'!AL47-1,"-")</f>
        <v>0.989921528708039</v>
      </c>
      <c r="Z47" s="23" t="n">
        <f aca="false">IF('TASKS AND ROAD SEGMENT MATRIX'!AM47-1&gt;0,'TASKS AND ROAD SEGMENT MATRIX'!AM47-1,"-")</f>
        <v>0.989921528708039</v>
      </c>
      <c r="AA47" s="23" t="n">
        <f aca="false">IF('TASKS AND ROAD SEGMENT MATRIX'!AN47-1&gt;0,'TASKS AND ROAD SEGMENT MATRIX'!AN47-1,"-")</f>
        <v>0.49496076435402</v>
      </c>
      <c r="AB47" s="23" t="n">
        <f aca="false">IF('TASKS AND ROAD SEGMENT MATRIX'!AO47-1&gt;0,'TASKS AND ROAD SEGMENT MATRIX'!AO47-1,"-")</f>
        <v>0.49496076435402</v>
      </c>
      <c r="AC47" s="23" t="n">
        <f aca="false">IF('TASKS AND ROAD SEGMENT MATRIX'!AP47-1&gt;0,'TASKS AND ROAD SEGMENT MATRIX'!AP47-1,"-")</f>
        <v>0.49496076435402</v>
      </c>
      <c r="AD47" s="23" t="str">
        <f aca="false">IF('TASKS AND ROAD SEGMENT MATRIX'!AQ47-1&gt;0,'TASKS AND ROAD SEGMENT MATRIX'!AQ47-1,"-")</f>
        <v>-</v>
      </c>
      <c r="AE47" s="23" t="str">
        <f aca="false">IF('TASKS AND ROAD SEGMENT MATRIX'!AR47-1&gt;0,'TASKS AND ROAD SEGMENT MATRIX'!AR47-1,"-")</f>
        <v>-</v>
      </c>
      <c r="AF47" s="23" t="str">
        <f aca="false">IF('TASKS AND ROAD SEGMENT MATRIX'!AS47-1&gt;0,'TASKS AND ROAD SEGMENT MATRIX'!AS47-1,"-")</f>
        <v>-</v>
      </c>
      <c r="AG47" s="23" t="str">
        <f aca="false">IF('TASKS AND ROAD SEGMENT MATRIX'!AT47-1&gt;0,'TASKS AND ROAD SEGMENT MATRIX'!AT47-1,"-")</f>
        <v>-</v>
      </c>
      <c r="AH47" s="23" t="str">
        <f aca="false">IF('TASKS AND ROAD SEGMENT MATRIX'!AU47-1&gt;0,'TASKS AND ROAD SEGMENT MATRIX'!AU47-1,"-")</f>
        <v>-</v>
      </c>
      <c r="AI47" s="23" t="n">
        <f aca="false">IF('TASKS AND ROAD SEGMENT MATRIX'!AV47-1&gt;0,'TASKS AND ROAD SEGMENT MATRIX'!AV47-1,"-")</f>
        <v>0.49496076435402</v>
      </c>
      <c r="AJ47" s="23" t="n">
        <f aca="false">IF('TASKS AND ROAD SEGMENT MATRIX'!AW47-1&gt;0,'TASKS AND ROAD SEGMENT MATRIX'!AW47-1,"-")</f>
        <v>0.49496076435402</v>
      </c>
      <c r="AK47" s="23" t="str">
        <f aca="false">IF('TASKS AND ROAD SEGMENT MATRIX'!AX47-1&gt;0,'TASKS AND ROAD SEGMENT MATRIX'!AX47-1,"-")</f>
        <v>-</v>
      </c>
      <c r="AL47" s="23" t="str">
        <f aca="false">IF('TASKS AND ROAD SEGMENT MATRIX'!AY47-1&gt;0,'TASKS AND ROAD SEGMENT MATRIX'!AY47-1,"-")</f>
        <v>-</v>
      </c>
      <c r="AM47" s="23" t="str">
        <f aca="false">IF('TASKS AND ROAD SEGMENT MATRIX'!AZ47-1&gt;0,'TASKS AND ROAD SEGMENT MATRIX'!AZ47-1,"-")</f>
        <v>-</v>
      </c>
      <c r="AN47" s="23" t="str">
        <f aca="false">IF('TASKS AND ROAD SEGMENT MATRIX'!BA47-1&gt;0,'TASKS AND ROAD SEGMENT MATRIX'!BA47-1,"-")</f>
        <v>-</v>
      </c>
      <c r="AO47" s="23" t="str">
        <f aca="false">IF('TASKS AND ROAD SEGMENT MATRIX'!BB47-1&gt;0,'TASKS AND ROAD SEGMENT MATRIX'!BB47-1,"-")</f>
        <v>-</v>
      </c>
      <c r="AP47" s="23" t="str">
        <f aca="false">IF('TASKS AND ROAD SEGMENT MATRIX'!BC47-1&gt;0,'TASKS AND ROAD SEGMENT MATRIX'!BC47-1,"-")</f>
        <v>-</v>
      </c>
      <c r="AQ47" s="23" t="str">
        <f aca="false">IF('TASKS AND ROAD SEGMENT MATRIX'!BD47-1&gt;0,'TASKS AND ROAD SEGMENT MATRIX'!BD47-1,"-")</f>
        <v>-</v>
      </c>
      <c r="AR47" s="23" t="str">
        <f aca="false">IF('TASKS AND ROAD SEGMENT MATRIX'!BE47-1&gt;0,'TASKS AND ROAD SEGMENT MATRIX'!BE47-1,"-")</f>
        <v>-</v>
      </c>
      <c r="AS47" s="23" t="n">
        <f aca="false">IF('TASKS AND ROAD SEGMENT MATRIX'!BF47-1&gt;0,'TASKS AND ROAD SEGMENT MATRIX'!BF47-1,"-")</f>
        <v>0.49496076435402</v>
      </c>
      <c r="AT47" s="23" t="n">
        <f aca="false">IF('TASKS AND ROAD SEGMENT MATRIX'!BG47-1&gt;0,'TASKS AND ROAD SEGMENT MATRIX'!BG47-1,"-")</f>
        <v>0.49496076435402</v>
      </c>
      <c r="AU47" s="23" t="str">
        <f aca="false">IF('TASKS AND ROAD SEGMENT MATRIX'!BH47-1&gt;0,'TASKS AND ROAD SEGMENT MATRIX'!BH47-1,"-")</f>
        <v>-</v>
      </c>
    </row>
    <row r="48" customFormat="false" ht="13.8" hidden="false" customHeight="false" outlineLevel="0" collapsed="false">
      <c r="A48" s="19" t="s">
        <v>73</v>
      </c>
      <c r="B48" s="0" t="s">
        <v>117</v>
      </c>
      <c r="C48" s="23" t="str">
        <f aca="false">IF('TASKS AND ROAD SEGMENT MATRIX'!P48-1&gt;0,'TASKS AND ROAD SEGMENT MATRIX'!P48-1,"-")</f>
        <v>-</v>
      </c>
      <c r="D48" s="23" t="str">
        <f aca="false">IF('TASKS AND ROAD SEGMENT MATRIX'!Q48-1&gt;0,'TASKS AND ROAD SEGMENT MATRIX'!Q48-1,"-")</f>
        <v>-</v>
      </c>
      <c r="E48" s="23" t="str">
        <f aca="false">IF('TASKS AND ROAD SEGMENT MATRIX'!R48-1&gt;0,'TASKS AND ROAD SEGMENT MATRIX'!R48-1,"-")</f>
        <v>-</v>
      </c>
      <c r="F48" s="23" t="str">
        <f aca="false">IF('TASKS AND ROAD SEGMENT MATRIX'!S48-1&gt;0,'TASKS AND ROAD SEGMENT MATRIX'!S48-1,"-")</f>
        <v>-</v>
      </c>
      <c r="G48" s="23" t="str">
        <f aca="false">IF('TASKS AND ROAD SEGMENT MATRIX'!T48-1&gt;0,'TASKS AND ROAD SEGMENT MATRIX'!T48-1,"-")</f>
        <v>-</v>
      </c>
      <c r="H48" s="23" t="str">
        <f aca="false">IF('TASKS AND ROAD SEGMENT MATRIX'!U48-1&gt;0,'TASKS AND ROAD SEGMENT MATRIX'!U48-1,"-")</f>
        <v>-</v>
      </c>
      <c r="I48" s="23" t="str">
        <f aca="false">IF('TASKS AND ROAD SEGMENT MATRIX'!V48-1&gt;0,'TASKS AND ROAD SEGMENT MATRIX'!V48-1,"-")</f>
        <v>-</v>
      </c>
      <c r="J48" s="23" t="str">
        <f aca="false">IF('TASKS AND ROAD SEGMENT MATRIX'!W48-1&gt;0,'TASKS AND ROAD SEGMENT MATRIX'!W48-1,"-")</f>
        <v>-</v>
      </c>
      <c r="K48" s="23" t="n">
        <f aca="false">IF('TASKS AND ROAD SEGMENT MATRIX'!X48-1&gt;0,'TASKS AND ROAD SEGMENT MATRIX'!X48-1,"-")</f>
        <v>0.41246730362835</v>
      </c>
      <c r="L48" s="23" t="n">
        <f aca="false">IF('TASKS AND ROAD SEGMENT MATRIX'!Y48-1&gt;0,'TASKS AND ROAD SEGMENT MATRIX'!Y48-1,"-")</f>
        <v>0.824934607256699</v>
      </c>
      <c r="M48" s="23" t="str">
        <f aca="false">IF('TASKS AND ROAD SEGMENT MATRIX'!Z48-1&gt;0,'TASKS AND ROAD SEGMENT MATRIX'!Z48-1,"-")</f>
        <v>-</v>
      </c>
      <c r="N48" s="23" t="n">
        <f aca="false">IF('TASKS AND ROAD SEGMENT MATRIX'!AA48-1&gt;0,'TASKS AND ROAD SEGMENT MATRIX'!AA48-1,"-")</f>
        <v>0.41246730362835</v>
      </c>
      <c r="O48" s="23" t="str">
        <f aca="false">IF('TASKS AND ROAD SEGMENT MATRIX'!AB48-1&gt;0,'TASKS AND ROAD SEGMENT MATRIX'!AB48-1,"-")</f>
        <v>-</v>
      </c>
      <c r="P48" s="23" t="str">
        <f aca="false">IF('TASKS AND ROAD SEGMENT MATRIX'!AC48-1&gt;0,'TASKS AND ROAD SEGMENT MATRIX'!AC48-1,"-")</f>
        <v>-</v>
      </c>
      <c r="Q48" s="23" t="str">
        <f aca="false">IF('TASKS AND ROAD SEGMENT MATRIX'!AD48-1&gt;0,'TASKS AND ROAD SEGMENT MATRIX'!AD48-1,"-")</f>
        <v>-</v>
      </c>
      <c r="R48" s="23" t="str">
        <f aca="false">IF('TASKS AND ROAD SEGMENT MATRIX'!AE48-1&gt;0,'TASKS AND ROAD SEGMENT MATRIX'!AE48-1,"-")</f>
        <v>-</v>
      </c>
      <c r="S48" s="23" t="n">
        <f aca="false">IF('TASKS AND ROAD SEGMENT MATRIX'!AF48-1&gt;0,'TASKS AND ROAD SEGMENT MATRIX'!AF48-1,"-")</f>
        <v>0.41246730362835</v>
      </c>
      <c r="T48" s="23" t="n">
        <f aca="false">IF('TASKS AND ROAD SEGMENT MATRIX'!AG48-1&gt;0,'TASKS AND ROAD SEGMENT MATRIX'!AG48-1,"-")</f>
        <v>0.824934607256699</v>
      </c>
      <c r="U48" s="23" t="n">
        <f aca="false">IF('TASKS AND ROAD SEGMENT MATRIX'!AH48-1&gt;0,'TASKS AND ROAD SEGMENT MATRIX'!AH48-1,"-")</f>
        <v>0.824934607256699</v>
      </c>
      <c r="V48" s="23" t="n">
        <f aca="false">IF('TASKS AND ROAD SEGMENT MATRIX'!AI48-1&gt;0,'TASKS AND ROAD SEGMENT MATRIX'!AI48-1,"-")</f>
        <v>0.41246730362835</v>
      </c>
      <c r="W48" s="23" t="n">
        <f aca="false">IF('TASKS AND ROAD SEGMENT MATRIX'!AJ48-1&gt;0,'TASKS AND ROAD SEGMENT MATRIX'!AJ48-1,"-")</f>
        <v>0.41246730362835</v>
      </c>
      <c r="X48" s="23" t="str">
        <f aca="false">IF('TASKS AND ROAD SEGMENT MATRIX'!AK48-1&gt;0,'TASKS AND ROAD SEGMENT MATRIX'!AK48-1,"-")</f>
        <v>-</v>
      </c>
      <c r="Y48" s="23" t="n">
        <f aca="false">IF('TASKS AND ROAD SEGMENT MATRIX'!AL48-1&gt;0,'TASKS AND ROAD SEGMENT MATRIX'!AL48-1,"-")</f>
        <v>0.41246730362835</v>
      </c>
      <c r="Z48" s="23" t="n">
        <f aca="false">IF('TASKS AND ROAD SEGMENT MATRIX'!AM48-1&gt;0,'TASKS AND ROAD SEGMENT MATRIX'!AM48-1,"-")</f>
        <v>0.824934607256699</v>
      </c>
      <c r="AA48" s="23" t="n">
        <f aca="false">IF('TASKS AND ROAD SEGMENT MATRIX'!AN48-1&gt;0,'TASKS AND ROAD SEGMENT MATRIX'!AN48-1,"-")</f>
        <v>0.41246730362835</v>
      </c>
      <c r="AB48" s="23" t="n">
        <f aca="false">IF('TASKS AND ROAD SEGMENT MATRIX'!AO48-1&gt;0,'TASKS AND ROAD SEGMENT MATRIX'!AO48-1,"-")</f>
        <v>0.41246730362835</v>
      </c>
      <c r="AC48" s="23" t="n">
        <f aca="false">IF('TASKS AND ROAD SEGMENT MATRIX'!AP48-1&gt;0,'TASKS AND ROAD SEGMENT MATRIX'!AP48-1,"-")</f>
        <v>0.41246730362835</v>
      </c>
      <c r="AD48" s="23" t="str">
        <f aca="false">IF('TASKS AND ROAD SEGMENT MATRIX'!AQ48-1&gt;0,'TASKS AND ROAD SEGMENT MATRIX'!AQ48-1,"-")</f>
        <v>-</v>
      </c>
      <c r="AE48" s="23" t="str">
        <f aca="false">IF('TASKS AND ROAD SEGMENT MATRIX'!AR48-1&gt;0,'TASKS AND ROAD SEGMENT MATRIX'!AR48-1,"-")</f>
        <v>-</v>
      </c>
      <c r="AF48" s="23" t="str">
        <f aca="false">IF('TASKS AND ROAD SEGMENT MATRIX'!AS48-1&gt;0,'TASKS AND ROAD SEGMENT MATRIX'!AS48-1,"-")</f>
        <v>-</v>
      </c>
      <c r="AG48" s="23" t="str">
        <f aca="false">IF('TASKS AND ROAD SEGMENT MATRIX'!AT48-1&gt;0,'TASKS AND ROAD SEGMENT MATRIX'!AT48-1,"-")</f>
        <v>-</v>
      </c>
      <c r="AH48" s="23" t="str">
        <f aca="false">IF('TASKS AND ROAD SEGMENT MATRIX'!AU48-1&gt;0,'TASKS AND ROAD SEGMENT MATRIX'!AU48-1,"-")</f>
        <v>-</v>
      </c>
      <c r="AI48" s="23" t="n">
        <f aca="false">IF('TASKS AND ROAD SEGMENT MATRIX'!AV48-1&gt;0,'TASKS AND ROAD SEGMENT MATRIX'!AV48-1,"-")</f>
        <v>0.41246730362835</v>
      </c>
      <c r="AJ48" s="23" t="n">
        <f aca="false">IF('TASKS AND ROAD SEGMENT MATRIX'!AW48-1&gt;0,'TASKS AND ROAD SEGMENT MATRIX'!AW48-1,"-")</f>
        <v>0.41246730362835</v>
      </c>
      <c r="AK48" s="23" t="str">
        <f aca="false">IF('TASKS AND ROAD SEGMENT MATRIX'!AX48-1&gt;0,'TASKS AND ROAD SEGMENT MATRIX'!AX48-1,"-")</f>
        <v>-</v>
      </c>
      <c r="AL48" s="23" t="str">
        <f aca="false">IF('TASKS AND ROAD SEGMENT MATRIX'!AY48-1&gt;0,'TASKS AND ROAD SEGMENT MATRIX'!AY48-1,"-")</f>
        <v>-</v>
      </c>
      <c r="AM48" s="23" t="str">
        <f aca="false">IF('TASKS AND ROAD SEGMENT MATRIX'!AZ48-1&gt;0,'TASKS AND ROAD SEGMENT MATRIX'!AZ48-1,"-")</f>
        <v>-</v>
      </c>
      <c r="AN48" s="23" t="str">
        <f aca="false">IF('TASKS AND ROAD SEGMENT MATRIX'!BA48-1&gt;0,'TASKS AND ROAD SEGMENT MATRIX'!BA48-1,"-")</f>
        <v>-</v>
      </c>
      <c r="AO48" s="23" t="str">
        <f aca="false">IF('TASKS AND ROAD SEGMENT MATRIX'!BB48-1&gt;0,'TASKS AND ROAD SEGMENT MATRIX'!BB48-1,"-")</f>
        <v>-</v>
      </c>
      <c r="AP48" s="23" t="str">
        <f aca="false">IF('TASKS AND ROAD SEGMENT MATRIX'!BC48-1&gt;0,'TASKS AND ROAD SEGMENT MATRIX'!BC48-1,"-")</f>
        <v>-</v>
      </c>
      <c r="AQ48" s="23" t="str">
        <f aca="false">IF('TASKS AND ROAD SEGMENT MATRIX'!BD48-1&gt;0,'TASKS AND ROAD SEGMENT MATRIX'!BD48-1,"-")</f>
        <v>-</v>
      </c>
      <c r="AR48" s="23" t="str">
        <f aca="false">IF('TASKS AND ROAD SEGMENT MATRIX'!BE48-1&gt;0,'TASKS AND ROAD SEGMENT MATRIX'!BE48-1,"-")</f>
        <v>-</v>
      </c>
      <c r="AS48" s="23" t="n">
        <f aca="false">IF('TASKS AND ROAD SEGMENT MATRIX'!BF48-1&gt;0,'TASKS AND ROAD SEGMENT MATRIX'!BF48-1,"-")</f>
        <v>0.41246730362835</v>
      </c>
      <c r="AT48" s="23" t="n">
        <f aca="false">IF('TASKS AND ROAD SEGMENT MATRIX'!BG48-1&gt;0,'TASKS AND ROAD SEGMENT MATRIX'!BG48-1,"-")</f>
        <v>0.41246730362835</v>
      </c>
      <c r="AU48" s="23" t="str">
        <f aca="false">IF('TASKS AND ROAD SEGMENT MATRIX'!BH48-1&gt;0,'TASKS AND ROAD SEGMENT MATRIX'!BH48-1,"-")</f>
        <v>-</v>
      </c>
    </row>
    <row r="49" customFormat="false" ht="13.8" hidden="false" customHeight="false" outlineLevel="0" collapsed="false">
      <c r="A49" s="19" t="s">
        <v>73</v>
      </c>
      <c r="B49" s="0" t="s">
        <v>119</v>
      </c>
      <c r="C49" s="23" t="str">
        <f aca="false">IF('TASKS AND ROAD SEGMENT MATRIX'!P49-1&gt;0,'TASKS AND ROAD SEGMENT MATRIX'!P49-1,"-")</f>
        <v>-</v>
      </c>
      <c r="D49" s="23" t="str">
        <f aca="false">IF('TASKS AND ROAD SEGMENT MATRIX'!Q49-1&gt;0,'TASKS AND ROAD SEGMENT MATRIX'!Q49-1,"-")</f>
        <v>-</v>
      </c>
      <c r="E49" s="23" t="str">
        <f aca="false">IF('TASKS AND ROAD SEGMENT MATRIX'!R49-1&gt;0,'TASKS AND ROAD SEGMENT MATRIX'!R49-1,"-")</f>
        <v>-</v>
      </c>
      <c r="F49" s="23" t="str">
        <f aca="false">IF('TASKS AND ROAD SEGMENT MATRIX'!S49-1&gt;0,'TASKS AND ROAD SEGMENT MATRIX'!S49-1,"-")</f>
        <v>-</v>
      </c>
      <c r="G49" s="23" t="str">
        <f aca="false">IF('TASKS AND ROAD SEGMENT MATRIX'!T49-1&gt;0,'TASKS AND ROAD SEGMENT MATRIX'!T49-1,"-")</f>
        <v>-</v>
      </c>
      <c r="H49" s="23" t="str">
        <f aca="false">IF('TASKS AND ROAD SEGMENT MATRIX'!U49-1&gt;0,'TASKS AND ROAD SEGMENT MATRIX'!U49-1,"-")</f>
        <v>-</v>
      </c>
      <c r="I49" s="23" t="str">
        <f aca="false">IF('TASKS AND ROAD SEGMENT MATRIX'!V49-1&gt;0,'TASKS AND ROAD SEGMENT MATRIX'!V49-1,"-")</f>
        <v>-</v>
      </c>
      <c r="J49" s="23" t="str">
        <f aca="false">IF('TASKS AND ROAD SEGMENT MATRIX'!W49-1&gt;0,'TASKS AND ROAD SEGMENT MATRIX'!W49-1,"-")</f>
        <v>-</v>
      </c>
      <c r="K49" s="23" t="n">
        <f aca="false">IF('TASKS AND ROAD SEGMENT MATRIX'!X49-1&gt;0,'TASKS AND ROAD SEGMENT MATRIX'!X49-1,"-")</f>
        <v>0.49496076435402</v>
      </c>
      <c r="L49" s="23" t="n">
        <f aca="false">IF('TASKS AND ROAD SEGMENT MATRIX'!Y49-1&gt;0,'TASKS AND ROAD SEGMENT MATRIX'!Y49-1,"-")</f>
        <v>0.989921528708039</v>
      </c>
      <c r="M49" s="23" t="str">
        <f aca="false">IF('TASKS AND ROAD SEGMENT MATRIX'!Z49-1&gt;0,'TASKS AND ROAD SEGMENT MATRIX'!Z49-1,"-")</f>
        <v>-</v>
      </c>
      <c r="N49" s="23" t="n">
        <f aca="false">IF('TASKS AND ROAD SEGMENT MATRIX'!AA49-1&gt;0,'TASKS AND ROAD SEGMENT MATRIX'!AA49-1,"-")</f>
        <v>0.49496076435402</v>
      </c>
      <c r="O49" s="23" t="str">
        <f aca="false">IF('TASKS AND ROAD SEGMENT MATRIX'!AB49-1&gt;0,'TASKS AND ROAD SEGMENT MATRIX'!AB49-1,"-")</f>
        <v>-</v>
      </c>
      <c r="P49" s="23" t="str">
        <f aca="false">IF('TASKS AND ROAD SEGMENT MATRIX'!AC49-1&gt;0,'TASKS AND ROAD SEGMENT MATRIX'!AC49-1,"-")</f>
        <v>-</v>
      </c>
      <c r="Q49" s="23" t="str">
        <f aca="false">IF('TASKS AND ROAD SEGMENT MATRIX'!AD49-1&gt;0,'TASKS AND ROAD SEGMENT MATRIX'!AD49-1,"-")</f>
        <v>-</v>
      </c>
      <c r="R49" s="23" t="str">
        <f aca="false">IF('TASKS AND ROAD SEGMENT MATRIX'!AE49-1&gt;0,'TASKS AND ROAD SEGMENT MATRIX'!AE49-1,"-")</f>
        <v>-</v>
      </c>
      <c r="S49" s="23" t="n">
        <f aca="false">IF('TASKS AND ROAD SEGMENT MATRIX'!AF49-1&gt;0,'TASKS AND ROAD SEGMENT MATRIX'!AF49-1,"-")</f>
        <v>0.49496076435402</v>
      </c>
      <c r="T49" s="23" t="n">
        <f aca="false">IF('TASKS AND ROAD SEGMENT MATRIX'!AG49-1&gt;0,'TASKS AND ROAD SEGMENT MATRIX'!AG49-1,"-")</f>
        <v>0.989921528708039</v>
      </c>
      <c r="U49" s="23" t="n">
        <f aca="false">IF('TASKS AND ROAD SEGMENT MATRIX'!AH49-1&gt;0,'TASKS AND ROAD SEGMENT MATRIX'!AH49-1,"-")</f>
        <v>0.989921528708039</v>
      </c>
      <c r="V49" s="23" t="n">
        <f aca="false">IF('TASKS AND ROAD SEGMENT MATRIX'!AI49-1&gt;0,'TASKS AND ROAD SEGMENT MATRIX'!AI49-1,"-")</f>
        <v>0.49496076435402</v>
      </c>
      <c r="W49" s="23" t="n">
        <f aca="false">IF('TASKS AND ROAD SEGMENT MATRIX'!AJ49-1&gt;0,'TASKS AND ROAD SEGMENT MATRIX'!AJ49-1,"-")</f>
        <v>0.49496076435402</v>
      </c>
      <c r="X49" s="23" t="str">
        <f aca="false">IF('TASKS AND ROAD SEGMENT MATRIX'!AK49-1&gt;0,'TASKS AND ROAD SEGMENT MATRIX'!AK49-1,"-")</f>
        <v>-</v>
      </c>
      <c r="Y49" s="23" t="n">
        <f aca="false">IF('TASKS AND ROAD SEGMENT MATRIX'!AL49-1&gt;0,'TASKS AND ROAD SEGMENT MATRIX'!AL49-1,"-")</f>
        <v>0.989921528708039</v>
      </c>
      <c r="Z49" s="23" t="n">
        <f aca="false">IF('TASKS AND ROAD SEGMENT MATRIX'!AM49-1&gt;0,'TASKS AND ROAD SEGMENT MATRIX'!AM49-1,"-")</f>
        <v>0.989921528708039</v>
      </c>
      <c r="AA49" s="23" t="n">
        <f aca="false">IF('TASKS AND ROAD SEGMENT MATRIX'!AN49-1&gt;0,'TASKS AND ROAD SEGMENT MATRIX'!AN49-1,"-")</f>
        <v>0.49496076435402</v>
      </c>
      <c r="AB49" s="23" t="n">
        <f aca="false">IF('TASKS AND ROAD SEGMENT MATRIX'!AO49-1&gt;0,'TASKS AND ROAD SEGMENT MATRIX'!AO49-1,"-")</f>
        <v>0.49496076435402</v>
      </c>
      <c r="AC49" s="23" t="n">
        <f aca="false">IF('TASKS AND ROAD SEGMENT MATRIX'!AP49-1&gt;0,'TASKS AND ROAD SEGMENT MATRIX'!AP49-1,"-")</f>
        <v>0.49496076435402</v>
      </c>
      <c r="AD49" s="23" t="str">
        <f aca="false">IF('TASKS AND ROAD SEGMENT MATRIX'!AQ49-1&gt;0,'TASKS AND ROAD SEGMENT MATRIX'!AQ49-1,"-")</f>
        <v>-</v>
      </c>
      <c r="AE49" s="23" t="str">
        <f aca="false">IF('TASKS AND ROAD SEGMENT MATRIX'!AR49-1&gt;0,'TASKS AND ROAD SEGMENT MATRIX'!AR49-1,"-")</f>
        <v>-</v>
      </c>
      <c r="AF49" s="23" t="str">
        <f aca="false">IF('TASKS AND ROAD SEGMENT MATRIX'!AS49-1&gt;0,'TASKS AND ROAD SEGMENT MATRIX'!AS49-1,"-")</f>
        <v>-</v>
      </c>
      <c r="AG49" s="23" t="str">
        <f aca="false">IF('TASKS AND ROAD SEGMENT MATRIX'!AT49-1&gt;0,'TASKS AND ROAD SEGMENT MATRIX'!AT49-1,"-")</f>
        <v>-</v>
      </c>
      <c r="AH49" s="23" t="str">
        <f aca="false">IF('TASKS AND ROAD SEGMENT MATRIX'!AU49-1&gt;0,'TASKS AND ROAD SEGMENT MATRIX'!AU49-1,"-")</f>
        <v>-</v>
      </c>
      <c r="AI49" s="23" t="n">
        <f aca="false">IF('TASKS AND ROAD SEGMENT MATRIX'!AV49-1&gt;0,'TASKS AND ROAD SEGMENT MATRIX'!AV49-1,"-")</f>
        <v>0.49496076435402</v>
      </c>
      <c r="AJ49" s="23" t="n">
        <f aca="false">IF('TASKS AND ROAD SEGMENT MATRIX'!AW49-1&gt;0,'TASKS AND ROAD SEGMENT MATRIX'!AW49-1,"-")</f>
        <v>0.49496076435402</v>
      </c>
      <c r="AK49" s="23" t="str">
        <f aca="false">IF('TASKS AND ROAD SEGMENT MATRIX'!AX49-1&gt;0,'TASKS AND ROAD SEGMENT MATRIX'!AX49-1,"-")</f>
        <v>-</v>
      </c>
      <c r="AL49" s="23" t="str">
        <f aca="false">IF('TASKS AND ROAD SEGMENT MATRIX'!AY49-1&gt;0,'TASKS AND ROAD SEGMENT MATRIX'!AY49-1,"-")</f>
        <v>-</v>
      </c>
      <c r="AM49" s="23" t="str">
        <f aca="false">IF('TASKS AND ROAD SEGMENT MATRIX'!AZ49-1&gt;0,'TASKS AND ROAD SEGMENT MATRIX'!AZ49-1,"-")</f>
        <v>-</v>
      </c>
      <c r="AN49" s="23" t="str">
        <f aca="false">IF('TASKS AND ROAD SEGMENT MATRIX'!BA49-1&gt;0,'TASKS AND ROAD SEGMENT MATRIX'!BA49-1,"-")</f>
        <v>-</v>
      </c>
      <c r="AO49" s="23" t="str">
        <f aca="false">IF('TASKS AND ROAD SEGMENT MATRIX'!BB49-1&gt;0,'TASKS AND ROAD SEGMENT MATRIX'!BB49-1,"-")</f>
        <v>-</v>
      </c>
      <c r="AP49" s="23" t="str">
        <f aca="false">IF('TASKS AND ROAD SEGMENT MATRIX'!BC49-1&gt;0,'TASKS AND ROAD SEGMENT MATRIX'!BC49-1,"-")</f>
        <v>-</v>
      </c>
      <c r="AQ49" s="23" t="str">
        <f aca="false">IF('TASKS AND ROAD SEGMENT MATRIX'!BD49-1&gt;0,'TASKS AND ROAD SEGMENT MATRIX'!BD49-1,"-")</f>
        <v>-</v>
      </c>
      <c r="AR49" s="23" t="str">
        <f aca="false">IF('TASKS AND ROAD SEGMENT MATRIX'!BE49-1&gt;0,'TASKS AND ROAD SEGMENT MATRIX'!BE49-1,"-")</f>
        <v>-</v>
      </c>
      <c r="AS49" s="23" t="n">
        <f aca="false">IF('TASKS AND ROAD SEGMENT MATRIX'!BF49-1&gt;0,'TASKS AND ROAD SEGMENT MATRIX'!BF49-1,"-")</f>
        <v>0.49496076435402</v>
      </c>
      <c r="AT49" s="23" t="n">
        <f aca="false">IF('TASKS AND ROAD SEGMENT MATRIX'!BG49-1&gt;0,'TASKS AND ROAD SEGMENT MATRIX'!BG49-1,"-")</f>
        <v>0.49496076435402</v>
      </c>
      <c r="AU49" s="23" t="str">
        <f aca="false">IF('TASKS AND ROAD SEGMENT MATRIX'!BH49-1&gt;0,'TASKS AND ROAD SEGMENT MATRIX'!BH49-1,"-")</f>
        <v>-</v>
      </c>
    </row>
    <row r="50" customFormat="false" ht="13.8" hidden="false" customHeight="false" outlineLevel="0" collapsed="false">
      <c r="A50" s="0" t="s">
        <v>74</v>
      </c>
      <c r="B50" s="0" t="s">
        <v>112</v>
      </c>
      <c r="C50" s="23" t="str">
        <f aca="false">IF('TASKS AND ROAD SEGMENT MATRIX'!P50-1&gt;0,'TASKS AND ROAD SEGMENT MATRIX'!P50-1,"-")</f>
        <v>-</v>
      </c>
      <c r="D50" s="23" t="str">
        <f aca="false">IF('TASKS AND ROAD SEGMENT MATRIX'!Q50-1&gt;0,'TASKS AND ROAD SEGMENT MATRIX'!Q50-1,"-")</f>
        <v>-</v>
      </c>
      <c r="E50" s="23" t="n">
        <f aca="false">IF('TASKS AND ROAD SEGMENT MATRIX'!R50-1&gt;0,'TASKS AND ROAD SEGMENT MATRIX'!R50-1,"-")</f>
        <v>0.314151907807443</v>
      </c>
      <c r="F50" s="23" t="n">
        <f aca="false">IF('TASKS AND ROAD SEGMENT MATRIX'!S50-1&gt;0,'TASKS AND ROAD SEGMENT MATRIX'!S50-1,"-")</f>
        <v>0.314151907807443</v>
      </c>
      <c r="G50" s="23" t="str">
        <f aca="false">IF('TASKS AND ROAD SEGMENT MATRIX'!T50-1&gt;0,'TASKS AND ROAD SEGMENT MATRIX'!T50-1,"-")</f>
        <v>-</v>
      </c>
      <c r="H50" s="23" t="str">
        <f aca="false">IF('TASKS AND ROAD SEGMENT MATRIX'!U50-1&gt;0,'TASKS AND ROAD SEGMENT MATRIX'!U50-1,"-")</f>
        <v>-</v>
      </c>
      <c r="I50" s="23" t="str">
        <f aca="false">IF('TASKS AND ROAD SEGMENT MATRIX'!V50-1&gt;0,'TASKS AND ROAD SEGMENT MATRIX'!V50-1,"-")</f>
        <v>-</v>
      </c>
      <c r="J50" s="23" t="str">
        <f aca="false">IF('TASKS AND ROAD SEGMENT MATRIX'!W50-1&gt;0,'TASKS AND ROAD SEGMENT MATRIX'!W50-1,"-")</f>
        <v>-</v>
      </c>
      <c r="K50" s="23" t="str">
        <f aca="false">IF('TASKS AND ROAD SEGMENT MATRIX'!X50-1&gt;0,'TASKS AND ROAD SEGMENT MATRIX'!X50-1,"-")</f>
        <v>-</v>
      </c>
      <c r="L50" s="23" t="n">
        <f aca="false">IF('TASKS AND ROAD SEGMENT MATRIX'!Y50-1&gt;0,'TASKS AND ROAD SEGMENT MATRIX'!Y50-1,"-")</f>
        <v>0.314151907807443</v>
      </c>
      <c r="M50" s="23" t="str">
        <f aca="false">IF('TASKS AND ROAD SEGMENT MATRIX'!Z50-1&gt;0,'TASKS AND ROAD SEGMENT MATRIX'!Z50-1,"-")</f>
        <v>-</v>
      </c>
      <c r="N50" s="23" t="n">
        <f aca="false">IF('TASKS AND ROAD SEGMENT MATRIX'!AA50-1&gt;0,'TASKS AND ROAD SEGMENT MATRIX'!AA50-1,"-")</f>
        <v>0.314151907807443</v>
      </c>
      <c r="O50" s="23" t="str">
        <f aca="false">IF('TASKS AND ROAD SEGMENT MATRIX'!AB50-1&gt;0,'TASKS AND ROAD SEGMENT MATRIX'!AB50-1,"-")</f>
        <v>-</v>
      </c>
      <c r="P50" s="23" t="n">
        <f aca="false">IF('TASKS AND ROAD SEGMENT MATRIX'!AC50-1&gt;0,'TASKS AND ROAD SEGMENT MATRIX'!AC50-1,"-")</f>
        <v>0.314151907807443</v>
      </c>
      <c r="Q50" s="23" t="str">
        <f aca="false">IF('TASKS AND ROAD SEGMENT MATRIX'!AD50-1&gt;0,'TASKS AND ROAD SEGMENT MATRIX'!AD50-1,"-")</f>
        <v>-</v>
      </c>
      <c r="R50" s="23" t="str">
        <f aca="false">IF('TASKS AND ROAD SEGMENT MATRIX'!AE50-1&gt;0,'TASKS AND ROAD SEGMENT MATRIX'!AE50-1,"-")</f>
        <v>-</v>
      </c>
      <c r="S50" s="23" t="n">
        <f aca="false">IF('TASKS AND ROAD SEGMENT MATRIX'!AF50-1&gt;0,'TASKS AND ROAD SEGMENT MATRIX'!AF50-1,"-")</f>
        <v>0.314151907807443</v>
      </c>
      <c r="T50" s="23" t="n">
        <f aca="false">IF('TASKS AND ROAD SEGMENT MATRIX'!AG50-1&gt;0,'TASKS AND ROAD SEGMENT MATRIX'!AG50-1,"-")</f>
        <v>0.628303815614886</v>
      </c>
      <c r="U50" s="23" t="n">
        <f aca="false">IF('TASKS AND ROAD SEGMENT MATRIX'!AH50-1&gt;0,'TASKS AND ROAD SEGMENT MATRIX'!AH50-1,"-")</f>
        <v>0.628303815614886</v>
      </c>
      <c r="V50" s="23" t="n">
        <f aca="false">IF('TASKS AND ROAD SEGMENT MATRIX'!AI50-1&gt;0,'TASKS AND ROAD SEGMENT MATRIX'!AI50-1,"-")</f>
        <v>0.314151907807443</v>
      </c>
      <c r="W50" s="23" t="n">
        <f aca="false">IF('TASKS AND ROAD SEGMENT MATRIX'!AJ50-1&gt;0,'TASKS AND ROAD SEGMENT MATRIX'!AJ50-1,"-")</f>
        <v>0.314151907807443</v>
      </c>
      <c r="X50" s="23" t="str">
        <f aca="false">IF('TASKS AND ROAD SEGMENT MATRIX'!AK50-1&gt;0,'TASKS AND ROAD SEGMENT MATRIX'!AK50-1,"-")</f>
        <v>-</v>
      </c>
      <c r="Y50" s="23" t="n">
        <f aca="false">IF('TASKS AND ROAD SEGMENT MATRIX'!AL50-1&gt;0,'TASKS AND ROAD SEGMENT MATRIX'!AL50-1,"-")</f>
        <v>0.628303815614886</v>
      </c>
      <c r="Z50" s="23" t="str">
        <f aca="false">IF('TASKS AND ROAD SEGMENT MATRIX'!AM50-1&gt;0,'TASKS AND ROAD SEGMENT MATRIX'!AM50-1,"-")</f>
        <v>-</v>
      </c>
      <c r="AA50" s="23" t="n">
        <f aca="false">IF('TASKS AND ROAD SEGMENT MATRIX'!AN50-1&gt;0,'TASKS AND ROAD SEGMENT MATRIX'!AN50-1,"-")</f>
        <v>0.628303815614886</v>
      </c>
      <c r="AB50" s="23" t="n">
        <f aca="false">IF('TASKS AND ROAD SEGMENT MATRIX'!AO50-1&gt;0,'TASKS AND ROAD SEGMENT MATRIX'!AO50-1,"-")</f>
        <v>0.628303815614886</v>
      </c>
      <c r="AC50" s="23" t="n">
        <f aca="false">IF('TASKS AND ROAD SEGMENT MATRIX'!AP50-1&gt;0,'TASKS AND ROAD SEGMENT MATRIX'!AP50-1,"-")</f>
        <v>0.628303815614886</v>
      </c>
      <c r="AD50" s="23" t="n">
        <f aca="false">IF('TASKS AND ROAD SEGMENT MATRIX'!AQ50-1&gt;0,'TASKS AND ROAD SEGMENT MATRIX'!AQ50-1,"-")</f>
        <v>0.314151907807443</v>
      </c>
      <c r="AE50" s="23" t="n">
        <f aca="false">IF('TASKS AND ROAD SEGMENT MATRIX'!AR50-1&gt;0,'TASKS AND ROAD SEGMENT MATRIX'!AR50-1,"-")</f>
        <v>0.314151907807443</v>
      </c>
      <c r="AF50" s="23" t="n">
        <f aca="false">IF('TASKS AND ROAD SEGMENT MATRIX'!AS50-1&gt;0,'TASKS AND ROAD SEGMENT MATRIX'!AS50-1,"-")</f>
        <v>0.314151907807443</v>
      </c>
      <c r="AG50" s="23" t="str">
        <f aca="false">IF('TASKS AND ROAD SEGMENT MATRIX'!AT50-1&gt;0,'TASKS AND ROAD SEGMENT MATRIX'!AT50-1,"-")</f>
        <v>-</v>
      </c>
      <c r="AH50" s="23" t="str">
        <f aca="false">IF('TASKS AND ROAD SEGMENT MATRIX'!AU50-1&gt;0,'TASKS AND ROAD SEGMENT MATRIX'!AU50-1,"-")</f>
        <v>-</v>
      </c>
      <c r="AI50" s="23" t="str">
        <f aca="false">IF('TASKS AND ROAD SEGMENT MATRIX'!AV50-1&gt;0,'TASKS AND ROAD SEGMENT MATRIX'!AV50-1,"-")</f>
        <v>-</v>
      </c>
      <c r="AJ50" s="23" t="str">
        <f aca="false">IF('TASKS AND ROAD SEGMENT MATRIX'!AW50-1&gt;0,'TASKS AND ROAD SEGMENT MATRIX'!AW50-1,"-")</f>
        <v>-</v>
      </c>
      <c r="AK50" s="23" t="str">
        <f aca="false">IF('TASKS AND ROAD SEGMENT MATRIX'!AX50-1&gt;0,'TASKS AND ROAD SEGMENT MATRIX'!AX50-1,"-")</f>
        <v>-</v>
      </c>
      <c r="AL50" s="23" t="str">
        <f aca="false">IF('TASKS AND ROAD SEGMENT MATRIX'!AY50-1&gt;0,'TASKS AND ROAD SEGMENT MATRIX'!AY50-1,"-")</f>
        <v>-</v>
      </c>
      <c r="AM50" s="23" t="str">
        <f aca="false">IF('TASKS AND ROAD SEGMENT MATRIX'!AZ50-1&gt;0,'TASKS AND ROAD SEGMENT MATRIX'!AZ50-1,"-")</f>
        <v>-</v>
      </c>
      <c r="AN50" s="23" t="str">
        <f aca="false">IF('TASKS AND ROAD SEGMENT MATRIX'!BA50-1&gt;0,'TASKS AND ROAD SEGMENT MATRIX'!BA50-1,"-")</f>
        <v>-</v>
      </c>
      <c r="AO50" s="23" t="str">
        <f aca="false">IF('TASKS AND ROAD SEGMENT MATRIX'!BB50-1&gt;0,'TASKS AND ROAD SEGMENT MATRIX'!BB50-1,"-")</f>
        <v>-</v>
      </c>
      <c r="AP50" s="23" t="str">
        <f aca="false">IF('TASKS AND ROAD SEGMENT MATRIX'!BC50-1&gt;0,'TASKS AND ROAD SEGMENT MATRIX'!BC50-1,"-")</f>
        <v>-</v>
      </c>
      <c r="AQ50" s="23" t="str">
        <f aca="false">IF('TASKS AND ROAD SEGMENT MATRIX'!BD50-1&gt;0,'TASKS AND ROAD SEGMENT MATRIX'!BD50-1,"-")</f>
        <v>-</v>
      </c>
      <c r="AR50" s="23" t="str">
        <f aca="false">IF('TASKS AND ROAD SEGMENT MATRIX'!BE50-1&gt;0,'TASKS AND ROAD SEGMENT MATRIX'!BE50-1,"-")</f>
        <v>-</v>
      </c>
      <c r="AS50" s="23" t="n">
        <f aca="false">IF('TASKS AND ROAD SEGMENT MATRIX'!BF50-1&gt;0,'TASKS AND ROAD SEGMENT MATRIX'!BF50-1,"-")</f>
        <v>0.314151907807443</v>
      </c>
      <c r="AT50" s="23" t="n">
        <f aca="false">IF('TASKS AND ROAD SEGMENT MATRIX'!BG50-1&gt;0,'TASKS AND ROAD SEGMENT MATRIX'!BG50-1,"-")</f>
        <v>0.628303815614886</v>
      </c>
      <c r="AU50" s="23" t="n">
        <f aca="false">IF('TASKS AND ROAD SEGMENT MATRIX'!BH50-1&gt;0,'TASKS AND ROAD SEGMENT MATRIX'!BH50-1,"-")</f>
        <v>0.314151907807443</v>
      </c>
    </row>
    <row r="51" customFormat="false" ht="13.8" hidden="false" customHeight="false" outlineLevel="0" collapsed="false">
      <c r="A51" s="0" t="s">
        <v>74</v>
      </c>
      <c r="B51" s="0" t="s">
        <v>115</v>
      </c>
      <c r="C51" s="23" t="str">
        <f aca="false">IF('TASKS AND ROAD SEGMENT MATRIX'!P51-1&gt;0,'TASKS AND ROAD SEGMENT MATRIX'!P51-1,"-")</f>
        <v>-</v>
      </c>
      <c r="D51" s="23" t="str">
        <f aca="false">IF('TASKS AND ROAD SEGMENT MATRIX'!Q51-1&gt;0,'TASKS AND ROAD SEGMENT MATRIX'!Q51-1,"-")</f>
        <v>-</v>
      </c>
      <c r="E51" s="23" t="n">
        <f aca="false">IF('TASKS AND ROAD SEGMENT MATRIX'!R51-1&gt;0,'TASKS AND ROAD SEGMENT MATRIX'!R51-1,"-")</f>
        <v>0.471227861711165</v>
      </c>
      <c r="F51" s="23" t="n">
        <f aca="false">IF('TASKS AND ROAD SEGMENT MATRIX'!S51-1&gt;0,'TASKS AND ROAD SEGMENT MATRIX'!S51-1,"-")</f>
        <v>0.471227861711165</v>
      </c>
      <c r="G51" s="23" t="str">
        <f aca="false">IF('TASKS AND ROAD SEGMENT MATRIX'!T51-1&gt;0,'TASKS AND ROAD SEGMENT MATRIX'!T51-1,"-")</f>
        <v>-</v>
      </c>
      <c r="H51" s="23" t="str">
        <f aca="false">IF('TASKS AND ROAD SEGMENT MATRIX'!U51-1&gt;0,'TASKS AND ROAD SEGMENT MATRIX'!U51-1,"-")</f>
        <v>-</v>
      </c>
      <c r="I51" s="23" t="str">
        <f aca="false">IF('TASKS AND ROAD SEGMENT MATRIX'!V51-1&gt;0,'TASKS AND ROAD SEGMENT MATRIX'!V51-1,"-")</f>
        <v>-</v>
      </c>
      <c r="J51" s="23" t="str">
        <f aca="false">IF('TASKS AND ROAD SEGMENT MATRIX'!W51-1&gt;0,'TASKS AND ROAD SEGMENT MATRIX'!W51-1,"-")</f>
        <v>-</v>
      </c>
      <c r="K51" s="23" t="str">
        <f aca="false">IF('TASKS AND ROAD SEGMENT MATRIX'!X51-1&gt;0,'TASKS AND ROAD SEGMENT MATRIX'!X51-1,"-")</f>
        <v>-</v>
      </c>
      <c r="L51" s="23" t="n">
        <f aca="false">IF('TASKS AND ROAD SEGMENT MATRIX'!Y51-1&gt;0,'TASKS AND ROAD SEGMENT MATRIX'!Y51-1,"-")</f>
        <v>0.471227861711165</v>
      </c>
      <c r="M51" s="23" t="str">
        <f aca="false">IF('TASKS AND ROAD SEGMENT MATRIX'!Z51-1&gt;0,'TASKS AND ROAD SEGMENT MATRIX'!Z51-1,"-")</f>
        <v>-</v>
      </c>
      <c r="N51" s="23" t="n">
        <f aca="false">IF('TASKS AND ROAD SEGMENT MATRIX'!AA51-1&gt;0,'TASKS AND ROAD SEGMENT MATRIX'!AA51-1,"-")</f>
        <v>0.471227861711165</v>
      </c>
      <c r="O51" s="23" t="str">
        <f aca="false">IF('TASKS AND ROAD SEGMENT MATRIX'!AB51-1&gt;0,'TASKS AND ROAD SEGMENT MATRIX'!AB51-1,"-")</f>
        <v>-</v>
      </c>
      <c r="P51" s="23" t="n">
        <f aca="false">IF('TASKS AND ROAD SEGMENT MATRIX'!AC51-1&gt;0,'TASKS AND ROAD SEGMENT MATRIX'!AC51-1,"-")</f>
        <v>0.471227861711165</v>
      </c>
      <c r="Q51" s="23" t="str">
        <f aca="false">IF('TASKS AND ROAD SEGMENT MATRIX'!AD51-1&gt;0,'TASKS AND ROAD SEGMENT MATRIX'!AD51-1,"-")</f>
        <v>-</v>
      </c>
      <c r="R51" s="23" t="str">
        <f aca="false">IF('TASKS AND ROAD SEGMENT MATRIX'!AE51-1&gt;0,'TASKS AND ROAD SEGMENT MATRIX'!AE51-1,"-")</f>
        <v>-</v>
      </c>
      <c r="S51" s="23" t="n">
        <f aca="false">IF('TASKS AND ROAD SEGMENT MATRIX'!AF51-1&gt;0,'TASKS AND ROAD SEGMENT MATRIX'!AF51-1,"-")</f>
        <v>0.471227861711165</v>
      </c>
      <c r="T51" s="23" t="n">
        <f aca="false">IF('TASKS AND ROAD SEGMENT MATRIX'!AG51-1&gt;0,'TASKS AND ROAD SEGMENT MATRIX'!AG51-1,"-")</f>
        <v>0.942455723422329</v>
      </c>
      <c r="U51" s="23" t="n">
        <f aca="false">IF('TASKS AND ROAD SEGMENT MATRIX'!AH51-1&gt;0,'TASKS AND ROAD SEGMENT MATRIX'!AH51-1,"-")</f>
        <v>0.942455723422329</v>
      </c>
      <c r="V51" s="23" t="n">
        <f aca="false">IF('TASKS AND ROAD SEGMENT MATRIX'!AI51-1&gt;0,'TASKS AND ROAD SEGMENT MATRIX'!AI51-1,"-")</f>
        <v>0.471227861711165</v>
      </c>
      <c r="W51" s="23" t="n">
        <f aca="false">IF('TASKS AND ROAD SEGMENT MATRIX'!AJ51-1&gt;0,'TASKS AND ROAD SEGMENT MATRIX'!AJ51-1,"-")</f>
        <v>0.471227861711165</v>
      </c>
      <c r="X51" s="23" t="str">
        <f aca="false">IF('TASKS AND ROAD SEGMENT MATRIX'!AK51-1&gt;0,'TASKS AND ROAD SEGMENT MATRIX'!AK51-1,"-")</f>
        <v>-</v>
      </c>
      <c r="Y51" s="23" t="n">
        <f aca="false">IF('TASKS AND ROAD SEGMENT MATRIX'!AL51-1&gt;0,'TASKS AND ROAD SEGMENT MATRIX'!AL51-1,"-")</f>
        <v>0.942455723422329</v>
      </c>
      <c r="Z51" s="23" t="n">
        <f aca="false">IF('TASKS AND ROAD SEGMENT MATRIX'!AM51-1&gt;0,'TASKS AND ROAD SEGMENT MATRIX'!AM51-1,"-")</f>
        <v>0.942455723422329</v>
      </c>
      <c r="AA51" s="23" t="n">
        <f aca="false">IF('TASKS AND ROAD SEGMENT MATRIX'!AN51-1&gt;0,'TASKS AND ROAD SEGMENT MATRIX'!AN51-1,"-")</f>
        <v>0.942455723422329</v>
      </c>
      <c r="AB51" s="23" t="n">
        <f aca="false">IF('TASKS AND ROAD SEGMENT MATRIX'!AO51-1&gt;0,'TASKS AND ROAD SEGMENT MATRIX'!AO51-1,"-")</f>
        <v>0.942455723422329</v>
      </c>
      <c r="AC51" s="23" t="n">
        <f aca="false">IF('TASKS AND ROAD SEGMENT MATRIX'!AP51-1&gt;0,'TASKS AND ROAD SEGMENT MATRIX'!AP51-1,"-")</f>
        <v>0.942455723422329</v>
      </c>
      <c r="AD51" s="23" t="n">
        <f aca="false">IF('TASKS AND ROAD SEGMENT MATRIX'!AQ51-1&gt;0,'TASKS AND ROAD SEGMENT MATRIX'!AQ51-1,"-")</f>
        <v>0.471227861711165</v>
      </c>
      <c r="AE51" s="23" t="n">
        <f aca="false">IF('TASKS AND ROAD SEGMENT MATRIX'!AR51-1&gt;0,'TASKS AND ROAD SEGMENT MATRIX'!AR51-1,"-")</f>
        <v>0.471227861711165</v>
      </c>
      <c r="AF51" s="23" t="n">
        <f aca="false">IF('TASKS AND ROAD SEGMENT MATRIX'!AS51-1&gt;0,'TASKS AND ROAD SEGMENT MATRIX'!AS51-1,"-")</f>
        <v>0.471227861711165</v>
      </c>
      <c r="AG51" s="23" t="str">
        <f aca="false">IF('TASKS AND ROAD SEGMENT MATRIX'!AT51-1&gt;0,'TASKS AND ROAD SEGMENT MATRIX'!AT51-1,"-")</f>
        <v>-</v>
      </c>
      <c r="AH51" s="23" t="str">
        <f aca="false">IF('TASKS AND ROAD SEGMENT MATRIX'!AU51-1&gt;0,'TASKS AND ROAD SEGMENT MATRIX'!AU51-1,"-")</f>
        <v>-</v>
      </c>
      <c r="AI51" s="23" t="str">
        <f aca="false">IF('TASKS AND ROAD SEGMENT MATRIX'!AV51-1&gt;0,'TASKS AND ROAD SEGMENT MATRIX'!AV51-1,"-")</f>
        <v>-</v>
      </c>
      <c r="AJ51" s="23" t="str">
        <f aca="false">IF('TASKS AND ROAD SEGMENT MATRIX'!AW51-1&gt;0,'TASKS AND ROAD SEGMENT MATRIX'!AW51-1,"-")</f>
        <v>-</v>
      </c>
      <c r="AK51" s="23" t="str">
        <f aca="false">IF('TASKS AND ROAD SEGMENT MATRIX'!AX51-1&gt;0,'TASKS AND ROAD SEGMENT MATRIX'!AX51-1,"-")</f>
        <v>-</v>
      </c>
      <c r="AL51" s="23" t="str">
        <f aca="false">IF('TASKS AND ROAD SEGMENT MATRIX'!AY51-1&gt;0,'TASKS AND ROAD SEGMENT MATRIX'!AY51-1,"-")</f>
        <v>-</v>
      </c>
      <c r="AM51" s="23" t="str">
        <f aca="false">IF('TASKS AND ROAD SEGMENT MATRIX'!AZ51-1&gt;0,'TASKS AND ROAD SEGMENT MATRIX'!AZ51-1,"-")</f>
        <v>-</v>
      </c>
      <c r="AN51" s="23" t="str">
        <f aca="false">IF('TASKS AND ROAD SEGMENT MATRIX'!BA51-1&gt;0,'TASKS AND ROAD SEGMENT MATRIX'!BA51-1,"-")</f>
        <v>-</v>
      </c>
      <c r="AO51" s="23" t="str">
        <f aca="false">IF('TASKS AND ROAD SEGMENT MATRIX'!BB51-1&gt;0,'TASKS AND ROAD SEGMENT MATRIX'!BB51-1,"-")</f>
        <v>-</v>
      </c>
      <c r="AP51" s="23" t="str">
        <f aca="false">IF('TASKS AND ROAD SEGMENT MATRIX'!BC51-1&gt;0,'TASKS AND ROAD SEGMENT MATRIX'!BC51-1,"-")</f>
        <v>-</v>
      </c>
      <c r="AQ51" s="23" t="str">
        <f aca="false">IF('TASKS AND ROAD SEGMENT MATRIX'!BD51-1&gt;0,'TASKS AND ROAD SEGMENT MATRIX'!BD51-1,"-")</f>
        <v>-</v>
      </c>
      <c r="AR51" s="23" t="str">
        <f aca="false">IF('TASKS AND ROAD SEGMENT MATRIX'!BE51-1&gt;0,'TASKS AND ROAD SEGMENT MATRIX'!BE51-1,"-")</f>
        <v>-</v>
      </c>
      <c r="AS51" s="23" t="n">
        <f aca="false">IF('TASKS AND ROAD SEGMENT MATRIX'!BF51-1&gt;0,'TASKS AND ROAD SEGMENT MATRIX'!BF51-1,"-")</f>
        <v>0.471227861711165</v>
      </c>
      <c r="AT51" s="23" t="n">
        <f aca="false">IF('TASKS AND ROAD SEGMENT MATRIX'!BG51-1&gt;0,'TASKS AND ROAD SEGMENT MATRIX'!BG51-1,"-")</f>
        <v>0.942455723422329</v>
      </c>
      <c r="AU51" s="23" t="n">
        <f aca="false">IF('TASKS AND ROAD SEGMENT MATRIX'!BH51-1&gt;0,'TASKS AND ROAD SEGMENT MATRIX'!BH51-1,"-")</f>
        <v>0.471227861711165</v>
      </c>
    </row>
    <row r="52" customFormat="false" ht="13.8" hidden="false" customHeight="false" outlineLevel="0" collapsed="false">
      <c r="A52" s="0" t="s">
        <v>74</v>
      </c>
      <c r="B52" s="0" t="s">
        <v>117</v>
      </c>
      <c r="C52" s="23" t="str">
        <f aca="false">IF('TASKS AND ROAD SEGMENT MATRIX'!P52-1&gt;0,'TASKS AND ROAD SEGMENT MATRIX'!P52-1,"-")</f>
        <v>-</v>
      </c>
      <c r="D52" s="23" t="str">
        <f aca="false">IF('TASKS AND ROAD SEGMENT MATRIX'!Q52-1&gt;0,'TASKS AND ROAD SEGMENT MATRIX'!Q52-1,"-")</f>
        <v>-</v>
      </c>
      <c r="E52" s="23" t="n">
        <f aca="false">IF('TASKS AND ROAD SEGMENT MATRIX'!R52-1&gt;0,'TASKS AND ROAD SEGMENT MATRIX'!R52-1,"-")</f>
        <v>0.392689884759304</v>
      </c>
      <c r="F52" s="23" t="n">
        <f aca="false">IF('TASKS AND ROAD SEGMENT MATRIX'!S52-1&gt;0,'TASKS AND ROAD SEGMENT MATRIX'!S52-1,"-")</f>
        <v>0.392689884759304</v>
      </c>
      <c r="G52" s="23" t="str">
        <f aca="false">IF('TASKS AND ROAD SEGMENT MATRIX'!T52-1&gt;0,'TASKS AND ROAD SEGMENT MATRIX'!T52-1,"-")</f>
        <v>-</v>
      </c>
      <c r="H52" s="23" t="str">
        <f aca="false">IF('TASKS AND ROAD SEGMENT MATRIX'!U52-1&gt;0,'TASKS AND ROAD SEGMENT MATRIX'!U52-1,"-")</f>
        <v>-</v>
      </c>
      <c r="I52" s="23" t="str">
        <f aca="false">IF('TASKS AND ROAD SEGMENT MATRIX'!V52-1&gt;0,'TASKS AND ROAD SEGMENT MATRIX'!V52-1,"-")</f>
        <v>-</v>
      </c>
      <c r="J52" s="23" t="str">
        <f aca="false">IF('TASKS AND ROAD SEGMENT MATRIX'!W52-1&gt;0,'TASKS AND ROAD SEGMENT MATRIX'!W52-1,"-")</f>
        <v>-</v>
      </c>
      <c r="K52" s="23" t="str">
        <f aca="false">IF('TASKS AND ROAD SEGMENT MATRIX'!X52-1&gt;0,'TASKS AND ROAD SEGMENT MATRIX'!X52-1,"-")</f>
        <v>-</v>
      </c>
      <c r="L52" s="23" t="n">
        <f aca="false">IF('TASKS AND ROAD SEGMENT MATRIX'!Y52-1&gt;0,'TASKS AND ROAD SEGMENT MATRIX'!Y52-1,"-")</f>
        <v>0.392689884759304</v>
      </c>
      <c r="M52" s="23" t="str">
        <f aca="false">IF('TASKS AND ROAD SEGMENT MATRIX'!Z52-1&gt;0,'TASKS AND ROAD SEGMENT MATRIX'!Z52-1,"-")</f>
        <v>-</v>
      </c>
      <c r="N52" s="23" t="n">
        <f aca="false">IF('TASKS AND ROAD SEGMENT MATRIX'!AA52-1&gt;0,'TASKS AND ROAD SEGMENT MATRIX'!AA52-1,"-")</f>
        <v>0.392689884759304</v>
      </c>
      <c r="O52" s="23" t="str">
        <f aca="false">IF('TASKS AND ROAD SEGMENT MATRIX'!AB52-1&gt;0,'TASKS AND ROAD SEGMENT MATRIX'!AB52-1,"-")</f>
        <v>-</v>
      </c>
      <c r="P52" s="23" t="n">
        <f aca="false">IF('TASKS AND ROAD SEGMENT MATRIX'!AC52-1&gt;0,'TASKS AND ROAD SEGMENT MATRIX'!AC52-1,"-")</f>
        <v>0.392689884759304</v>
      </c>
      <c r="Q52" s="23" t="str">
        <f aca="false">IF('TASKS AND ROAD SEGMENT MATRIX'!AD52-1&gt;0,'TASKS AND ROAD SEGMENT MATRIX'!AD52-1,"-")</f>
        <v>-</v>
      </c>
      <c r="R52" s="23" t="str">
        <f aca="false">IF('TASKS AND ROAD SEGMENT MATRIX'!AE52-1&gt;0,'TASKS AND ROAD SEGMENT MATRIX'!AE52-1,"-")</f>
        <v>-</v>
      </c>
      <c r="S52" s="23" t="n">
        <f aca="false">IF('TASKS AND ROAD SEGMENT MATRIX'!AF52-1&gt;0,'TASKS AND ROAD SEGMENT MATRIX'!AF52-1,"-")</f>
        <v>0.392689884759304</v>
      </c>
      <c r="T52" s="23" t="n">
        <f aca="false">IF('TASKS AND ROAD SEGMENT MATRIX'!AG52-1&gt;0,'TASKS AND ROAD SEGMENT MATRIX'!AG52-1,"-")</f>
        <v>0.785379769518607</v>
      </c>
      <c r="U52" s="23" t="n">
        <f aca="false">IF('TASKS AND ROAD SEGMENT MATRIX'!AH52-1&gt;0,'TASKS AND ROAD SEGMENT MATRIX'!AH52-1,"-")</f>
        <v>0.785379769518607</v>
      </c>
      <c r="V52" s="23" t="n">
        <f aca="false">IF('TASKS AND ROAD SEGMENT MATRIX'!AI52-1&gt;0,'TASKS AND ROAD SEGMENT MATRIX'!AI52-1,"-")</f>
        <v>0.392689884759304</v>
      </c>
      <c r="W52" s="23" t="n">
        <f aca="false">IF('TASKS AND ROAD SEGMENT MATRIX'!AJ52-1&gt;0,'TASKS AND ROAD SEGMENT MATRIX'!AJ52-1,"-")</f>
        <v>0.392689884759304</v>
      </c>
      <c r="X52" s="23" t="str">
        <f aca="false">IF('TASKS AND ROAD SEGMENT MATRIX'!AK52-1&gt;0,'TASKS AND ROAD SEGMENT MATRIX'!AK52-1,"-")</f>
        <v>-</v>
      </c>
      <c r="Y52" s="23" t="n">
        <f aca="false">IF('TASKS AND ROAD SEGMENT MATRIX'!AL52-1&gt;0,'TASKS AND ROAD SEGMENT MATRIX'!AL52-1,"-")</f>
        <v>0.785379769518607</v>
      </c>
      <c r="Z52" s="23" t="n">
        <f aca="false">IF('TASKS AND ROAD SEGMENT MATRIX'!AM52-1&gt;0,'TASKS AND ROAD SEGMENT MATRIX'!AM52-1,"-")</f>
        <v>0.392689884759304</v>
      </c>
      <c r="AA52" s="23" t="n">
        <f aca="false">IF('TASKS AND ROAD SEGMENT MATRIX'!AN52-1&gt;0,'TASKS AND ROAD SEGMENT MATRIX'!AN52-1,"-")</f>
        <v>0.785379769518607</v>
      </c>
      <c r="AB52" s="23" t="n">
        <f aca="false">IF('TASKS AND ROAD SEGMENT MATRIX'!AO52-1&gt;0,'TASKS AND ROAD SEGMENT MATRIX'!AO52-1,"-")</f>
        <v>0.785379769518607</v>
      </c>
      <c r="AC52" s="23" t="n">
        <f aca="false">IF('TASKS AND ROAD SEGMENT MATRIX'!AP52-1&gt;0,'TASKS AND ROAD SEGMENT MATRIX'!AP52-1,"-")</f>
        <v>0.785379769518607</v>
      </c>
      <c r="AD52" s="23" t="n">
        <f aca="false">IF('TASKS AND ROAD SEGMENT MATRIX'!AQ52-1&gt;0,'TASKS AND ROAD SEGMENT MATRIX'!AQ52-1,"-")</f>
        <v>0.392689884759304</v>
      </c>
      <c r="AE52" s="23" t="n">
        <f aca="false">IF('TASKS AND ROAD SEGMENT MATRIX'!AR52-1&gt;0,'TASKS AND ROAD SEGMENT MATRIX'!AR52-1,"-")</f>
        <v>0.392689884759304</v>
      </c>
      <c r="AF52" s="23" t="n">
        <f aca="false">IF('TASKS AND ROAD SEGMENT MATRIX'!AS52-1&gt;0,'TASKS AND ROAD SEGMENT MATRIX'!AS52-1,"-")</f>
        <v>0.392689884759304</v>
      </c>
      <c r="AG52" s="23" t="str">
        <f aca="false">IF('TASKS AND ROAD SEGMENT MATRIX'!AT52-1&gt;0,'TASKS AND ROAD SEGMENT MATRIX'!AT52-1,"-")</f>
        <v>-</v>
      </c>
      <c r="AH52" s="23" t="str">
        <f aca="false">IF('TASKS AND ROAD SEGMENT MATRIX'!AU52-1&gt;0,'TASKS AND ROAD SEGMENT MATRIX'!AU52-1,"-")</f>
        <v>-</v>
      </c>
      <c r="AI52" s="23" t="str">
        <f aca="false">IF('TASKS AND ROAD SEGMENT MATRIX'!AV52-1&gt;0,'TASKS AND ROAD SEGMENT MATRIX'!AV52-1,"-")</f>
        <v>-</v>
      </c>
      <c r="AJ52" s="23" t="str">
        <f aca="false">IF('TASKS AND ROAD SEGMENT MATRIX'!AW52-1&gt;0,'TASKS AND ROAD SEGMENT MATRIX'!AW52-1,"-")</f>
        <v>-</v>
      </c>
      <c r="AK52" s="23" t="str">
        <f aca="false">IF('TASKS AND ROAD SEGMENT MATRIX'!AX52-1&gt;0,'TASKS AND ROAD SEGMENT MATRIX'!AX52-1,"-")</f>
        <v>-</v>
      </c>
      <c r="AL52" s="23" t="str">
        <f aca="false">IF('TASKS AND ROAD SEGMENT MATRIX'!AY52-1&gt;0,'TASKS AND ROAD SEGMENT MATRIX'!AY52-1,"-")</f>
        <v>-</v>
      </c>
      <c r="AM52" s="23" t="str">
        <f aca="false">IF('TASKS AND ROAD SEGMENT MATRIX'!AZ52-1&gt;0,'TASKS AND ROAD SEGMENT MATRIX'!AZ52-1,"-")</f>
        <v>-</v>
      </c>
      <c r="AN52" s="23" t="str">
        <f aca="false">IF('TASKS AND ROAD SEGMENT MATRIX'!BA52-1&gt;0,'TASKS AND ROAD SEGMENT MATRIX'!BA52-1,"-")</f>
        <v>-</v>
      </c>
      <c r="AO52" s="23" t="str">
        <f aca="false">IF('TASKS AND ROAD SEGMENT MATRIX'!BB52-1&gt;0,'TASKS AND ROAD SEGMENT MATRIX'!BB52-1,"-")</f>
        <v>-</v>
      </c>
      <c r="AP52" s="23" t="str">
        <f aca="false">IF('TASKS AND ROAD SEGMENT MATRIX'!BC52-1&gt;0,'TASKS AND ROAD SEGMENT MATRIX'!BC52-1,"-")</f>
        <v>-</v>
      </c>
      <c r="AQ52" s="23" t="str">
        <f aca="false">IF('TASKS AND ROAD SEGMENT MATRIX'!BD52-1&gt;0,'TASKS AND ROAD SEGMENT MATRIX'!BD52-1,"-")</f>
        <v>-</v>
      </c>
      <c r="AR52" s="23" t="str">
        <f aca="false">IF('TASKS AND ROAD SEGMENT MATRIX'!BE52-1&gt;0,'TASKS AND ROAD SEGMENT MATRIX'!BE52-1,"-")</f>
        <v>-</v>
      </c>
      <c r="AS52" s="23" t="n">
        <f aca="false">IF('TASKS AND ROAD SEGMENT MATRIX'!BF52-1&gt;0,'TASKS AND ROAD SEGMENT MATRIX'!BF52-1,"-")</f>
        <v>0.392689884759304</v>
      </c>
      <c r="AT52" s="23" t="n">
        <f aca="false">IF('TASKS AND ROAD SEGMENT MATRIX'!BG52-1&gt;0,'TASKS AND ROAD SEGMENT MATRIX'!BG52-1,"-")</f>
        <v>0.785379769518607</v>
      </c>
      <c r="AU52" s="23" t="n">
        <f aca="false">IF('TASKS AND ROAD SEGMENT MATRIX'!BH52-1&gt;0,'TASKS AND ROAD SEGMENT MATRIX'!BH52-1,"-")</f>
        <v>0.392689884759304</v>
      </c>
    </row>
    <row r="53" customFormat="false" ht="13.8" hidden="false" customHeight="false" outlineLevel="0" collapsed="false">
      <c r="A53" s="0" t="s">
        <v>74</v>
      </c>
      <c r="B53" s="0" t="s">
        <v>119</v>
      </c>
      <c r="C53" s="23" t="str">
        <f aca="false">IF('TASKS AND ROAD SEGMENT MATRIX'!P53-1&gt;0,'TASKS AND ROAD SEGMENT MATRIX'!P53-1,"-")</f>
        <v>-</v>
      </c>
      <c r="D53" s="23" t="str">
        <f aca="false">IF('TASKS AND ROAD SEGMENT MATRIX'!Q53-1&gt;0,'TASKS AND ROAD SEGMENT MATRIX'!Q53-1,"-")</f>
        <v>-</v>
      </c>
      <c r="E53" s="23" t="n">
        <f aca="false">IF('TASKS AND ROAD SEGMENT MATRIX'!R53-1&gt;0,'TASKS AND ROAD SEGMENT MATRIX'!R53-1,"-")</f>
        <v>0.471227861711165</v>
      </c>
      <c r="F53" s="23" t="n">
        <f aca="false">IF('TASKS AND ROAD SEGMENT MATRIX'!S53-1&gt;0,'TASKS AND ROAD SEGMENT MATRIX'!S53-1,"-")</f>
        <v>0.471227861711165</v>
      </c>
      <c r="G53" s="23" t="str">
        <f aca="false">IF('TASKS AND ROAD SEGMENT MATRIX'!T53-1&gt;0,'TASKS AND ROAD SEGMENT MATRIX'!T53-1,"-")</f>
        <v>-</v>
      </c>
      <c r="H53" s="23" t="str">
        <f aca="false">IF('TASKS AND ROAD SEGMENT MATRIX'!U53-1&gt;0,'TASKS AND ROAD SEGMENT MATRIX'!U53-1,"-")</f>
        <v>-</v>
      </c>
      <c r="I53" s="23" t="str">
        <f aca="false">IF('TASKS AND ROAD SEGMENT MATRIX'!V53-1&gt;0,'TASKS AND ROAD SEGMENT MATRIX'!V53-1,"-")</f>
        <v>-</v>
      </c>
      <c r="J53" s="23" t="str">
        <f aca="false">IF('TASKS AND ROAD SEGMENT MATRIX'!W53-1&gt;0,'TASKS AND ROAD SEGMENT MATRIX'!W53-1,"-")</f>
        <v>-</v>
      </c>
      <c r="K53" s="23" t="str">
        <f aca="false">IF('TASKS AND ROAD SEGMENT MATRIX'!X53-1&gt;0,'TASKS AND ROAD SEGMENT MATRIX'!X53-1,"-")</f>
        <v>-</v>
      </c>
      <c r="L53" s="23" t="n">
        <f aca="false">IF('TASKS AND ROAD SEGMENT MATRIX'!Y53-1&gt;0,'TASKS AND ROAD SEGMENT MATRIX'!Y53-1,"-")</f>
        <v>0.471227861711165</v>
      </c>
      <c r="M53" s="23" t="str">
        <f aca="false">IF('TASKS AND ROAD SEGMENT MATRIX'!Z53-1&gt;0,'TASKS AND ROAD SEGMENT MATRIX'!Z53-1,"-")</f>
        <v>-</v>
      </c>
      <c r="N53" s="23" t="n">
        <f aca="false">IF('TASKS AND ROAD SEGMENT MATRIX'!AA53-1&gt;0,'TASKS AND ROAD SEGMENT MATRIX'!AA53-1,"-")</f>
        <v>0.471227861711165</v>
      </c>
      <c r="O53" s="23" t="str">
        <f aca="false">IF('TASKS AND ROAD SEGMENT MATRIX'!AB53-1&gt;0,'TASKS AND ROAD SEGMENT MATRIX'!AB53-1,"-")</f>
        <v>-</v>
      </c>
      <c r="P53" s="23" t="n">
        <f aca="false">IF('TASKS AND ROAD SEGMENT MATRIX'!AC53-1&gt;0,'TASKS AND ROAD SEGMENT MATRIX'!AC53-1,"-")</f>
        <v>0.471227861711165</v>
      </c>
      <c r="Q53" s="23" t="str">
        <f aca="false">IF('TASKS AND ROAD SEGMENT MATRIX'!AD53-1&gt;0,'TASKS AND ROAD SEGMENT MATRIX'!AD53-1,"-")</f>
        <v>-</v>
      </c>
      <c r="R53" s="23" t="str">
        <f aca="false">IF('TASKS AND ROAD SEGMENT MATRIX'!AE53-1&gt;0,'TASKS AND ROAD SEGMENT MATRIX'!AE53-1,"-")</f>
        <v>-</v>
      </c>
      <c r="S53" s="23" t="n">
        <f aca="false">IF('TASKS AND ROAD SEGMENT MATRIX'!AF53-1&gt;0,'TASKS AND ROAD SEGMENT MATRIX'!AF53-1,"-")</f>
        <v>0.471227861711165</v>
      </c>
      <c r="T53" s="23" t="n">
        <f aca="false">IF('TASKS AND ROAD SEGMENT MATRIX'!AG53-1&gt;0,'TASKS AND ROAD SEGMENT MATRIX'!AG53-1,"-")</f>
        <v>0.942455723422329</v>
      </c>
      <c r="U53" s="23" t="n">
        <f aca="false">IF('TASKS AND ROAD SEGMENT MATRIX'!AH53-1&gt;0,'TASKS AND ROAD SEGMENT MATRIX'!AH53-1,"-")</f>
        <v>0.942455723422329</v>
      </c>
      <c r="V53" s="23" t="n">
        <f aca="false">IF('TASKS AND ROAD SEGMENT MATRIX'!AI53-1&gt;0,'TASKS AND ROAD SEGMENT MATRIX'!AI53-1,"-")</f>
        <v>0.471227861711165</v>
      </c>
      <c r="W53" s="23" t="n">
        <f aca="false">IF('TASKS AND ROAD SEGMENT MATRIX'!AJ53-1&gt;0,'TASKS AND ROAD SEGMENT MATRIX'!AJ53-1,"-")</f>
        <v>0.471227861711165</v>
      </c>
      <c r="X53" s="23" t="str">
        <f aca="false">IF('TASKS AND ROAD SEGMENT MATRIX'!AK53-1&gt;0,'TASKS AND ROAD SEGMENT MATRIX'!AK53-1,"-")</f>
        <v>-</v>
      </c>
      <c r="Y53" s="23" t="n">
        <f aca="false">IF('TASKS AND ROAD SEGMENT MATRIX'!AL53-1&gt;0,'TASKS AND ROAD SEGMENT MATRIX'!AL53-1,"-")</f>
        <v>0.942455723422329</v>
      </c>
      <c r="Z53" s="23" t="n">
        <f aca="false">IF('TASKS AND ROAD SEGMENT MATRIX'!AM53-1&gt;0,'TASKS AND ROAD SEGMENT MATRIX'!AM53-1,"-")</f>
        <v>0.942455723422329</v>
      </c>
      <c r="AA53" s="23" t="n">
        <f aca="false">IF('TASKS AND ROAD SEGMENT MATRIX'!AN53-1&gt;0,'TASKS AND ROAD SEGMENT MATRIX'!AN53-1,"-")</f>
        <v>0.942455723422329</v>
      </c>
      <c r="AB53" s="23" t="n">
        <f aca="false">IF('TASKS AND ROAD SEGMENT MATRIX'!AO53-1&gt;0,'TASKS AND ROAD SEGMENT MATRIX'!AO53-1,"-")</f>
        <v>0.942455723422329</v>
      </c>
      <c r="AC53" s="23" t="n">
        <f aca="false">IF('TASKS AND ROAD SEGMENT MATRIX'!AP53-1&gt;0,'TASKS AND ROAD SEGMENT MATRIX'!AP53-1,"-")</f>
        <v>0.942455723422329</v>
      </c>
      <c r="AD53" s="23" t="n">
        <f aca="false">IF('TASKS AND ROAD SEGMENT MATRIX'!AQ53-1&gt;0,'TASKS AND ROAD SEGMENT MATRIX'!AQ53-1,"-")</f>
        <v>0.471227861711165</v>
      </c>
      <c r="AE53" s="23" t="n">
        <f aca="false">IF('TASKS AND ROAD SEGMENT MATRIX'!AR53-1&gt;0,'TASKS AND ROAD SEGMENT MATRIX'!AR53-1,"-")</f>
        <v>0.471227861711165</v>
      </c>
      <c r="AF53" s="23" t="n">
        <f aca="false">IF('TASKS AND ROAD SEGMENT MATRIX'!AS53-1&gt;0,'TASKS AND ROAD SEGMENT MATRIX'!AS53-1,"-")</f>
        <v>0.471227861711165</v>
      </c>
      <c r="AG53" s="23" t="str">
        <f aca="false">IF('TASKS AND ROAD SEGMENT MATRIX'!AT53-1&gt;0,'TASKS AND ROAD SEGMENT MATRIX'!AT53-1,"-")</f>
        <v>-</v>
      </c>
      <c r="AH53" s="23" t="str">
        <f aca="false">IF('TASKS AND ROAD SEGMENT MATRIX'!AU53-1&gt;0,'TASKS AND ROAD SEGMENT MATRIX'!AU53-1,"-")</f>
        <v>-</v>
      </c>
      <c r="AI53" s="23" t="str">
        <f aca="false">IF('TASKS AND ROAD SEGMENT MATRIX'!AV53-1&gt;0,'TASKS AND ROAD SEGMENT MATRIX'!AV53-1,"-")</f>
        <v>-</v>
      </c>
      <c r="AJ53" s="23" t="str">
        <f aca="false">IF('TASKS AND ROAD SEGMENT MATRIX'!AW53-1&gt;0,'TASKS AND ROAD SEGMENT MATRIX'!AW53-1,"-")</f>
        <v>-</v>
      </c>
      <c r="AK53" s="23" t="str">
        <f aca="false">IF('TASKS AND ROAD SEGMENT MATRIX'!AX53-1&gt;0,'TASKS AND ROAD SEGMENT MATRIX'!AX53-1,"-")</f>
        <v>-</v>
      </c>
      <c r="AL53" s="23" t="str">
        <f aca="false">IF('TASKS AND ROAD SEGMENT MATRIX'!AY53-1&gt;0,'TASKS AND ROAD SEGMENT MATRIX'!AY53-1,"-")</f>
        <v>-</v>
      </c>
      <c r="AM53" s="23" t="str">
        <f aca="false">IF('TASKS AND ROAD SEGMENT MATRIX'!AZ53-1&gt;0,'TASKS AND ROAD SEGMENT MATRIX'!AZ53-1,"-")</f>
        <v>-</v>
      </c>
      <c r="AN53" s="23" t="str">
        <f aca="false">IF('TASKS AND ROAD SEGMENT MATRIX'!BA53-1&gt;0,'TASKS AND ROAD SEGMENT MATRIX'!BA53-1,"-")</f>
        <v>-</v>
      </c>
      <c r="AO53" s="23" t="str">
        <f aca="false">IF('TASKS AND ROAD SEGMENT MATRIX'!BB53-1&gt;0,'TASKS AND ROAD SEGMENT MATRIX'!BB53-1,"-")</f>
        <v>-</v>
      </c>
      <c r="AP53" s="23" t="str">
        <f aca="false">IF('TASKS AND ROAD SEGMENT MATRIX'!BC53-1&gt;0,'TASKS AND ROAD SEGMENT MATRIX'!BC53-1,"-")</f>
        <v>-</v>
      </c>
      <c r="AQ53" s="23" t="str">
        <f aca="false">IF('TASKS AND ROAD SEGMENT MATRIX'!BD53-1&gt;0,'TASKS AND ROAD SEGMENT MATRIX'!BD53-1,"-")</f>
        <v>-</v>
      </c>
      <c r="AR53" s="23" t="str">
        <f aca="false">IF('TASKS AND ROAD SEGMENT MATRIX'!BE53-1&gt;0,'TASKS AND ROAD SEGMENT MATRIX'!BE53-1,"-")</f>
        <v>-</v>
      </c>
      <c r="AS53" s="23" t="n">
        <f aca="false">IF('TASKS AND ROAD SEGMENT MATRIX'!BF53-1&gt;0,'TASKS AND ROAD SEGMENT MATRIX'!BF53-1,"-")</f>
        <v>0.471227861711165</v>
      </c>
      <c r="AT53" s="23" t="n">
        <f aca="false">IF('TASKS AND ROAD SEGMENT MATRIX'!BG53-1&gt;0,'TASKS AND ROAD SEGMENT MATRIX'!BG53-1,"-")</f>
        <v>0.942455723422329</v>
      </c>
      <c r="AU53" s="23" t="n">
        <f aca="false">IF('TASKS AND ROAD SEGMENT MATRIX'!BH53-1&gt;0,'TASKS AND ROAD SEGMENT MATRIX'!BH53-1,"-")</f>
        <v>0.471227861711165</v>
      </c>
    </row>
    <row r="54" customFormat="false" ht="13.8" hidden="false" customHeight="false" outlineLevel="0" collapsed="false">
      <c r="A54" s="9" t="s">
        <v>75</v>
      </c>
      <c r="B54" s="0" t="s">
        <v>112</v>
      </c>
      <c r="C54" s="23" t="str">
        <f aca="false">IF('TASKS AND ROAD SEGMENT MATRIX'!P54-1&gt;0,'TASKS AND ROAD SEGMENT MATRIX'!P54-1,"-")</f>
        <v>-</v>
      </c>
      <c r="D54" s="23" t="str">
        <f aca="false">IF('TASKS AND ROAD SEGMENT MATRIX'!Q54-1&gt;0,'TASKS AND ROAD SEGMENT MATRIX'!Q54-1,"-")</f>
        <v>-</v>
      </c>
      <c r="E54" s="23" t="str">
        <f aca="false">IF('TASKS AND ROAD SEGMENT MATRIX'!R54-1&gt;0,'TASKS AND ROAD SEGMENT MATRIX'!R54-1,"-")</f>
        <v>-</v>
      </c>
      <c r="F54" s="23" t="str">
        <f aca="false">IF('TASKS AND ROAD SEGMENT MATRIX'!S54-1&gt;0,'TASKS AND ROAD SEGMENT MATRIX'!S54-1,"-")</f>
        <v>-</v>
      </c>
      <c r="G54" s="23" t="str">
        <f aca="false">IF('TASKS AND ROAD SEGMENT MATRIX'!T54-1&gt;0,'TASKS AND ROAD SEGMENT MATRIX'!T54-1,"-")</f>
        <v>-</v>
      </c>
      <c r="H54" s="23" t="str">
        <f aca="false">IF('TASKS AND ROAD SEGMENT MATRIX'!U54-1&gt;0,'TASKS AND ROAD SEGMENT MATRIX'!U54-1,"-")</f>
        <v>-</v>
      </c>
      <c r="I54" s="23" t="str">
        <f aca="false">IF('TASKS AND ROAD SEGMENT MATRIX'!V54-1&gt;0,'TASKS AND ROAD SEGMENT MATRIX'!V54-1,"-")</f>
        <v>-</v>
      </c>
      <c r="J54" s="23" t="str">
        <f aca="false">IF('TASKS AND ROAD SEGMENT MATRIX'!W54-1&gt;0,'TASKS AND ROAD SEGMENT MATRIX'!W54-1,"-")</f>
        <v>-</v>
      </c>
      <c r="K54" s="23" t="str">
        <f aca="false">IF('TASKS AND ROAD SEGMENT MATRIX'!X54-1&gt;0,'TASKS AND ROAD SEGMENT MATRIX'!X54-1,"-")</f>
        <v>-</v>
      </c>
      <c r="L54" s="23" t="str">
        <f aca="false">IF('TASKS AND ROAD SEGMENT MATRIX'!Y54-1&gt;0,'TASKS AND ROAD SEGMENT MATRIX'!Y54-1,"-")</f>
        <v>-</v>
      </c>
      <c r="M54" s="23" t="str">
        <f aca="false">IF('TASKS AND ROAD SEGMENT MATRIX'!Z54-1&gt;0,'TASKS AND ROAD SEGMENT MATRIX'!Z54-1,"-")</f>
        <v>-</v>
      </c>
      <c r="N54" s="23" t="n">
        <f aca="false">IF('TASKS AND ROAD SEGMENT MATRIX'!AA54-1&gt;0,'TASKS AND ROAD SEGMENT MATRIX'!AA54-1,"-")</f>
        <v>0.209983354574433</v>
      </c>
      <c r="O54" s="23" t="n">
        <f aca="false">IF('TASKS AND ROAD SEGMENT MATRIX'!AB54-1&gt;0,'TASKS AND ROAD SEGMENT MATRIX'!AB54-1,"-")</f>
        <v>0.209983354574433</v>
      </c>
      <c r="P54" s="23" t="n">
        <f aca="false">IF('TASKS AND ROAD SEGMENT MATRIX'!AC54-1&gt;0,'TASKS AND ROAD SEGMENT MATRIX'!AC54-1,"-")</f>
        <v>0.419966709148865</v>
      </c>
      <c r="Q54" s="23" t="str">
        <f aca="false">IF('TASKS AND ROAD SEGMENT MATRIX'!AD54-1&gt;0,'TASKS AND ROAD SEGMENT MATRIX'!AD54-1,"-")</f>
        <v>-</v>
      </c>
      <c r="R54" s="23" t="str">
        <f aca="false">IF('TASKS AND ROAD SEGMENT MATRIX'!AE54-1&gt;0,'TASKS AND ROAD SEGMENT MATRIX'!AE54-1,"-")</f>
        <v>-</v>
      </c>
      <c r="S54" s="23" t="str">
        <f aca="false">IF('TASKS AND ROAD SEGMENT MATRIX'!AF54-1&gt;0,'TASKS AND ROAD SEGMENT MATRIX'!AF54-1,"-")</f>
        <v>-</v>
      </c>
      <c r="T54" s="23" t="n">
        <f aca="false">IF('TASKS AND ROAD SEGMENT MATRIX'!AG54-1&gt;0,'TASKS AND ROAD SEGMENT MATRIX'!AG54-1,"-")</f>
        <v>0.209983354574433</v>
      </c>
      <c r="U54" s="23" t="n">
        <f aca="false">IF('TASKS AND ROAD SEGMENT MATRIX'!AH54-1&gt;0,'TASKS AND ROAD SEGMENT MATRIX'!AH54-1,"-")</f>
        <v>0.209983354574433</v>
      </c>
      <c r="V54" s="23" t="str">
        <f aca="false">IF('TASKS AND ROAD SEGMENT MATRIX'!AI54-1&gt;0,'TASKS AND ROAD SEGMENT MATRIX'!AI54-1,"-")</f>
        <v>-</v>
      </c>
      <c r="W54" s="23" t="str">
        <f aca="false">IF('TASKS AND ROAD SEGMENT MATRIX'!AJ54-1&gt;0,'TASKS AND ROAD SEGMENT MATRIX'!AJ54-1,"-")</f>
        <v>-</v>
      </c>
      <c r="X54" s="23" t="str">
        <f aca="false">IF('TASKS AND ROAD SEGMENT MATRIX'!AK54-1&gt;0,'TASKS AND ROAD SEGMENT MATRIX'!AK54-1,"-")</f>
        <v>-</v>
      </c>
      <c r="Y54" s="23" t="n">
        <f aca="false">IF('TASKS AND ROAD SEGMENT MATRIX'!AL54-1&gt;0,'TASKS AND ROAD SEGMENT MATRIX'!AL54-1,"-")</f>
        <v>0.209983354574433</v>
      </c>
      <c r="Z54" s="23" t="n">
        <f aca="false">IF('TASKS AND ROAD SEGMENT MATRIX'!AM54-1&gt;0,'TASKS AND ROAD SEGMENT MATRIX'!AM54-1,"-")</f>
        <v>0.419966709148865</v>
      </c>
      <c r="AA54" s="23" t="str">
        <f aca="false">IF('TASKS AND ROAD SEGMENT MATRIX'!AN54-1&gt;0,'TASKS AND ROAD SEGMENT MATRIX'!AN54-1,"-")</f>
        <v>-</v>
      </c>
      <c r="AB54" s="23" t="n">
        <f aca="false">IF('TASKS AND ROAD SEGMENT MATRIX'!AO54-1&gt;0,'TASKS AND ROAD SEGMENT MATRIX'!AO54-1,"-")</f>
        <v>0.419966709148865</v>
      </c>
      <c r="AC54" s="23" t="n">
        <f aca="false">IF('TASKS AND ROAD SEGMENT MATRIX'!AP54-1&gt;0,'TASKS AND ROAD SEGMENT MATRIX'!AP54-1,"-")</f>
        <v>0.419966709148865</v>
      </c>
      <c r="AD54" s="23" t="n">
        <f aca="false">IF('TASKS AND ROAD SEGMENT MATRIX'!AQ54-1&gt;0,'TASKS AND ROAD SEGMENT MATRIX'!AQ54-1,"-")</f>
        <v>0.209983354574433</v>
      </c>
      <c r="AE54" s="23" t="n">
        <f aca="false">IF('TASKS AND ROAD SEGMENT MATRIX'!AR54-1&gt;0,'TASKS AND ROAD SEGMENT MATRIX'!AR54-1,"-")</f>
        <v>0.209983354574433</v>
      </c>
      <c r="AF54" s="23" t="n">
        <f aca="false">IF('TASKS AND ROAD SEGMENT MATRIX'!AS54-1&gt;0,'TASKS AND ROAD SEGMENT MATRIX'!AS54-1,"-")</f>
        <v>0.209983354574433</v>
      </c>
      <c r="AG54" s="23" t="str">
        <f aca="false">IF('TASKS AND ROAD SEGMENT MATRIX'!AT54-1&gt;0,'TASKS AND ROAD SEGMENT MATRIX'!AT54-1,"-")</f>
        <v>-</v>
      </c>
      <c r="AH54" s="23" t="str">
        <f aca="false">IF('TASKS AND ROAD SEGMENT MATRIX'!AU54-1&gt;0,'TASKS AND ROAD SEGMENT MATRIX'!AU54-1,"-")</f>
        <v>-</v>
      </c>
      <c r="AI54" s="23" t="str">
        <f aca="false">IF('TASKS AND ROAD SEGMENT MATRIX'!AV54-1&gt;0,'TASKS AND ROAD SEGMENT MATRIX'!AV54-1,"-")</f>
        <v>-</v>
      </c>
      <c r="AJ54" s="23" t="str">
        <f aca="false">IF('TASKS AND ROAD SEGMENT MATRIX'!AW54-1&gt;0,'TASKS AND ROAD SEGMENT MATRIX'!AW54-1,"-")</f>
        <v>-</v>
      </c>
      <c r="AK54" s="23" t="str">
        <f aca="false">IF('TASKS AND ROAD SEGMENT MATRIX'!AX54-1&gt;0,'TASKS AND ROAD SEGMENT MATRIX'!AX54-1,"-")</f>
        <v>-</v>
      </c>
      <c r="AL54" s="23" t="str">
        <f aca="false">IF('TASKS AND ROAD SEGMENT MATRIX'!AY54-1&gt;0,'TASKS AND ROAD SEGMENT MATRIX'!AY54-1,"-")</f>
        <v>-</v>
      </c>
      <c r="AM54" s="23" t="n">
        <f aca="false">IF('TASKS AND ROAD SEGMENT MATRIX'!AZ54-1&gt;0,'TASKS AND ROAD SEGMENT MATRIX'!AZ54-1,"-")</f>
        <v>0.209983354574433</v>
      </c>
      <c r="AN54" s="23" t="n">
        <f aca="false">IF('TASKS AND ROAD SEGMENT MATRIX'!BA54-1&gt;0,'TASKS AND ROAD SEGMENT MATRIX'!BA54-1,"-")</f>
        <v>0.209983354574433</v>
      </c>
      <c r="AO54" s="23" t="str">
        <f aca="false">IF('TASKS AND ROAD SEGMENT MATRIX'!BB54-1&gt;0,'TASKS AND ROAD SEGMENT MATRIX'!BB54-1,"-")</f>
        <v>-</v>
      </c>
      <c r="AP54" s="23" t="str">
        <f aca="false">IF('TASKS AND ROAD SEGMENT MATRIX'!BC54-1&gt;0,'TASKS AND ROAD SEGMENT MATRIX'!BC54-1,"-")</f>
        <v>-</v>
      </c>
      <c r="AQ54" s="23" t="str">
        <f aca="false">IF('TASKS AND ROAD SEGMENT MATRIX'!BD54-1&gt;0,'TASKS AND ROAD SEGMENT MATRIX'!BD54-1,"-")</f>
        <v>-</v>
      </c>
      <c r="AR54" s="23" t="str">
        <f aca="false">IF('TASKS AND ROAD SEGMENT MATRIX'!BE54-1&gt;0,'TASKS AND ROAD SEGMENT MATRIX'!BE54-1,"-")</f>
        <v>-</v>
      </c>
      <c r="AS54" s="23" t="str">
        <f aca="false">IF('TASKS AND ROAD SEGMENT MATRIX'!BF54-1&gt;0,'TASKS AND ROAD SEGMENT MATRIX'!BF54-1,"-")</f>
        <v>-</v>
      </c>
      <c r="AT54" s="23" t="n">
        <f aca="false">IF('TASKS AND ROAD SEGMENT MATRIX'!BG54-1&gt;0,'TASKS AND ROAD SEGMENT MATRIX'!BG54-1,"-")</f>
        <v>0.209983354574433</v>
      </c>
      <c r="AU54" s="23" t="n">
        <f aca="false">IF('TASKS AND ROAD SEGMENT MATRIX'!BH54-1&gt;0,'TASKS AND ROAD SEGMENT MATRIX'!BH54-1,"-")</f>
        <v>0.209983354574433</v>
      </c>
    </row>
    <row r="55" customFormat="false" ht="13.8" hidden="false" customHeight="false" outlineLevel="0" collapsed="false">
      <c r="A55" s="9" t="s">
        <v>75</v>
      </c>
      <c r="B55" s="0" t="s">
        <v>115</v>
      </c>
      <c r="C55" s="23" t="str">
        <f aca="false">IF('TASKS AND ROAD SEGMENT MATRIX'!P55-1&gt;0,'TASKS AND ROAD SEGMENT MATRIX'!P55-1,"-")</f>
        <v>-</v>
      </c>
      <c r="D55" s="23" t="str">
        <f aca="false">IF('TASKS AND ROAD SEGMENT MATRIX'!Q55-1&gt;0,'TASKS AND ROAD SEGMENT MATRIX'!Q55-1,"-")</f>
        <v>-</v>
      </c>
      <c r="E55" s="23" t="str">
        <f aca="false">IF('TASKS AND ROAD SEGMENT MATRIX'!R55-1&gt;0,'TASKS AND ROAD SEGMENT MATRIX'!R55-1,"-")</f>
        <v>-</v>
      </c>
      <c r="F55" s="23" t="str">
        <f aca="false">IF('TASKS AND ROAD SEGMENT MATRIX'!S55-1&gt;0,'TASKS AND ROAD SEGMENT MATRIX'!S55-1,"-")</f>
        <v>-</v>
      </c>
      <c r="G55" s="23" t="str">
        <f aca="false">IF('TASKS AND ROAD SEGMENT MATRIX'!T55-1&gt;0,'TASKS AND ROAD SEGMENT MATRIX'!T55-1,"-")</f>
        <v>-</v>
      </c>
      <c r="H55" s="23" t="str">
        <f aca="false">IF('TASKS AND ROAD SEGMENT MATRIX'!U55-1&gt;0,'TASKS AND ROAD SEGMENT MATRIX'!U55-1,"-")</f>
        <v>-</v>
      </c>
      <c r="I55" s="23" t="str">
        <f aca="false">IF('TASKS AND ROAD SEGMENT MATRIX'!V55-1&gt;0,'TASKS AND ROAD SEGMENT MATRIX'!V55-1,"-")</f>
        <v>-</v>
      </c>
      <c r="J55" s="23" t="str">
        <f aca="false">IF('TASKS AND ROAD SEGMENT MATRIX'!W55-1&gt;0,'TASKS AND ROAD SEGMENT MATRIX'!W55-1,"-")</f>
        <v>-</v>
      </c>
      <c r="K55" s="23" t="str">
        <f aca="false">IF('TASKS AND ROAD SEGMENT MATRIX'!X55-1&gt;0,'TASKS AND ROAD SEGMENT MATRIX'!X55-1,"-")</f>
        <v>-</v>
      </c>
      <c r="L55" s="23" t="str">
        <f aca="false">IF('TASKS AND ROAD SEGMENT MATRIX'!Y55-1&gt;0,'TASKS AND ROAD SEGMENT MATRIX'!Y55-1,"-")</f>
        <v>-</v>
      </c>
      <c r="M55" s="23" t="str">
        <f aca="false">IF('TASKS AND ROAD SEGMENT MATRIX'!Z55-1&gt;0,'TASKS AND ROAD SEGMENT MATRIX'!Z55-1,"-")</f>
        <v>-</v>
      </c>
      <c r="N55" s="23" t="n">
        <f aca="false">IF('TASKS AND ROAD SEGMENT MATRIX'!AA55-1&gt;0,'TASKS AND ROAD SEGMENT MATRIX'!AA55-1,"-")</f>
        <v>0.314975031861649</v>
      </c>
      <c r="O55" s="23" t="n">
        <f aca="false">IF('TASKS AND ROAD SEGMENT MATRIX'!AB55-1&gt;0,'TASKS AND ROAD SEGMENT MATRIX'!AB55-1,"-")</f>
        <v>0.314975031861649</v>
      </c>
      <c r="P55" s="23" t="n">
        <f aca="false">IF('TASKS AND ROAD SEGMENT MATRIX'!AC55-1&gt;0,'TASKS AND ROAD SEGMENT MATRIX'!AC55-1,"-")</f>
        <v>0.629950063723298</v>
      </c>
      <c r="Q55" s="23" t="str">
        <f aca="false">IF('TASKS AND ROAD SEGMENT MATRIX'!AD55-1&gt;0,'TASKS AND ROAD SEGMENT MATRIX'!AD55-1,"-")</f>
        <v>-</v>
      </c>
      <c r="R55" s="23" t="str">
        <f aca="false">IF('TASKS AND ROAD SEGMENT MATRIX'!AE55-1&gt;0,'TASKS AND ROAD SEGMENT MATRIX'!AE55-1,"-")</f>
        <v>-</v>
      </c>
      <c r="S55" s="23" t="str">
        <f aca="false">IF('TASKS AND ROAD SEGMENT MATRIX'!AF55-1&gt;0,'TASKS AND ROAD SEGMENT MATRIX'!AF55-1,"-")</f>
        <v>-</v>
      </c>
      <c r="T55" s="23" t="n">
        <f aca="false">IF('TASKS AND ROAD SEGMENT MATRIX'!AG55-1&gt;0,'TASKS AND ROAD SEGMENT MATRIX'!AG55-1,"-")</f>
        <v>0.314975031861649</v>
      </c>
      <c r="U55" s="23" t="n">
        <f aca="false">IF('TASKS AND ROAD SEGMENT MATRIX'!AH55-1&gt;0,'TASKS AND ROAD SEGMENT MATRIX'!AH55-1,"-")</f>
        <v>0.314975031861649</v>
      </c>
      <c r="V55" s="23" t="str">
        <f aca="false">IF('TASKS AND ROAD SEGMENT MATRIX'!AI55-1&gt;0,'TASKS AND ROAD SEGMENT MATRIX'!AI55-1,"-")</f>
        <v>-</v>
      </c>
      <c r="W55" s="23" t="str">
        <f aca="false">IF('TASKS AND ROAD SEGMENT MATRIX'!AJ55-1&gt;0,'TASKS AND ROAD SEGMENT MATRIX'!AJ55-1,"-")</f>
        <v>-</v>
      </c>
      <c r="X55" s="23" t="str">
        <f aca="false">IF('TASKS AND ROAD SEGMENT MATRIX'!AK55-1&gt;0,'TASKS AND ROAD SEGMENT MATRIX'!AK55-1,"-")</f>
        <v>-</v>
      </c>
      <c r="Y55" s="23" t="n">
        <f aca="false">IF('TASKS AND ROAD SEGMENT MATRIX'!AL55-1&gt;0,'TASKS AND ROAD SEGMENT MATRIX'!AL55-1,"-")</f>
        <v>0.314975031861649</v>
      </c>
      <c r="Z55" s="23" t="n">
        <f aca="false">IF('TASKS AND ROAD SEGMENT MATRIX'!AM55-1&gt;0,'TASKS AND ROAD SEGMENT MATRIX'!AM55-1,"-")</f>
        <v>0.629950063723298</v>
      </c>
      <c r="AA55" s="23" t="n">
        <f aca="false">IF('TASKS AND ROAD SEGMENT MATRIX'!AN55-1&gt;0,'TASKS AND ROAD SEGMENT MATRIX'!AN55-1,"-")</f>
        <v>0.629950063723298</v>
      </c>
      <c r="AB55" s="23" t="n">
        <f aca="false">IF('TASKS AND ROAD SEGMENT MATRIX'!AO55-1&gt;0,'TASKS AND ROAD SEGMENT MATRIX'!AO55-1,"-")</f>
        <v>0.629950063723298</v>
      </c>
      <c r="AC55" s="23" t="n">
        <f aca="false">IF('TASKS AND ROAD SEGMENT MATRIX'!AP55-1&gt;0,'TASKS AND ROAD SEGMENT MATRIX'!AP55-1,"-")</f>
        <v>0.629950063723298</v>
      </c>
      <c r="AD55" s="23" t="n">
        <f aca="false">IF('TASKS AND ROAD SEGMENT MATRIX'!AQ55-1&gt;0,'TASKS AND ROAD SEGMENT MATRIX'!AQ55-1,"-")</f>
        <v>0.314975031861649</v>
      </c>
      <c r="AE55" s="23" t="n">
        <f aca="false">IF('TASKS AND ROAD SEGMENT MATRIX'!AR55-1&gt;0,'TASKS AND ROAD SEGMENT MATRIX'!AR55-1,"-")</f>
        <v>0.314975031861649</v>
      </c>
      <c r="AF55" s="23" t="n">
        <f aca="false">IF('TASKS AND ROAD SEGMENT MATRIX'!AS55-1&gt;0,'TASKS AND ROAD SEGMENT MATRIX'!AS55-1,"-")</f>
        <v>0.314975031861649</v>
      </c>
      <c r="AG55" s="23" t="str">
        <f aca="false">IF('TASKS AND ROAD SEGMENT MATRIX'!AT55-1&gt;0,'TASKS AND ROAD SEGMENT MATRIX'!AT55-1,"-")</f>
        <v>-</v>
      </c>
      <c r="AH55" s="23" t="str">
        <f aca="false">IF('TASKS AND ROAD SEGMENT MATRIX'!AU55-1&gt;0,'TASKS AND ROAD SEGMENT MATRIX'!AU55-1,"-")</f>
        <v>-</v>
      </c>
      <c r="AI55" s="23" t="str">
        <f aca="false">IF('TASKS AND ROAD SEGMENT MATRIX'!AV55-1&gt;0,'TASKS AND ROAD SEGMENT MATRIX'!AV55-1,"-")</f>
        <v>-</v>
      </c>
      <c r="AJ55" s="23" t="str">
        <f aca="false">IF('TASKS AND ROAD SEGMENT MATRIX'!AW55-1&gt;0,'TASKS AND ROAD SEGMENT MATRIX'!AW55-1,"-")</f>
        <v>-</v>
      </c>
      <c r="AK55" s="23" t="str">
        <f aca="false">IF('TASKS AND ROAD SEGMENT MATRIX'!AX55-1&gt;0,'TASKS AND ROAD SEGMENT MATRIX'!AX55-1,"-")</f>
        <v>-</v>
      </c>
      <c r="AL55" s="23" t="str">
        <f aca="false">IF('TASKS AND ROAD SEGMENT MATRIX'!AY55-1&gt;0,'TASKS AND ROAD SEGMENT MATRIX'!AY55-1,"-")</f>
        <v>-</v>
      </c>
      <c r="AM55" s="23" t="n">
        <f aca="false">IF('TASKS AND ROAD SEGMENT MATRIX'!AZ55-1&gt;0,'TASKS AND ROAD SEGMENT MATRIX'!AZ55-1,"-")</f>
        <v>0.314975031861649</v>
      </c>
      <c r="AN55" s="23" t="n">
        <f aca="false">IF('TASKS AND ROAD SEGMENT MATRIX'!BA55-1&gt;0,'TASKS AND ROAD SEGMENT MATRIX'!BA55-1,"-")</f>
        <v>0.314975031861649</v>
      </c>
      <c r="AO55" s="23" t="str">
        <f aca="false">IF('TASKS AND ROAD SEGMENT MATRIX'!BB55-1&gt;0,'TASKS AND ROAD SEGMENT MATRIX'!BB55-1,"-")</f>
        <v>-</v>
      </c>
      <c r="AP55" s="23" t="str">
        <f aca="false">IF('TASKS AND ROAD SEGMENT MATRIX'!BC55-1&gt;0,'TASKS AND ROAD SEGMENT MATRIX'!BC55-1,"-")</f>
        <v>-</v>
      </c>
      <c r="AQ55" s="23" t="str">
        <f aca="false">IF('TASKS AND ROAD SEGMENT MATRIX'!BD55-1&gt;0,'TASKS AND ROAD SEGMENT MATRIX'!BD55-1,"-")</f>
        <v>-</v>
      </c>
      <c r="AR55" s="23" t="str">
        <f aca="false">IF('TASKS AND ROAD SEGMENT MATRIX'!BE55-1&gt;0,'TASKS AND ROAD SEGMENT MATRIX'!BE55-1,"-")</f>
        <v>-</v>
      </c>
      <c r="AS55" s="23" t="str">
        <f aca="false">IF('TASKS AND ROAD SEGMENT MATRIX'!BF55-1&gt;0,'TASKS AND ROAD SEGMENT MATRIX'!BF55-1,"-")</f>
        <v>-</v>
      </c>
      <c r="AT55" s="23" t="n">
        <f aca="false">IF('TASKS AND ROAD SEGMENT MATRIX'!BG55-1&gt;0,'TASKS AND ROAD SEGMENT MATRIX'!BG55-1,"-")</f>
        <v>0.314975031861649</v>
      </c>
      <c r="AU55" s="23" t="n">
        <f aca="false">IF('TASKS AND ROAD SEGMENT MATRIX'!BH55-1&gt;0,'TASKS AND ROAD SEGMENT MATRIX'!BH55-1,"-")</f>
        <v>0.314975031861649</v>
      </c>
    </row>
    <row r="56" customFormat="false" ht="13.8" hidden="false" customHeight="false" outlineLevel="0" collapsed="false">
      <c r="A56" s="9" t="s">
        <v>75</v>
      </c>
      <c r="B56" s="0" t="s">
        <v>117</v>
      </c>
      <c r="C56" s="23" t="str">
        <f aca="false">IF('TASKS AND ROAD SEGMENT MATRIX'!P56-1&gt;0,'TASKS AND ROAD SEGMENT MATRIX'!P56-1,"-")</f>
        <v>-</v>
      </c>
      <c r="D56" s="23" t="str">
        <f aca="false">IF('TASKS AND ROAD SEGMENT MATRIX'!Q56-1&gt;0,'TASKS AND ROAD SEGMENT MATRIX'!Q56-1,"-")</f>
        <v>-</v>
      </c>
      <c r="E56" s="23" t="str">
        <f aca="false">IF('TASKS AND ROAD SEGMENT MATRIX'!R56-1&gt;0,'TASKS AND ROAD SEGMENT MATRIX'!R56-1,"-")</f>
        <v>-</v>
      </c>
      <c r="F56" s="23" t="str">
        <f aca="false">IF('TASKS AND ROAD SEGMENT MATRIX'!S56-1&gt;0,'TASKS AND ROAD SEGMENT MATRIX'!S56-1,"-")</f>
        <v>-</v>
      </c>
      <c r="G56" s="23" t="str">
        <f aca="false">IF('TASKS AND ROAD SEGMENT MATRIX'!T56-1&gt;0,'TASKS AND ROAD SEGMENT MATRIX'!T56-1,"-")</f>
        <v>-</v>
      </c>
      <c r="H56" s="23" t="str">
        <f aca="false">IF('TASKS AND ROAD SEGMENT MATRIX'!U56-1&gt;0,'TASKS AND ROAD SEGMENT MATRIX'!U56-1,"-")</f>
        <v>-</v>
      </c>
      <c r="I56" s="23" t="str">
        <f aca="false">IF('TASKS AND ROAD SEGMENT MATRIX'!V56-1&gt;0,'TASKS AND ROAD SEGMENT MATRIX'!V56-1,"-")</f>
        <v>-</v>
      </c>
      <c r="J56" s="23" t="str">
        <f aca="false">IF('TASKS AND ROAD SEGMENT MATRIX'!W56-1&gt;0,'TASKS AND ROAD SEGMENT MATRIX'!W56-1,"-")</f>
        <v>-</v>
      </c>
      <c r="K56" s="23" t="str">
        <f aca="false">IF('TASKS AND ROAD SEGMENT MATRIX'!X56-1&gt;0,'TASKS AND ROAD SEGMENT MATRIX'!X56-1,"-")</f>
        <v>-</v>
      </c>
      <c r="L56" s="23" t="str">
        <f aca="false">IF('TASKS AND ROAD SEGMENT MATRIX'!Y56-1&gt;0,'TASKS AND ROAD SEGMENT MATRIX'!Y56-1,"-")</f>
        <v>-</v>
      </c>
      <c r="M56" s="23" t="str">
        <f aca="false">IF('TASKS AND ROAD SEGMENT MATRIX'!Z56-1&gt;0,'TASKS AND ROAD SEGMENT MATRIX'!Z56-1,"-")</f>
        <v>-</v>
      </c>
      <c r="N56" s="23" t="n">
        <f aca="false">IF('TASKS AND ROAD SEGMENT MATRIX'!AA56-1&gt;0,'TASKS AND ROAD SEGMENT MATRIX'!AA56-1,"-")</f>
        <v>0.262479193218041</v>
      </c>
      <c r="O56" s="23" t="n">
        <f aca="false">IF('TASKS AND ROAD SEGMENT MATRIX'!AB56-1&gt;0,'TASKS AND ROAD SEGMENT MATRIX'!AB56-1,"-")</f>
        <v>0.262479193218041</v>
      </c>
      <c r="P56" s="23" t="n">
        <f aca="false">IF('TASKS AND ROAD SEGMENT MATRIX'!AC56-1&gt;0,'TASKS AND ROAD SEGMENT MATRIX'!AC56-1,"-")</f>
        <v>0.524958386436081</v>
      </c>
      <c r="Q56" s="23" t="str">
        <f aca="false">IF('TASKS AND ROAD SEGMENT MATRIX'!AD56-1&gt;0,'TASKS AND ROAD SEGMENT MATRIX'!AD56-1,"-")</f>
        <v>-</v>
      </c>
      <c r="R56" s="23" t="str">
        <f aca="false">IF('TASKS AND ROAD SEGMENT MATRIX'!AE56-1&gt;0,'TASKS AND ROAD SEGMENT MATRIX'!AE56-1,"-")</f>
        <v>-</v>
      </c>
      <c r="S56" s="23" t="str">
        <f aca="false">IF('TASKS AND ROAD SEGMENT MATRIX'!AF56-1&gt;0,'TASKS AND ROAD SEGMENT MATRIX'!AF56-1,"-")</f>
        <v>-</v>
      </c>
      <c r="T56" s="23" t="n">
        <f aca="false">IF('TASKS AND ROAD SEGMENT MATRIX'!AG56-1&gt;0,'TASKS AND ROAD SEGMENT MATRIX'!AG56-1,"-")</f>
        <v>0.262479193218041</v>
      </c>
      <c r="U56" s="23" t="n">
        <f aca="false">IF('TASKS AND ROAD SEGMENT MATRIX'!AH56-1&gt;0,'TASKS AND ROAD SEGMENT MATRIX'!AH56-1,"-")</f>
        <v>0.262479193218041</v>
      </c>
      <c r="V56" s="23" t="str">
        <f aca="false">IF('TASKS AND ROAD SEGMENT MATRIX'!AI56-1&gt;0,'TASKS AND ROAD SEGMENT MATRIX'!AI56-1,"-")</f>
        <v>-</v>
      </c>
      <c r="W56" s="23" t="str">
        <f aca="false">IF('TASKS AND ROAD SEGMENT MATRIX'!AJ56-1&gt;0,'TASKS AND ROAD SEGMENT MATRIX'!AJ56-1,"-")</f>
        <v>-</v>
      </c>
      <c r="X56" s="23" t="str">
        <f aca="false">IF('TASKS AND ROAD SEGMENT MATRIX'!AK56-1&gt;0,'TASKS AND ROAD SEGMENT MATRIX'!AK56-1,"-")</f>
        <v>-</v>
      </c>
      <c r="Y56" s="23" t="n">
        <f aca="false">IF('TASKS AND ROAD SEGMENT MATRIX'!AL56-1&gt;0,'TASKS AND ROAD SEGMENT MATRIX'!AL56-1,"-")</f>
        <v>0.262479193218041</v>
      </c>
      <c r="Z56" s="23" t="n">
        <f aca="false">IF('TASKS AND ROAD SEGMENT MATRIX'!AM56-1&gt;0,'TASKS AND ROAD SEGMENT MATRIX'!AM56-1,"-")</f>
        <v>0.524958386436081</v>
      </c>
      <c r="AA56" s="23" t="n">
        <f aca="false">IF('TASKS AND ROAD SEGMENT MATRIX'!AN56-1&gt;0,'TASKS AND ROAD SEGMENT MATRIX'!AN56-1,"-")</f>
        <v>0.262479193218041</v>
      </c>
      <c r="AB56" s="23" t="n">
        <f aca="false">IF('TASKS AND ROAD SEGMENT MATRIX'!AO56-1&gt;0,'TASKS AND ROAD SEGMENT MATRIX'!AO56-1,"-")</f>
        <v>0.524958386436081</v>
      </c>
      <c r="AC56" s="23" t="n">
        <f aca="false">IF('TASKS AND ROAD SEGMENT MATRIX'!AP56-1&gt;0,'TASKS AND ROAD SEGMENT MATRIX'!AP56-1,"-")</f>
        <v>0.524958386436081</v>
      </c>
      <c r="AD56" s="23" t="n">
        <f aca="false">IF('TASKS AND ROAD SEGMENT MATRIX'!AQ56-1&gt;0,'TASKS AND ROAD SEGMENT MATRIX'!AQ56-1,"-")</f>
        <v>0.262479193218041</v>
      </c>
      <c r="AE56" s="23" t="n">
        <f aca="false">IF('TASKS AND ROAD SEGMENT MATRIX'!AR56-1&gt;0,'TASKS AND ROAD SEGMENT MATRIX'!AR56-1,"-")</f>
        <v>0.262479193218041</v>
      </c>
      <c r="AF56" s="23" t="n">
        <f aca="false">IF('TASKS AND ROAD SEGMENT MATRIX'!AS56-1&gt;0,'TASKS AND ROAD SEGMENT MATRIX'!AS56-1,"-")</f>
        <v>0.262479193218041</v>
      </c>
      <c r="AG56" s="23" t="str">
        <f aca="false">IF('TASKS AND ROAD SEGMENT MATRIX'!AT56-1&gt;0,'TASKS AND ROAD SEGMENT MATRIX'!AT56-1,"-")</f>
        <v>-</v>
      </c>
      <c r="AH56" s="23" t="str">
        <f aca="false">IF('TASKS AND ROAD SEGMENT MATRIX'!AU56-1&gt;0,'TASKS AND ROAD SEGMENT MATRIX'!AU56-1,"-")</f>
        <v>-</v>
      </c>
      <c r="AI56" s="23" t="str">
        <f aca="false">IF('TASKS AND ROAD SEGMENT MATRIX'!AV56-1&gt;0,'TASKS AND ROAD SEGMENT MATRIX'!AV56-1,"-")</f>
        <v>-</v>
      </c>
      <c r="AJ56" s="23" t="str">
        <f aca="false">IF('TASKS AND ROAD SEGMENT MATRIX'!AW56-1&gt;0,'TASKS AND ROAD SEGMENT MATRIX'!AW56-1,"-")</f>
        <v>-</v>
      </c>
      <c r="AK56" s="23" t="str">
        <f aca="false">IF('TASKS AND ROAD SEGMENT MATRIX'!AX56-1&gt;0,'TASKS AND ROAD SEGMENT MATRIX'!AX56-1,"-")</f>
        <v>-</v>
      </c>
      <c r="AL56" s="23" t="str">
        <f aca="false">IF('TASKS AND ROAD SEGMENT MATRIX'!AY56-1&gt;0,'TASKS AND ROAD SEGMENT MATRIX'!AY56-1,"-")</f>
        <v>-</v>
      </c>
      <c r="AM56" s="23" t="n">
        <f aca="false">IF('TASKS AND ROAD SEGMENT MATRIX'!AZ56-1&gt;0,'TASKS AND ROAD SEGMENT MATRIX'!AZ56-1,"-")</f>
        <v>0.262479193218041</v>
      </c>
      <c r="AN56" s="23" t="n">
        <f aca="false">IF('TASKS AND ROAD SEGMENT MATRIX'!BA56-1&gt;0,'TASKS AND ROAD SEGMENT MATRIX'!BA56-1,"-")</f>
        <v>0.262479193218041</v>
      </c>
      <c r="AO56" s="23" t="str">
        <f aca="false">IF('TASKS AND ROAD SEGMENT MATRIX'!BB56-1&gt;0,'TASKS AND ROAD SEGMENT MATRIX'!BB56-1,"-")</f>
        <v>-</v>
      </c>
      <c r="AP56" s="23" t="str">
        <f aca="false">IF('TASKS AND ROAD SEGMENT MATRIX'!BC56-1&gt;0,'TASKS AND ROAD SEGMENT MATRIX'!BC56-1,"-")</f>
        <v>-</v>
      </c>
      <c r="AQ56" s="23" t="str">
        <f aca="false">IF('TASKS AND ROAD SEGMENT MATRIX'!BD56-1&gt;0,'TASKS AND ROAD SEGMENT MATRIX'!BD56-1,"-")</f>
        <v>-</v>
      </c>
      <c r="AR56" s="23" t="str">
        <f aca="false">IF('TASKS AND ROAD SEGMENT MATRIX'!BE56-1&gt;0,'TASKS AND ROAD SEGMENT MATRIX'!BE56-1,"-")</f>
        <v>-</v>
      </c>
      <c r="AS56" s="23" t="str">
        <f aca="false">IF('TASKS AND ROAD SEGMENT MATRIX'!BF56-1&gt;0,'TASKS AND ROAD SEGMENT MATRIX'!BF56-1,"-")</f>
        <v>-</v>
      </c>
      <c r="AT56" s="23" t="n">
        <f aca="false">IF('TASKS AND ROAD SEGMENT MATRIX'!BG56-1&gt;0,'TASKS AND ROAD SEGMENT MATRIX'!BG56-1,"-")</f>
        <v>0.262479193218041</v>
      </c>
      <c r="AU56" s="23" t="n">
        <f aca="false">IF('TASKS AND ROAD SEGMENT MATRIX'!BH56-1&gt;0,'TASKS AND ROAD SEGMENT MATRIX'!BH56-1,"-")</f>
        <v>0.262479193218041</v>
      </c>
    </row>
    <row r="57" customFormat="false" ht="13.8" hidden="false" customHeight="false" outlineLevel="0" collapsed="false">
      <c r="A57" s="9" t="s">
        <v>75</v>
      </c>
      <c r="B57" s="0" t="s">
        <v>119</v>
      </c>
      <c r="C57" s="23" t="str">
        <f aca="false">IF('TASKS AND ROAD SEGMENT MATRIX'!P57-1&gt;0,'TASKS AND ROAD SEGMENT MATRIX'!P57-1,"-")</f>
        <v>-</v>
      </c>
      <c r="D57" s="23" t="str">
        <f aca="false">IF('TASKS AND ROAD SEGMENT MATRIX'!Q57-1&gt;0,'TASKS AND ROAD SEGMENT MATRIX'!Q57-1,"-")</f>
        <v>-</v>
      </c>
      <c r="E57" s="23" t="str">
        <f aca="false">IF('TASKS AND ROAD SEGMENT MATRIX'!R57-1&gt;0,'TASKS AND ROAD SEGMENT MATRIX'!R57-1,"-")</f>
        <v>-</v>
      </c>
      <c r="F57" s="23" t="str">
        <f aca="false">IF('TASKS AND ROAD SEGMENT MATRIX'!S57-1&gt;0,'TASKS AND ROAD SEGMENT MATRIX'!S57-1,"-")</f>
        <v>-</v>
      </c>
      <c r="G57" s="23" t="str">
        <f aca="false">IF('TASKS AND ROAD SEGMENT MATRIX'!T57-1&gt;0,'TASKS AND ROAD SEGMENT MATRIX'!T57-1,"-")</f>
        <v>-</v>
      </c>
      <c r="H57" s="23" t="str">
        <f aca="false">IF('TASKS AND ROAD SEGMENT MATRIX'!U57-1&gt;0,'TASKS AND ROAD SEGMENT MATRIX'!U57-1,"-")</f>
        <v>-</v>
      </c>
      <c r="I57" s="23" t="str">
        <f aca="false">IF('TASKS AND ROAD SEGMENT MATRIX'!V57-1&gt;0,'TASKS AND ROAD SEGMENT MATRIX'!V57-1,"-")</f>
        <v>-</v>
      </c>
      <c r="J57" s="23" t="str">
        <f aca="false">IF('TASKS AND ROAD SEGMENT MATRIX'!W57-1&gt;0,'TASKS AND ROAD SEGMENT MATRIX'!W57-1,"-")</f>
        <v>-</v>
      </c>
      <c r="K57" s="23" t="str">
        <f aca="false">IF('TASKS AND ROAD SEGMENT MATRIX'!X57-1&gt;0,'TASKS AND ROAD SEGMENT MATRIX'!X57-1,"-")</f>
        <v>-</v>
      </c>
      <c r="L57" s="23" t="str">
        <f aca="false">IF('TASKS AND ROAD SEGMENT MATRIX'!Y57-1&gt;0,'TASKS AND ROAD SEGMENT MATRIX'!Y57-1,"-")</f>
        <v>-</v>
      </c>
      <c r="M57" s="23" t="str">
        <f aca="false">IF('TASKS AND ROAD SEGMENT MATRIX'!Z57-1&gt;0,'TASKS AND ROAD SEGMENT MATRIX'!Z57-1,"-")</f>
        <v>-</v>
      </c>
      <c r="N57" s="23" t="n">
        <f aca="false">IF('TASKS AND ROAD SEGMENT MATRIX'!AA57-1&gt;0,'TASKS AND ROAD SEGMENT MATRIX'!AA57-1,"-")</f>
        <v>0.314975031861649</v>
      </c>
      <c r="O57" s="23" t="n">
        <f aca="false">IF('TASKS AND ROAD SEGMENT MATRIX'!AB57-1&gt;0,'TASKS AND ROAD SEGMENT MATRIX'!AB57-1,"-")</f>
        <v>0.314975031861649</v>
      </c>
      <c r="P57" s="23" t="n">
        <f aca="false">IF('TASKS AND ROAD SEGMENT MATRIX'!AC57-1&gt;0,'TASKS AND ROAD SEGMENT MATRIX'!AC57-1,"-")</f>
        <v>0.629950063723298</v>
      </c>
      <c r="Q57" s="23" t="str">
        <f aca="false">IF('TASKS AND ROAD SEGMENT MATRIX'!AD57-1&gt;0,'TASKS AND ROAD SEGMENT MATRIX'!AD57-1,"-")</f>
        <v>-</v>
      </c>
      <c r="R57" s="23" t="str">
        <f aca="false">IF('TASKS AND ROAD SEGMENT MATRIX'!AE57-1&gt;0,'TASKS AND ROAD SEGMENT MATRIX'!AE57-1,"-")</f>
        <v>-</v>
      </c>
      <c r="S57" s="23" t="str">
        <f aca="false">IF('TASKS AND ROAD SEGMENT MATRIX'!AF57-1&gt;0,'TASKS AND ROAD SEGMENT MATRIX'!AF57-1,"-")</f>
        <v>-</v>
      </c>
      <c r="T57" s="23" t="n">
        <f aca="false">IF('TASKS AND ROAD SEGMENT MATRIX'!AG57-1&gt;0,'TASKS AND ROAD SEGMENT MATRIX'!AG57-1,"-")</f>
        <v>0.314975031861649</v>
      </c>
      <c r="U57" s="23" t="n">
        <f aca="false">IF('TASKS AND ROAD SEGMENT MATRIX'!AH57-1&gt;0,'TASKS AND ROAD SEGMENT MATRIX'!AH57-1,"-")</f>
        <v>0.314975031861649</v>
      </c>
      <c r="V57" s="23" t="str">
        <f aca="false">IF('TASKS AND ROAD SEGMENT MATRIX'!AI57-1&gt;0,'TASKS AND ROAD SEGMENT MATRIX'!AI57-1,"-")</f>
        <v>-</v>
      </c>
      <c r="W57" s="23" t="str">
        <f aca="false">IF('TASKS AND ROAD SEGMENT MATRIX'!AJ57-1&gt;0,'TASKS AND ROAD SEGMENT MATRIX'!AJ57-1,"-")</f>
        <v>-</v>
      </c>
      <c r="X57" s="23" t="str">
        <f aca="false">IF('TASKS AND ROAD SEGMENT MATRIX'!AK57-1&gt;0,'TASKS AND ROAD SEGMENT MATRIX'!AK57-1,"-")</f>
        <v>-</v>
      </c>
      <c r="Y57" s="23" t="n">
        <f aca="false">IF('TASKS AND ROAD SEGMENT MATRIX'!AL57-1&gt;0,'TASKS AND ROAD SEGMENT MATRIX'!AL57-1,"-")</f>
        <v>0.314975031861649</v>
      </c>
      <c r="Z57" s="23" t="n">
        <f aca="false">IF('TASKS AND ROAD SEGMENT MATRIX'!AM57-1&gt;0,'TASKS AND ROAD SEGMENT MATRIX'!AM57-1,"-")</f>
        <v>0.629950063723298</v>
      </c>
      <c r="AA57" s="23" t="n">
        <f aca="false">IF('TASKS AND ROAD SEGMENT MATRIX'!AN57-1&gt;0,'TASKS AND ROAD SEGMENT MATRIX'!AN57-1,"-")</f>
        <v>0.629950063723298</v>
      </c>
      <c r="AB57" s="23" t="n">
        <f aca="false">IF('TASKS AND ROAD SEGMENT MATRIX'!AO57-1&gt;0,'TASKS AND ROAD SEGMENT MATRIX'!AO57-1,"-")</f>
        <v>0.629950063723298</v>
      </c>
      <c r="AC57" s="23" t="n">
        <f aca="false">IF('TASKS AND ROAD SEGMENT MATRIX'!AP57-1&gt;0,'TASKS AND ROAD SEGMENT MATRIX'!AP57-1,"-")</f>
        <v>0.629950063723298</v>
      </c>
      <c r="AD57" s="23" t="n">
        <f aca="false">IF('TASKS AND ROAD SEGMENT MATRIX'!AQ57-1&gt;0,'TASKS AND ROAD SEGMENT MATRIX'!AQ57-1,"-")</f>
        <v>0.314975031861649</v>
      </c>
      <c r="AE57" s="23" t="n">
        <f aca="false">IF('TASKS AND ROAD SEGMENT MATRIX'!AR57-1&gt;0,'TASKS AND ROAD SEGMENT MATRIX'!AR57-1,"-")</f>
        <v>0.314975031861649</v>
      </c>
      <c r="AF57" s="23" t="n">
        <f aca="false">IF('TASKS AND ROAD SEGMENT MATRIX'!AS57-1&gt;0,'TASKS AND ROAD SEGMENT MATRIX'!AS57-1,"-")</f>
        <v>0.314975031861649</v>
      </c>
      <c r="AG57" s="23" t="str">
        <f aca="false">IF('TASKS AND ROAD SEGMENT MATRIX'!AT57-1&gt;0,'TASKS AND ROAD SEGMENT MATRIX'!AT57-1,"-")</f>
        <v>-</v>
      </c>
      <c r="AH57" s="23" t="str">
        <f aca="false">IF('TASKS AND ROAD SEGMENT MATRIX'!AU57-1&gt;0,'TASKS AND ROAD SEGMENT MATRIX'!AU57-1,"-")</f>
        <v>-</v>
      </c>
      <c r="AI57" s="23" t="str">
        <f aca="false">IF('TASKS AND ROAD SEGMENT MATRIX'!AV57-1&gt;0,'TASKS AND ROAD SEGMENT MATRIX'!AV57-1,"-")</f>
        <v>-</v>
      </c>
      <c r="AJ57" s="23" t="str">
        <f aca="false">IF('TASKS AND ROAD SEGMENT MATRIX'!AW57-1&gt;0,'TASKS AND ROAD SEGMENT MATRIX'!AW57-1,"-")</f>
        <v>-</v>
      </c>
      <c r="AK57" s="23" t="str">
        <f aca="false">IF('TASKS AND ROAD SEGMENT MATRIX'!AX57-1&gt;0,'TASKS AND ROAD SEGMENT MATRIX'!AX57-1,"-")</f>
        <v>-</v>
      </c>
      <c r="AL57" s="23" t="str">
        <f aca="false">IF('TASKS AND ROAD SEGMENT MATRIX'!AY57-1&gt;0,'TASKS AND ROAD SEGMENT MATRIX'!AY57-1,"-")</f>
        <v>-</v>
      </c>
      <c r="AM57" s="23" t="n">
        <f aca="false">IF('TASKS AND ROAD SEGMENT MATRIX'!AZ57-1&gt;0,'TASKS AND ROAD SEGMENT MATRIX'!AZ57-1,"-")</f>
        <v>0.314975031861649</v>
      </c>
      <c r="AN57" s="23" t="n">
        <f aca="false">IF('TASKS AND ROAD SEGMENT MATRIX'!BA57-1&gt;0,'TASKS AND ROAD SEGMENT MATRIX'!BA57-1,"-")</f>
        <v>0.314975031861649</v>
      </c>
      <c r="AO57" s="23" t="str">
        <f aca="false">IF('TASKS AND ROAD SEGMENT MATRIX'!BB57-1&gt;0,'TASKS AND ROAD SEGMENT MATRIX'!BB57-1,"-")</f>
        <v>-</v>
      </c>
      <c r="AP57" s="23" t="str">
        <f aca="false">IF('TASKS AND ROAD SEGMENT MATRIX'!BC57-1&gt;0,'TASKS AND ROAD SEGMENT MATRIX'!BC57-1,"-")</f>
        <v>-</v>
      </c>
      <c r="AQ57" s="23" t="str">
        <f aca="false">IF('TASKS AND ROAD SEGMENT MATRIX'!BD57-1&gt;0,'TASKS AND ROAD SEGMENT MATRIX'!BD57-1,"-")</f>
        <v>-</v>
      </c>
      <c r="AR57" s="23" t="str">
        <f aca="false">IF('TASKS AND ROAD SEGMENT MATRIX'!BE57-1&gt;0,'TASKS AND ROAD SEGMENT MATRIX'!BE57-1,"-")</f>
        <v>-</v>
      </c>
      <c r="AS57" s="23" t="str">
        <f aca="false">IF('TASKS AND ROAD SEGMENT MATRIX'!BF57-1&gt;0,'TASKS AND ROAD SEGMENT MATRIX'!BF57-1,"-")</f>
        <v>-</v>
      </c>
      <c r="AT57" s="23" t="n">
        <f aca="false">IF('TASKS AND ROAD SEGMENT MATRIX'!BG57-1&gt;0,'TASKS AND ROAD SEGMENT MATRIX'!BG57-1,"-")</f>
        <v>0.314975031861649</v>
      </c>
      <c r="AU57" s="23" t="n">
        <f aca="false">IF('TASKS AND ROAD SEGMENT MATRIX'!BH57-1&gt;0,'TASKS AND ROAD SEGMENT MATRIX'!BH57-1,"-")</f>
        <v>0.314975031861649</v>
      </c>
    </row>
    <row r="58" customFormat="false" ht="13.8" hidden="false" customHeight="false" outlineLevel="0" collapsed="false">
      <c r="A58" s="19" t="s">
        <v>76</v>
      </c>
      <c r="B58" s="0" t="s">
        <v>112</v>
      </c>
      <c r="C58" s="23" t="str">
        <f aca="false">IF('TASKS AND ROAD SEGMENT MATRIX'!P58-1&gt;0,'TASKS AND ROAD SEGMENT MATRIX'!P58-1,"-")</f>
        <v>-</v>
      </c>
      <c r="D58" s="23" t="str">
        <f aca="false">IF('TASKS AND ROAD SEGMENT MATRIX'!Q58-1&gt;0,'TASKS AND ROAD SEGMENT MATRIX'!Q58-1,"-")</f>
        <v>-</v>
      </c>
      <c r="E58" s="23" t="str">
        <f aca="false">IF('TASKS AND ROAD SEGMENT MATRIX'!R58-1&gt;0,'TASKS AND ROAD SEGMENT MATRIX'!R58-1,"-")</f>
        <v>-</v>
      </c>
      <c r="F58" s="23" t="str">
        <f aca="false">IF('TASKS AND ROAD SEGMENT MATRIX'!S58-1&gt;0,'TASKS AND ROAD SEGMENT MATRIX'!S58-1,"-")</f>
        <v>-</v>
      </c>
      <c r="G58" s="23" t="str">
        <f aca="false">IF('TASKS AND ROAD SEGMENT MATRIX'!T58-1&gt;0,'TASKS AND ROAD SEGMENT MATRIX'!T58-1,"-")</f>
        <v>-</v>
      </c>
      <c r="H58" s="23" t="str">
        <f aca="false">IF('TASKS AND ROAD SEGMENT MATRIX'!U58-1&gt;0,'TASKS AND ROAD SEGMENT MATRIX'!U58-1,"-")</f>
        <v>-</v>
      </c>
      <c r="I58" s="23" t="str">
        <f aca="false">IF('TASKS AND ROAD SEGMENT MATRIX'!V58-1&gt;0,'TASKS AND ROAD SEGMENT MATRIX'!V58-1,"-")</f>
        <v>-</v>
      </c>
      <c r="J58" s="23" t="str">
        <f aca="false">IF('TASKS AND ROAD SEGMENT MATRIX'!W58-1&gt;0,'TASKS AND ROAD SEGMENT MATRIX'!W58-1,"-")</f>
        <v>-</v>
      </c>
      <c r="K58" s="23" t="str">
        <f aca="false">IF('TASKS AND ROAD SEGMENT MATRIX'!X58-1&gt;0,'TASKS AND ROAD SEGMENT MATRIX'!X58-1,"-")</f>
        <v>-</v>
      </c>
      <c r="L58" s="23" t="str">
        <f aca="false">IF('TASKS AND ROAD SEGMENT MATRIX'!Y58-1&gt;0,'TASKS AND ROAD SEGMENT MATRIX'!Y58-1,"-")</f>
        <v>-</v>
      </c>
      <c r="M58" s="23" t="n">
        <f aca="false">IF('TASKS AND ROAD SEGMENT MATRIX'!Z58-1&gt;0,'TASKS AND ROAD SEGMENT MATRIX'!Z58-1,"-")</f>
        <v>0.32997384290268</v>
      </c>
      <c r="N58" s="23" t="n">
        <f aca="false">IF('TASKS AND ROAD SEGMENT MATRIX'!AA58-1&gt;0,'TASKS AND ROAD SEGMENT MATRIX'!AA58-1,"-")</f>
        <v>0.659947685805359</v>
      </c>
      <c r="O58" s="23" t="str">
        <f aca="false">IF('TASKS AND ROAD SEGMENT MATRIX'!AB58-1&gt;0,'TASKS AND ROAD SEGMENT MATRIX'!AB58-1,"-")</f>
        <v>-</v>
      </c>
      <c r="P58" s="23" t="n">
        <f aca="false">IF('TASKS AND ROAD SEGMENT MATRIX'!AC58-1&gt;0,'TASKS AND ROAD SEGMENT MATRIX'!AC58-1,"-")</f>
        <v>0.32997384290268</v>
      </c>
      <c r="Q58" s="23" t="str">
        <f aca="false">IF('TASKS AND ROAD SEGMENT MATRIX'!AD58-1&gt;0,'TASKS AND ROAD SEGMENT MATRIX'!AD58-1,"-")</f>
        <v>-</v>
      </c>
      <c r="R58" s="23" t="str">
        <f aca="false">IF('TASKS AND ROAD SEGMENT MATRIX'!AE58-1&gt;0,'TASKS AND ROAD SEGMENT MATRIX'!AE58-1,"-")</f>
        <v>-</v>
      </c>
      <c r="S58" s="23" t="str">
        <f aca="false">IF('TASKS AND ROAD SEGMENT MATRIX'!AF58-1&gt;0,'TASKS AND ROAD SEGMENT MATRIX'!AF58-1,"-")</f>
        <v>-</v>
      </c>
      <c r="T58" s="23" t="n">
        <f aca="false">IF('TASKS AND ROAD SEGMENT MATRIX'!AG58-1&gt;0,'TASKS AND ROAD SEGMENT MATRIX'!AG58-1,"-")</f>
        <v>0.32997384290268</v>
      </c>
      <c r="U58" s="23" t="n">
        <f aca="false">IF('TASKS AND ROAD SEGMENT MATRIX'!AH58-1&gt;0,'TASKS AND ROAD SEGMENT MATRIX'!AH58-1,"-")</f>
        <v>0.32997384290268</v>
      </c>
      <c r="V58" s="23" t="str">
        <f aca="false">IF('TASKS AND ROAD SEGMENT MATRIX'!AI58-1&gt;0,'TASKS AND ROAD SEGMENT MATRIX'!AI58-1,"-")</f>
        <v>-</v>
      </c>
      <c r="W58" s="23" t="str">
        <f aca="false">IF('TASKS AND ROAD SEGMENT MATRIX'!AJ58-1&gt;0,'TASKS AND ROAD SEGMENT MATRIX'!AJ58-1,"-")</f>
        <v>-</v>
      </c>
      <c r="X58" s="23" t="str">
        <f aca="false">IF('TASKS AND ROAD SEGMENT MATRIX'!AK58-1&gt;0,'TASKS AND ROAD SEGMENT MATRIX'!AK58-1,"-")</f>
        <v>-</v>
      </c>
      <c r="Y58" s="23" t="n">
        <f aca="false">IF('TASKS AND ROAD SEGMENT MATRIX'!AL58-1&gt;0,'TASKS AND ROAD SEGMENT MATRIX'!AL58-1,"-")</f>
        <v>0.32997384290268</v>
      </c>
      <c r="Z58" s="23" t="n">
        <f aca="false">IF('TASKS AND ROAD SEGMENT MATRIX'!AM58-1&gt;0,'TASKS AND ROAD SEGMENT MATRIX'!AM58-1,"-")</f>
        <v>0.659947685805359</v>
      </c>
      <c r="AA58" s="23" t="n">
        <f aca="false">IF('TASKS AND ROAD SEGMENT MATRIX'!AN58-1&gt;0,'TASKS AND ROAD SEGMENT MATRIX'!AN58-1,"-")</f>
        <v>0.659947685805359</v>
      </c>
      <c r="AB58" s="23" t="str">
        <f aca="false">IF('TASKS AND ROAD SEGMENT MATRIX'!AO58-1&gt;0,'TASKS AND ROAD SEGMENT MATRIX'!AO58-1,"-")</f>
        <v>-</v>
      </c>
      <c r="AC58" s="23" t="n">
        <f aca="false">IF('TASKS AND ROAD SEGMENT MATRIX'!AP58-1&gt;0,'TASKS AND ROAD SEGMENT MATRIX'!AP58-1,"-")</f>
        <v>0.659947685805359</v>
      </c>
      <c r="AD58" s="23" t="n">
        <f aca="false">IF('TASKS AND ROAD SEGMENT MATRIX'!AQ58-1&gt;0,'TASKS AND ROAD SEGMENT MATRIX'!AQ58-1,"-")</f>
        <v>0.32997384290268</v>
      </c>
      <c r="AE58" s="23" t="n">
        <f aca="false">IF('TASKS AND ROAD SEGMENT MATRIX'!AR58-1&gt;0,'TASKS AND ROAD SEGMENT MATRIX'!AR58-1,"-")</f>
        <v>0.32997384290268</v>
      </c>
      <c r="AF58" s="23" t="n">
        <f aca="false">IF('TASKS AND ROAD SEGMENT MATRIX'!AS58-1&gt;0,'TASKS AND ROAD SEGMENT MATRIX'!AS58-1,"-")</f>
        <v>0.32997384290268</v>
      </c>
      <c r="AG58" s="23" t="str">
        <f aca="false">IF('TASKS AND ROAD SEGMENT MATRIX'!AT58-1&gt;0,'TASKS AND ROAD SEGMENT MATRIX'!AT58-1,"-")</f>
        <v>-</v>
      </c>
      <c r="AH58" s="23" t="str">
        <f aca="false">IF('TASKS AND ROAD SEGMENT MATRIX'!AU58-1&gt;0,'TASKS AND ROAD SEGMENT MATRIX'!AU58-1,"-")</f>
        <v>-</v>
      </c>
      <c r="AI58" s="23" t="str">
        <f aca="false">IF('TASKS AND ROAD SEGMENT MATRIX'!AV58-1&gt;0,'TASKS AND ROAD SEGMENT MATRIX'!AV58-1,"-")</f>
        <v>-</v>
      </c>
      <c r="AJ58" s="23" t="str">
        <f aca="false">IF('TASKS AND ROAD SEGMENT MATRIX'!AW58-1&gt;0,'TASKS AND ROAD SEGMENT MATRIX'!AW58-1,"-")</f>
        <v>-</v>
      </c>
      <c r="AK58" s="23" t="n">
        <f aca="false">IF('TASKS AND ROAD SEGMENT MATRIX'!AX58-1&gt;0,'TASKS AND ROAD SEGMENT MATRIX'!AX58-1,"-")</f>
        <v>0.32997384290268</v>
      </c>
      <c r="AL58" s="23" t="n">
        <f aca="false">IF('TASKS AND ROAD SEGMENT MATRIX'!AY58-1&gt;0,'TASKS AND ROAD SEGMENT MATRIX'!AY58-1,"-")</f>
        <v>0.32997384290268</v>
      </c>
      <c r="AM58" s="23" t="str">
        <f aca="false">IF('TASKS AND ROAD SEGMENT MATRIX'!AZ58-1&gt;0,'TASKS AND ROAD SEGMENT MATRIX'!AZ58-1,"-")</f>
        <v>-</v>
      </c>
      <c r="AN58" s="23" t="str">
        <f aca="false">IF('TASKS AND ROAD SEGMENT MATRIX'!BA58-1&gt;0,'TASKS AND ROAD SEGMENT MATRIX'!BA58-1,"-")</f>
        <v>-</v>
      </c>
      <c r="AO58" s="23" t="str">
        <f aca="false">IF('TASKS AND ROAD SEGMENT MATRIX'!BB58-1&gt;0,'TASKS AND ROAD SEGMENT MATRIX'!BB58-1,"-")</f>
        <v>-</v>
      </c>
      <c r="AP58" s="23" t="str">
        <f aca="false">IF('TASKS AND ROAD SEGMENT MATRIX'!BC58-1&gt;0,'TASKS AND ROAD SEGMENT MATRIX'!BC58-1,"-")</f>
        <v>-</v>
      </c>
      <c r="AQ58" s="23" t="str">
        <f aca="false">IF('TASKS AND ROAD SEGMENT MATRIX'!BD58-1&gt;0,'TASKS AND ROAD SEGMENT MATRIX'!BD58-1,"-")</f>
        <v>-</v>
      </c>
      <c r="AR58" s="23" t="str">
        <f aca="false">IF('TASKS AND ROAD SEGMENT MATRIX'!BE58-1&gt;0,'TASKS AND ROAD SEGMENT MATRIX'!BE58-1,"-")</f>
        <v>-</v>
      </c>
      <c r="AS58" s="23" t="str">
        <f aca="false">IF('TASKS AND ROAD SEGMENT MATRIX'!BF58-1&gt;0,'TASKS AND ROAD SEGMENT MATRIX'!BF58-1,"-")</f>
        <v>-</v>
      </c>
      <c r="AT58" s="23" t="n">
        <f aca="false">IF('TASKS AND ROAD SEGMENT MATRIX'!BG58-1&gt;0,'TASKS AND ROAD SEGMENT MATRIX'!BG58-1,"-")</f>
        <v>0.32997384290268</v>
      </c>
      <c r="AU58" s="23" t="n">
        <f aca="false">IF('TASKS AND ROAD SEGMENT MATRIX'!BH58-1&gt;0,'TASKS AND ROAD SEGMENT MATRIX'!BH58-1,"-")</f>
        <v>0.32997384290268</v>
      </c>
    </row>
    <row r="59" customFormat="false" ht="13.8" hidden="false" customHeight="false" outlineLevel="0" collapsed="false">
      <c r="A59" s="19" t="s">
        <v>76</v>
      </c>
      <c r="B59" s="0" t="s">
        <v>115</v>
      </c>
      <c r="C59" s="23" t="str">
        <f aca="false">IF('TASKS AND ROAD SEGMENT MATRIX'!P59-1&gt;0,'TASKS AND ROAD SEGMENT MATRIX'!P59-1,"-")</f>
        <v>-</v>
      </c>
      <c r="D59" s="23" t="str">
        <f aca="false">IF('TASKS AND ROAD SEGMENT MATRIX'!Q59-1&gt;0,'TASKS AND ROAD SEGMENT MATRIX'!Q59-1,"-")</f>
        <v>-</v>
      </c>
      <c r="E59" s="23" t="str">
        <f aca="false">IF('TASKS AND ROAD SEGMENT MATRIX'!R59-1&gt;0,'TASKS AND ROAD SEGMENT MATRIX'!R59-1,"-")</f>
        <v>-</v>
      </c>
      <c r="F59" s="23" t="str">
        <f aca="false">IF('TASKS AND ROAD SEGMENT MATRIX'!S59-1&gt;0,'TASKS AND ROAD SEGMENT MATRIX'!S59-1,"-")</f>
        <v>-</v>
      </c>
      <c r="G59" s="23" t="str">
        <f aca="false">IF('TASKS AND ROAD SEGMENT MATRIX'!T59-1&gt;0,'TASKS AND ROAD SEGMENT MATRIX'!T59-1,"-")</f>
        <v>-</v>
      </c>
      <c r="H59" s="23" t="str">
        <f aca="false">IF('TASKS AND ROAD SEGMENT MATRIX'!U59-1&gt;0,'TASKS AND ROAD SEGMENT MATRIX'!U59-1,"-")</f>
        <v>-</v>
      </c>
      <c r="I59" s="23" t="str">
        <f aca="false">IF('TASKS AND ROAD SEGMENT MATRIX'!V59-1&gt;0,'TASKS AND ROAD SEGMENT MATRIX'!V59-1,"-")</f>
        <v>-</v>
      </c>
      <c r="J59" s="23" t="str">
        <f aca="false">IF('TASKS AND ROAD SEGMENT MATRIX'!W59-1&gt;0,'TASKS AND ROAD SEGMENT MATRIX'!W59-1,"-")</f>
        <v>-</v>
      </c>
      <c r="K59" s="23" t="str">
        <f aca="false">IF('TASKS AND ROAD SEGMENT MATRIX'!X59-1&gt;0,'TASKS AND ROAD SEGMENT MATRIX'!X59-1,"-")</f>
        <v>-</v>
      </c>
      <c r="L59" s="23" t="str">
        <f aca="false">IF('TASKS AND ROAD SEGMENT MATRIX'!Y59-1&gt;0,'TASKS AND ROAD SEGMENT MATRIX'!Y59-1,"-")</f>
        <v>-</v>
      </c>
      <c r="M59" s="23" t="n">
        <f aca="false">IF('TASKS AND ROAD SEGMENT MATRIX'!Z59-1&gt;0,'TASKS AND ROAD SEGMENT MATRIX'!Z59-1,"-")</f>
        <v>0.49496076435402</v>
      </c>
      <c r="N59" s="23" t="n">
        <f aca="false">IF('TASKS AND ROAD SEGMENT MATRIX'!AA59-1&gt;0,'TASKS AND ROAD SEGMENT MATRIX'!AA59-1,"-")</f>
        <v>0.989921528708039</v>
      </c>
      <c r="O59" s="23" t="str">
        <f aca="false">IF('TASKS AND ROAD SEGMENT MATRIX'!AB59-1&gt;0,'TASKS AND ROAD SEGMENT MATRIX'!AB59-1,"-")</f>
        <v>-</v>
      </c>
      <c r="P59" s="23" t="n">
        <f aca="false">IF('TASKS AND ROAD SEGMENT MATRIX'!AC59-1&gt;0,'TASKS AND ROAD SEGMENT MATRIX'!AC59-1,"-")</f>
        <v>0.49496076435402</v>
      </c>
      <c r="Q59" s="23" t="str">
        <f aca="false">IF('TASKS AND ROAD SEGMENT MATRIX'!AD59-1&gt;0,'TASKS AND ROAD SEGMENT MATRIX'!AD59-1,"-")</f>
        <v>-</v>
      </c>
      <c r="R59" s="23" t="str">
        <f aca="false">IF('TASKS AND ROAD SEGMENT MATRIX'!AE59-1&gt;0,'TASKS AND ROAD SEGMENT MATRIX'!AE59-1,"-")</f>
        <v>-</v>
      </c>
      <c r="S59" s="23" t="str">
        <f aca="false">IF('TASKS AND ROAD SEGMENT MATRIX'!AF59-1&gt;0,'TASKS AND ROAD SEGMENT MATRIX'!AF59-1,"-")</f>
        <v>-</v>
      </c>
      <c r="T59" s="23" t="n">
        <f aca="false">IF('TASKS AND ROAD SEGMENT MATRIX'!AG59-1&gt;0,'TASKS AND ROAD SEGMENT MATRIX'!AG59-1,"-")</f>
        <v>0.49496076435402</v>
      </c>
      <c r="U59" s="23" t="n">
        <f aca="false">IF('TASKS AND ROAD SEGMENT MATRIX'!AH59-1&gt;0,'TASKS AND ROAD SEGMENT MATRIX'!AH59-1,"-")</f>
        <v>0.49496076435402</v>
      </c>
      <c r="V59" s="23" t="str">
        <f aca="false">IF('TASKS AND ROAD SEGMENT MATRIX'!AI59-1&gt;0,'TASKS AND ROAD SEGMENT MATRIX'!AI59-1,"-")</f>
        <v>-</v>
      </c>
      <c r="W59" s="23" t="str">
        <f aca="false">IF('TASKS AND ROAD SEGMENT MATRIX'!AJ59-1&gt;0,'TASKS AND ROAD SEGMENT MATRIX'!AJ59-1,"-")</f>
        <v>-</v>
      </c>
      <c r="X59" s="23" t="str">
        <f aca="false">IF('TASKS AND ROAD SEGMENT MATRIX'!AK59-1&gt;0,'TASKS AND ROAD SEGMENT MATRIX'!AK59-1,"-")</f>
        <v>-</v>
      </c>
      <c r="Y59" s="23" t="n">
        <f aca="false">IF('TASKS AND ROAD SEGMENT MATRIX'!AL59-1&gt;0,'TASKS AND ROAD SEGMENT MATRIX'!AL59-1,"-")</f>
        <v>0.49496076435402</v>
      </c>
      <c r="Z59" s="23" t="n">
        <f aca="false">IF('TASKS AND ROAD SEGMENT MATRIX'!AM59-1&gt;0,'TASKS AND ROAD SEGMENT MATRIX'!AM59-1,"-")</f>
        <v>0.989921528708039</v>
      </c>
      <c r="AA59" s="23" t="n">
        <f aca="false">IF('TASKS AND ROAD SEGMENT MATRIX'!AN59-1&gt;0,'TASKS AND ROAD SEGMENT MATRIX'!AN59-1,"-")</f>
        <v>0.989921528708039</v>
      </c>
      <c r="AB59" s="23" t="n">
        <f aca="false">IF('TASKS AND ROAD SEGMENT MATRIX'!AO59-1&gt;0,'TASKS AND ROAD SEGMENT MATRIX'!AO59-1,"-")</f>
        <v>0.989921528708039</v>
      </c>
      <c r="AC59" s="23" t="n">
        <f aca="false">IF('TASKS AND ROAD SEGMENT MATRIX'!AP59-1&gt;0,'TASKS AND ROAD SEGMENT MATRIX'!AP59-1,"-")</f>
        <v>0.989921528708039</v>
      </c>
      <c r="AD59" s="23" t="n">
        <f aca="false">IF('TASKS AND ROAD SEGMENT MATRIX'!AQ59-1&gt;0,'TASKS AND ROAD SEGMENT MATRIX'!AQ59-1,"-")</f>
        <v>0.49496076435402</v>
      </c>
      <c r="AE59" s="23" t="n">
        <f aca="false">IF('TASKS AND ROAD SEGMENT MATRIX'!AR59-1&gt;0,'TASKS AND ROAD SEGMENT MATRIX'!AR59-1,"-")</f>
        <v>0.49496076435402</v>
      </c>
      <c r="AF59" s="23" t="n">
        <f aca="false">IF('TASKS AND ROAD SEGMENT MATRIX'!AS59-1&gt;0,'TASKS AND ROAD SEGMENT MATRIX'!AS59-1,"-")</f>
        <v>0.49496076435402</v>
      </c>
      <c r="AG59" s="23" t="str">
        <f aca="false">IF('TASKS AND ROAD SEGMENT MATRIX'!AT59-1&gt;0,'TASKS AND ROAD SEGMENT MATRIX'!AT59-1,"-")</f>
        <v>-</v>
      </c>
      <c r="AH59" s="23" t="str">
        <f aca="false">IF('TASKS AND ROAD SEGMENT MATRIX'!AU59-1&gt;0,'TASKS AND ROAD SEGMENT MATRIX'!AU59-1,"-")</f>
        <v>-</v>
      </c>
      <c r="AI59" s="23" t="str">
        <f aca="false">IF('TASKS AND ROAD SEGMENT MATRIX'!AV59-1&gt;0,'TASKS AND ROAD SEGMENT MATRIX'!AV59-1,"-")</f>
        <v>-</v>
      </c>
      <c r="AJ59" s="23" t="str">
        <f aca="false">IF('TASKS AND ROAD SEGMENT MATRIX'!AW59-1&gt;0,'TASKS AND ROAD SEGMENT MATRIX'!AW59-1,"-")</f>
        <v>-</v>
      </c>
      <c r="AK59" s="23" t="n">
        <f aca="false">IF('TASKS AND ROAD SEGMENT MATRIX'!AX59-1&gt;0,'TASKS AND ROAD SEGMENT MATRIX'!AX59-1,"-")</f>
        <v>0.49496076435402</v>
      </c>
      <c r="AL59" s="23" t="n">
        <f aca="false">IF('TASKS AND ROAD SEGMENT MATRIX'!AY59-1&gt;0,'TASKS AND ROAD SEGMENT MATRIX'!AY59-1,"-")</f>
        <v>0.49496076435402</v>
      </c>
      <c r="AM59" s="23" t="str">
        <f aca="false">IF('TASKS AND ROAD SEGMENT MATRIX'!AZ59-1&gt;0,'TASKS AND ROAD SEGMENT MATRIX'!AZ59-1,"-")</f>
        <v>-</v>
      </c>
      <c r="AN59" s="23" t="str">
        <f aca="false">IF('TASKS AND ROAD SEGMENT MATRIX'!BA59-1&gt;0,'TASKS AND ROAD SEGMENT MATRIX'!BA59-1,"-")</f>
        <v>-</v>
      </c>
      <c r="AO59" s="23" t="str">
        <f aca="false">IF('TASKS AND ROAD SEGMENT MATRIX'!BB59-1&gt;0,'TASKS AND ROAD SEGMENT MATRIX'!BB59-1,"-")</f>
        <v>-</v>
      </c>
      <c r="AP59" s="23" t="str">
        <f aca="false">IF('TASKS AND ROAD SEGMENT MATRIX'!BC59-1&gt;0,'TASKS AND ROAD SEGMENT MATRIX'!BC59-1,"-")</f>
        <v>-</v>
      </c>
      <c r="AQ59" s="23" t="str">
        <f aca="false">IF('TASKS AND ROAD SEGMENT MATRIX'!BD59-1&gt;0,'TASKS AND ROAD SEGMENT MATRIX'!BD59-1,"-")</f>
        <v>-</v>
      </c>
      <c r="AR59" s="23" t="str">
        <f aca="false">IF('TASKS AND ROAD SEGMENT MATRIX'!BE59-1&gt;0,'TASKS AND ROAD SEGMENT MATRIX'!BE59-1,"-")</f>
        <v>-</v>
      </c>
      <c r="AS59" s="23" t="str">
        <f aca="false">IF('TASKS AND ROAD SEGMENT MATRIX'!BF59-1&gt;0,'TASKS AND ROAD SEGMENT MATRIX'!BF59-1,"-")</f>
        <v>-</v>
      </c>
      <c r="AT59" s="23" t="n">
        <f aca="false">IF('TASKS AND ROAD SEGMENT MATRIX'!BG59-1&gt;0,'TASKS AND ROAD SEGMENT MATRIX'!BG59-1,"-")</f>
        <v>0.49496076435402</v>
      </c>
      <c r="AU59" s="23" t="n">
        <f aca="false">IF('TASKS AND ROAD SEGMENT MATRIX'!BH59-1&gt;0,'TASKS AND ROAD SEGMENT MATRIX'!BH59-1,"-")</f>
        <v>0.49496076435402</v>
      </c>
    </row>
    <row r="60" customFormat="false" ht="13.8" hidden="false" customHeight="false" outlineLevel="0" collapsed="false">
      <c r="A60" s="19" t="s">
        <v>76</v>
      </c>
      <c r="B60" s="0" t="s">
        <v>117</v>
      </c>
      <c r="C60" s="23" t="str">
        <f aca="false">IF('TASKS AND ROAD SEGMENT MATRIX'!P60-1&gt;0,'TASKS AND ROAD SEGMENT MATRIX'!P60-1,"-")</f>
        <v>-</v>
      </c>
      <c r="D60" s="23" t="str">
        <f aca="false">IF('TASKS AND ROAD SEGMENT MATRIX'!Q60-1&gt;0,'TASKS AND ROAD SEGMENT MATRIX'!Q60-1,"-")</f>
        <v>-</v>
      </c>
      <c r="E60" s="23" t="str">
        <f aca="false">IF('TASKS AND ROAD SEGMENT MATRIX'!R60-1&gt;0,'TASKS AND ROAD SEGMENT MATRIX'!R60-1,"-")</f>
        <v>-</v>
      </c>
      <c r="F60" s="23" t="str">
        <f aca="false">IF('TASKS AND ROAD SEGMENT MATRIX'!S60-1&gt;0,'TASKS AND ROAD SEGMENT MATRIX'!S60-1,"-")</f>
        <v>-</v>
      </c>
      <c r="G60" s="23" t="str">
        <f aca="false">IF('TASKS AND ROAD SEGMENT MATRIX'!T60-1&gt;0,'TASKS AND ROAD SEGMENT MATRIX'!T60-1,"-")</f>
        <v>-</v>
      </c>
      <c r="H60" s="23" t="str">
        <f aca="false">IF('TASKS AND ROAD SEGMENT MATRIX'!U60-1&gt;0,'TASKS AND ROAD SEGMENT MATRIX'!U60-1,"-")</f>
        <v>-</v>
      </c>
      <c r="I60" s="23" t="str">
        <f aca="false">IF('TASKS AND ROAD SEGMENT MATRIX'!V60-1&gt;0,'TASKS AND ROAD SEGMENT MATRIX'!V60-1,"-")</f>
        <v>-</v>
      </c>
      <c r="J60" s="23" t="str">
        <f aca="false">IF('TASKS AND ROAD SEGMENT MATRIX'!W60-1&gt;0,'TASKS AND ROAD SEGMENT MATRIX'!W60-1,"-")</f>
        <v>-</v>
      </c>
      <c r="K60" s="23" t="str">
        <f aca="false">IF('TASKS AND ROAD SEGMENT MATRIX'!X60-1&gt;0,'TASKS AND ROAD SEGMENT MATRIX'!X60-1,"-")</f>
        <v>-</v>
      </c>
      <c r="L60" s="23" t="str">
        <f aca="false">IF('TASKS AND ROAD SEGMENT MATRIX'!Y60-1&gt;0,'TASKS AND ROAD SEGMENT MATRIX'!Y60-1,"-")</f>
        <v>-</v>
      </c>
      <c r="M60" s="23" t="n">
        <f aca="false">IF('TASKS AND ROAD SEGMENT MATRIX'!Z60-1&gt;0,'TASKS AND ROAD SEGMENT MATRIX'!Z60-1,"-")</f>
        <v>0.41246730362835</v>
      </c>
      <c r="N60" s="23" t="n">
        <f aca="false">IF('TASKS AND ROAD SEGMENT MATRIX'!AA60-1&gt;0,'TASKS AND ROAD SEGMENT MATRIX'!AA60-1,"-")</f>
        <v>0.824934607256699</v>
      </c>
      <c r="O60" s="23" t="str">
        <f aca="false">IF('TASKS AND ROAD SEGMENT MATRIX'!AB60-1&gt;0,'TASKS AND ROAD SEGMENT MATRIX'!AB60-1,"-")</f>
        <v>-</v>
      </c>
      <c r="P60" s="23" t="n">
        <f aca="false">IF('TASKS AND ROAD SEGMENT MATRIX'!AC60-1&gt;0,'TASKS AND ROAD SEGMENT MATRIX'!AC60-1,"-")</f>
        <v>0.41246730362835</v>
      </c>
      <c r="Q60" s="23" t="str">
        <f aca="false">IF('TASKS AND ROAD SEGMENT MATRIX'!AD60-1&gt;0,'TASKS AND ROAD SEGMENT MATRIX'!AD60-1,"-")</f>
        <v>-</v>
      </c>
      <c r="R60" s="23" t="str">
        <f aca="false">IF('TASKS AND ROAD SEGMENT MATRIX'!AE60-1&gt;0,'TASKS AND ROAD SEGMENT MATRIX'!AE60-1,"-")</f>
        <v>-</v>
      </c>
      <c r="S60" s="23" t="str">
        <f aca="false">IF('TASKS AND ROAD SEGMENT MATRIX'!AF60-1&gt;0,'TASKS AND ROAD SEGMENT MATRIX'!AF60-1,"-")</f>
        <v>-</v>
      </c>
      <c r="T60" s="23" t="n">
        <f aca="false">IF('TASKS AND ROAD SEGMENT MATRIX'!AG60-1&gt;0,'TASKS AND ROAD SEGMENT MATRIX'!AG60-1,"-")</f>
        <v>0.41246730362835</v>
      </c>
      <c r="U60" s="23" t="n">
        <f aca="false">IF('TASKS AND ROAD SEGMENT MATRIX'!AH60-1&gt;0,'TASKS AND ROAD SEGMENT MATRIX'!AH60-1,"-")</f>
        <v>0.41246730362835</v>
      </c>
      <c r="V60" s="23" t="str">
        <f aca="false">IF('TASKS AND ROAD SEGMENT MATRIX'!AI60-1&gt;0,'TASKS AND ROAD SEGMENT MATRIX'!AI60-1,"-")</f>
        <v>-</v>
      </c>
      <c r="W60" s="23" t="str">
        <f aca="false">IF('TASKS AND ROAD SEGMENT MATRIX'!AJ60-1&gt;0,'TASKS AND ROAD SEGMENT MATRIX'!AJ60-1,"-")</f>
        <v>-</v>
      </c>
      <c r="X60" s="23" t="str">
        <f aca="false">IF('TASKS AND ROAD SEGMENT MATRIX'!AK60-1&gt;0,'TASKS AND ROAD SEGMENT MATRIX'!AK60-1,"-")</f>
        <v>-</v>
      </c>
      <c r="Y60" s="23" t="n">
        <f aca="false">IF('TASKS AND ROAD SEGMENT MATRIX'!AL60-1&gt;0,'TASKS AND ROAD SEGMENT MATRIX'!AL60-1,"-")</f>
        <v>0.41246730362835</v>
      </c>
      <c r="Z60" s="23" t="n">
        <f aca="false">IF('TASKS AND ROAD SEGMENT MATRIX'!AM60-1&gt;0,'TASKS AND ROAD SEGMENT MATRIX'!AM60-1,"-")</f>
        <v>0.824934607256699</v>
      </c>
      <c r="AA60" s="23" t="n">
        <f aca="false">IF('TASKS AND ROAD SEGMENT MATRIX'!AN60-1&gt;0,'TASKS AND ROAD SEGMENT MATRIX'!AN60-1,"-")</f>
        <v>0.824934607256699</v>
      </c>
      <c r="AB60" s="23" t="n">
        <f aca="false">IF('TASKS AND ROAD SEGMENT MATRIX'!AO60-1&gt;0,'TASKS AND ROAD SEGMENT MATRIX'!AO60-1,"-")</f>
        <v>0.41246730362835</v>
      </c>
      <c r="AC60" s="23" t="n">
        <f aca="false">IF('TASKS AND ROAD SEGMENT MATRIX'!AP60-1&gt;0,'TASKS AND ROAD SEGMENT MATRIX'!AP60-1,"-")</f>
        <v>0.824934607256699</v>
      </c>
      <c r="AD60" s="23" t="n">
        <f aca="false">IF('TASKS AND ROAD SEGMENT MATRIX'!AQ60-1&gt;0,'TASKS AND ROAD SEGMENT MATRIX'!AQ60-1,"-")</f>
        <v>0.41246730362835</v>
      </c>
      <c r="AE60" s="23" t="n">
        <f aca="false">IF('TASKS AND ROAD SEGMENT MATRIX'!AR60-1&gt;0,'TASKS AND ROAD SEGMENT MATRIX'!AR60-1,"-")</f>
        <v>0.41246730362835</v>
      </c>
      <c r="AF60" s="23" t="n">
        <f aca="false">IF('TASKS AND ROAD SEGMENT MATRIX'!AS60-1&gt;0,'TASKS AND ROAD SEGMENT MATRIX'!AS60-1,"-")</f>
        <v>0.41246730362835</v>
      </c>
      <c r="AG60" s="23" t="str">
        <f aca="false">IF('TASKS AND ROAD SEGMENT MATRIX'!AT60-1&gt;0,'TASKS AND ROAD SEGMENT MATRIX'!AT60-1,"-")</f>
        <v>-</v>
      </c>
      <c r="AH60" s="23" t="str">
        <f aca="false">IF('TASKS AND ROAD SEGMENT MATRIX'!AU60-1&gt;0,'TASKS AND ROAD SEGMENT MATRIX'!AU60-1,"-")</f>
        <v>-</v>
      </c>
      <c r="AI60" s="23" t="str">
        <f aca="false">IF('TASKS AND ROAD SEGMENT MATRIX'!AV60-1&gt;0,'TASKS AND ROAD SEGMENT MATRIX'!AV60-1,"-")</f>
        <v>-</v>
      </c>
      <c r="AJ60" s="23" t="str">
        <f aca="false">IF('TASKS AND ROAD SEGMENT MATRIX'!AW60-1&gt;0,'TASKS AND ROAD SEGMENT MATRIX'!AW60-1,"-")</f>
        <v>-</v>
      </c>
      <c r="AK60" s="23" t="n">
        <f aca="false">IF('TASKS AND ROAD SEGMENT MATRIX'!AX60-1&gt;0,'TASKS AND ROAD SEGMENT MATRIX'!AX60-1,"-")</f>
        <v>0.41246730362835</v>
      </c>
      <c r="AL60" s="23" t="n">
        <f aca="false">IF('TASKS AND ROAD SEGMENT MATRIX'!AY60-1&gt;0,'TASKS AND ROAD SEGMENT MATRIX'!AY60-1,"-")</f>
        <v>0.41246730362835</v>
      </c>
      <c r="AM60" s="23" t="str">
        <f aca="false">IF('TASKS AND ROAD SEGMENT MATRIX'!AZ60-1&gt;0,'TASKS AND ROAD SEGMENT MATRIX'!AZ60-1,"-")</f>
        <v>-</v>
      </c>
      <c r="AN60" s="23" t="str">
        <f aca="false">IF('TASKS AND ROAD SEGMENT MATRIX'!BA60-1&gt;0,'TASKS AND ROAD SEGMENT MATRIX'!BA60-1,"-")</f>
        <v>-</v>
      </c>
      <c r="AO60" s="23" t="str">
        <f aca="false">IF('TASKS AND ROAD SEGMENT MATRIX'!BB60-1&gt;0,'TASKS AND ROAD SEGMENT MATRIX'!BB60-1,"-")</f>
        <v>-</v>
      </c>
      <c r="AP60" s="23" t="str">
        <f aca="false">IF('TASKS AND ROAD SEGMENT MATRIX'!BC60-1&gt;0,'TASKS AND ROAD SEGMENT MATRIX'!BC60-1,"-")</f>
        <v>-</v>
      </c>
      <c r="AQ60" s="23" t="str">
        <f aca="false">IF('TASKS AND ROAD SEGMENT MATRIX'!BD60-1&gt;0,'TASKS AND ROAD SEGMENT MATRIX'!BD60-1,"-")</f>
        <v>-</v>
      </c>
      <c r="AR60" s="23" t="str">
        <f aca="false">IF('TASKS AND ROAD SEGMENT MATRIX'!BE60-1&gt;0,'TASKS AND ROAD SEGMENT MATRIX'!BE60-1,"-")</f>
        <v>-</v>
      </c>
      <c r="AS60" s="23" t="str">
        <f aca="false">IF('TASKS AND ROAD SEGMENT MATRIX'!BF60-1&gt;0,'TASKS AND ROAD SEGMENT MATRIX'!BF60-1,"-")</f>
        <v>-</v>
      </c>
      <c r="AT60" s="23" t="n">
        <f aca="false">IF('TASKS AND ROAD SEGMENT MATRIX'!BG60-1&gt;0,'TASKS AND ROAD SEGMENT MATRIX'!BG60-1,"-")</f>
        <v>0.41246730362835</v>
      </c>
      <c r="AU60" s="23" t="n">
        <f aca="false">IF('TASKS AND ROAD SEGMENT MATRIX'!BH60-1&gt;0,'TASKS AND ROAD SEGMENT MATRIX'!BH60-1,"-")</f>
        <v>0.41246730362835</v>
      </c>
    </row>
    <row r="61" customFormat="false" ht="13.8" hidden="false" customHeight="false" outlineLevel="0" collapsed="false">
      <c r="A61" s="19" t="s">
        <v>76</v>
      </c>
      <c r="B61" s="0" t="s">
        <v>119</v>
      </c>
      <c r="C61" s="23" t="str">
        <f aca="false">IF('TASKS AND ROAD SEGMENT MATRIX'!P61-1&gt;0,'TASKS AND ROAD SEGMENT MATRIX'!P61-1,"-")</f>
        <v>-</v>
      </c>
      <c r="D61" s="23" t="str">
        <f aca="false">IF('TASKS AND ROAD SEGMENT MATRIX'!Q61-1&gt;0,'TASKS AND ROAD SEGMENT MATRIX'!Q61-1,"-")</f>
        <v>-</v>
      </c>
      <c r="E61" s="23" t="str">
        <f aca="false">IF('TASKS AND ROAD SEGMENT MATRIX'!R61-1&gt;0,'TASKS AND ROAD SEGMENT MATRIX'!R61-1,"-")</f>
        <v>-</v>
      </c>
      <c r="F61" s="23" t="str">
        <f aca="false">IF('TASKS AND ROAD SEGMENT MATRIX'!S61-1&gt;0,'TASKS AND ROAD SEGMENT MATRIX'!S61-1,"-")</f>
        <v>-</v>
      </c>
      <c r="G61" s="23" t="str">
        <f aca="false">IF('TASKS AND ROAD SEGMENT MATRIX'!T61-1&gt;0,'TASKS AND ROAD SEGMENT MATRIX'!T61-1,"-")</f>
        <v>-</v>
      </c>
      <c r="H61" s="23" t="str">
        <f aca="false">IF('TASKS AND ROAD SEGMENT MATRIX'!U61-1&gt;0,'TASKS AND ROAD SEGMENT MATRIX'!U61-1,"-")</f>
        <v>-</v>
      </c>
      <c r="I61" s="23" t="str">
        <f aca="false">IF('TASKS AND ROAD SEGMENT MATRIX'!V61-1&gt;0,'TASKS AND ROAD SEGMENT MATRIX'!V61-1,"-")</f>
        <v>-</v>
      </c>
      <c r="J61" s="23" t="str">
        <f aca="false">IF('TASKS AND ROAD SEGMENT MATRIX'!W61-1&gt;0,'TASKS AND ROAD SEGMENT MATRIX'!W61-1,"-")</f>
        <v>-</v>
      </c>
      <c r="K61" s="23" t="str">
        <f aca="false">IF('TASKS AND ROAD SEGMENT MATRIX'!X61-1&gt;0,'TASKS AND ROAD SEGMENT MATRIX'!X61-1,"-")</f>
        <v>-</v>
      </c>
      <c r="L61" s="23" t="str">
        <f aca="false">IF('TASKS AND ROAD SEGMENT MATRIX'!Y61-1&gt;0,'TASKS AND ROAD SEGMENT MATRIX'!Y61-1,"-")</f>
        <v>-</v>
      </c>
      <c r="M61" s="23" t="n">
        <f aca="false">IF('TASKS AND ROAD SEGMENT MATRIX'!Z61-1&gt;0,'TASKS AND ROAD SEGMENT MATRIX'!Z61-1,"-")</f>
        <v>0.49496076435402</v>
      </c>
      <c r="N61" s="23" t="n">
        <f aca="false">IF('TASKS AND ROAD SEGMENT MATRIX'!AA61-1&gt;0,'TASKS AND ROAD SEGMENT MATRIX'!AA61-1,"-")</f>
        <v>0.989921528708039</v>
      </c>
      <c r="O61" s="23" t="str">
        <f aca="false">IF('TASKS AND ROAD SEGMENT MATRIX'!AB61-1&gt;0,'TASKS AND ROAD SEGMENT MATRIX'!AB61-1,"-")</f>
        <v>-</v>
      </c>
      <c r="P61" s="23" t="n">
        <f aca="false">IF('TASKS AND ROAD SEGMENT MATRIX'!AC61-1&gt;0,'TASKS AND ROAD SEGMENT MATRIX'!AC61-1,"-")</f>
        <v>0.49496076435402</v>
      </c>
      <c r="Q61" s="23" t="str">
        <f aca="false">IF('TASKS AND ROAD SEGMENT MATRIX'!AD61-1&gt;0,'TASKS AND ROAD SEGMENT MATRIX'!AD61-1,"-")</f>
        <v>-</v>
      </c>
      <c r="R61" s="23" t="str">
        <f aca="false">IF('TASKS AND ROAD SEGMENT MATRIX'!AE61-1&gt;0,'TASKS AND ROAD SEGMENT MATRIX'!AE61-1,"-")</f>
        <v>-</v>
      </c>
      <c r="S61" s="23" t="str">
        <f aca="false">IF('TASKS AND ROAD SEGMENT MATRIX'!AF61-1&gt;0,'TASKS AND ROAD SEGMENT MATRIX'!AF61-1,"-")</f>
        <v>-</v>
      </c>
      <c r="T61" s="23" t="n">
        <f aca="false">IF('TASKS AND ROAD SEGMENT MATRIX'!AG61-1&gt;0,'TASKS AND ROAD SEGMENT MATRIX'!AG61-1,"-")</f>
        <v>0.49496076435402</v>
      </c>
      <c r="U61" s="23" t="n">
        <f aca="false">IF('TASKS AND ROAD SEGMENT MATRIX'!AH61-1&gt;0,'TASKS AND ROAD SEGMENT MATRIX'!AH61-1,"-")</f>
        <v>0.49496076435402</v>
      </c>
      <c r="V61" s="23" t="str">
        <f aca="false">IF('TASKS AND ROAD SEGMENT MATRIX'!AI61-1&gt;0,'TASKS AND ROAD SEGMENT MATRIX'!AI61-1,"-")</f>
        <v>-</v>
      </c>
      <c r="W61" s="23" t="str">
        <f aca="false">IF('TASKS AND ROAD SEGMENT MATRIX'!AJ61-1&gt;0,'TASKS AND ROAD SEGMENT MATRIX'!AJ61-1,"-")</f>
        <v>-</v>
      </c>
      <c r="X61" s="23" t="str">
        <f aca="false">IF('TASKS AND ROAD SEGMENT MATRIX'!AK61-1&gt;0,'TASKS AND ROAD SEGMENT MATRIX'!AK61-1,"-")</f>
        <v>-</v>
      </c>
      <c r="Y61" s="23" t="n">
        <f aca="false">IF('TASKS AND ROAD SEGMENT MATRIX'!AL61-1&gt;0,'TASKS AND ROAD SEGMENT MATRIX'!AL61-1,"-")</f>
        <v>0.49496076435402</v>
      </c>
      <c r="Z61" s="23" t="n">
        <f aca="false">IF('TASKS AND ROAD SEGMENT MATRIX'!AM61-1&gt;0,'TASKS AND ROAD SEGMENT MATRIX'!AM61-1,"-")</f>
        <v>0.989921528708039</v>
      </c>
      <c r="AA61" s="23" t="n">
        <f aca="false">IF('TASKS AND ROAD SEGMENT MATRIX'!AN61-1&gt;0,'TASKS AND ROAD SEGMENT MATRIX'!AN61-1,"-")</f>
        <v>0.989921528708039</v>
      </c>
      <c r="AB61" s="23" t="n">
        <f aca="false">IF('TASKS AND ROAD SEGMENT MATRIX'!AO61-1&gt;0,'TASKS AND ROAD SEGMENT MATRIX'!AO61-1,"-")</f>
        <v>0.989921528708039</v>
      </c>
      <c r="AC61" s="23" t="n">
        <f aca="false">IF('TASKS AND ROAD SEGMENT MATRIX'!AP61-1&gt;0,'TASKS AND ROAD SEGMENT MATRIX'!AP61-1,"-")</f>
        <v>0.989921528708039</v>
      </c>
      <c r="AD61" s="23" t="n">
        <f aca="false">IF('TASKS AND ROAD SEGMENT MATRIX'!AQ61-1&gt;0,'TASKS AND ROAD SEGMENT MATRIX'!AQ61-1,"-")</f>
        <v>0.49496076435402</v>
      </c>
      <c r="AE61" s="23" t="n">
        <f aca="false">IF('TASKS AND ROAD SEGMENT MATRIX'!AR61-1&gt;0,'TASKS AND ROAD SEGMENT MATRIX'!AR61-1,"-")</f>
        <v>0.49496076435402</v>
      </c>
      <c r="AF61" s="23" t="n">
        <f aca="false">IF('TASKS AND ROAD SEGMENT MATRIX'!AS61-1&gt;0,'TASKS AND ROAD SEGMENT MATRIX'!AS61-1,"-")</f>
        <v>0.49496076435402</v>
      </c>
      <c r="AG61" s="23" t="str">
        <f aca="false">IF('TASKS AND ROAD SEGMENT MATRIX'!AT61-1&gt;0,'TASKS AND ROAD SEGMENT MATRIX'!AT61-1,"-")</f>
        <v>-</v>
      </c>
      <c r="AH61" s="23" t="str">
        <f aca="false">IF('TASKS AND ROAD SEGMENT MATRIX'!AU61-1&gt;0,'TASKS AND ROAD SEGMENT MATRIX'!AU61-1,"-")</f>
        <v>-</v>
      </c>
      <c r="AI61" s="23" t="str">
        <f aca="false">IF('TASKS AND ROAD SEGMENT MATRIX'!AV61-1&gt;0,'TASKS AND ROAD SEGMENT MATRIX'!AV61-1,"-")</f>
        <v>-</v>
      </c>
      <c r="AJ61" s="23" t="str">
        <f aca="false">IF('TASKS AND ROAD SEGMENT MATRIX'!AW61-1&gt;0,'TASKS AND ROAD SEGMENT MATRIX'!AW61-1,"-")</f>
        <v>-</v>
      </c>
      <c r="AK61" s="23" t="n">
        <f aca="false">IF('TASKS AND ROAD SEGMENT MATRIX'!AX61-1&gt;0,'TASKS AND ROAD SEGMENT MATRIX'!AX61-1,"-")</f>
        <v>0.49496076435402</v>
      </c>
      <c r="AL61" s="23" t="n">
        <f aca="false">IF('TASKS AND ROAD SEGMENT MATRIX'!AY61-1&gt;0,'TASKS AND ROAD SEGMENT MATRIX'!AY61-1,"-")</f>
        <v>0.49496076435402</v>
      </c>
      <c r="AM61" s="23" t="str">
        <f aca="false">IF('TASKS AND ROAD SEGMENT MATRIX'!AZ61-1&gt;0,'TASKS AND ROAD SEGMENT MATRIX'!AZ61-1,"-")</f>
        <v>-</v>
      </c>
      <c r="AN61" s="23" t="str">
        <f aca="false">IF('TASKS AND ROAD SEGMENT MATRIX'!BA61-1&gt;0,'TASKS AND ROAD SEGMENT MATRIX'!BA61-1,"-")</f>
        <v>-</v>
      </c>
      <c r="AO61" s="23" t="str">
        <f aca="false">IF('TASKS AND ROAD SEGMENT MATRIX'!BB61-1&gt;0,'TASKS AND ROAD SEGMENT MATRIX'!BB61-1,"-")</f>
        <v>-</v>
      </c>
      <c r="AP61" s="23" t="str">
        <f aca="false">IF('TASKS AND ROAD SEGMENT MATRIX'!BC61-1&gt;0,'TASKS AND ROAD SEGMENT MATRIX'!BC61-1,"-")</f>
        <v>-</v>
      </c>
      <c r="AQ61" s="23" t="str">
        <f aca="false">IF('TASKS AND ROAD SEGMENT MATRIX'!BD61-1&gt;0,'TASKS AND ROAD SEGMENT MATRIX'!BD61-1,"-")</f>
        <v>-</v>
      </c>
      <c r="AR61" s="23" t="str">
        <f aca="false">IF('TASKS AND ROAD SEGMENT MATRIX'!BE61-1&gt;0,'TASKS AND ROAD SEGMENT MATRIX'!BE61-1,"-")</f>
        <v>-</v>
      </c>
      <c r="AS61" s="23" t="str">
        <f aca="false">IF('TASKS AND ROAD SEGMENT MATRIX'!BF61-1&gt;0,'TASKS AND ROAD SEGMENT MATRIX'!BF61-1,"-")</f>
        <v>-</v>
      </c>
      <c r="AT61" s="23" t="n">
        <f aca="false">IF('TASKS AND ROAD SEGMENT MATRIX'!BG61-1&gt;0,'TASKS AND ROAD SEGMENT MATRIX'!BG61-1,"-")</f>
        <v>0.49496076435402</v>
      </c>
      <c r="AU61" s="23" t="n">
        <f aca="false">IF('TASKS AND ROAD SEGMENT MATRIX'!BH61-1&gt;0,'TASKS AND ROAD SEGMENT MATRIX'!BH61-1,"-")</f>
        <v>0.49496076435402</v>
      </c>
    </row>
    <row r="62" customFormat="false" ht="13.8" hidden="false" customHeight="false" outlineLevel="0" collapsed="false">
      <c r="A62" s="0" t="s">
        <v>77</v>
      </c>
      <c r="B62" s="0" t="s">
        <v>112</v>
      </c>
      <c r="C62" s="23" t="str">
        <f aca="false">IF('TASKS AND ROAD SEGMENT MATRIX'!P62-1&gt;0,'TASKS AND ROAD SEGMENT MATRIX'!P62-1,"-")</f>
        <v>-</v>
      </c>
      <c r="D62" s="23" t="str">
        <f aca="false">IF('TASKS AND ROAD SEGMENT MATRIX'!Q62-1&gt;0,'TASKS AND ROAD SEGMENT MATRIX'!Q62-1,"-")</f>
        <v>-</v>
      </c>
      <c r="E62" s="23" t="str">
        <f aca="false">IF('TASKS AND ROAD SEGMENT MATRIX'!R62-1&gt;0,'TASKS AND ROAD SEGMENT MATRIX'!R62-1,"-")</f>
        <v>-</v>
      </c>
      <c r="F62" s="23" t="n">
        <f aca="false">IF('TASKS AND ROAD SEGMENT MATRIX'!S62-1&gt;0,'TASKS AND ROAD SEGMENT MATRIX'!S62-1,"-")</f>
        <v>0.314151907807443</v>
      </c>
      <c r="G62" s="23" t="n">
        <f aca="false">IF('TASKS AND ROAD SEGMENT MATRIX'!T62-1&gt;0,'TASKS AND ROAD SEGMENT MATRIX'!T62-1,"-")</f>
        <v>0.314151907807443</v>
      </c>
      <c r="H62" s="23" t="str">
        <f aca="false">IF('TASKS AND ROAD SEGMENT MATRIX'!U62-1&gt;0,'TASKS AND ROAD SEGMENT MATRIX'!U62-1,"-")</f>
        <v>-</v>
      </c>
      <c r="I62" s="23" t="str">
        <f aca="false">IF('TASKS AND ROAD SEGMENT MATRIX'!V62-1&gt;0,'TASKS AND ROAD SEGMENT MATRIX'!V62-1,"-")</f>
        <v>-</v>
      </c>
      <c r="J62" s="23" t="str">
        <f aca="false">IF('TASKS AND ROAD SEGMENT MATRIX'!W62-1&gt;0,'TASKS AND ROAD SEGMENT MATRIX'!W62-1,"-")</f>
        <v>-</v>
      </c>
      <c r="K62" s="23" t="str">
        <f aca="false">IF('TASKS AND ROAD SEGMENT MATRIX'!X62-1&gt;0,'TASKS AND ROAD SEGMENT MATRIX'!X62-1,"-")</f>
        <v>-</v>
      </c>
      <c r="L62" s="23" t="str">
        <f aca="false">IF('TASKS AND ROAD SEGMENT MATRIX'!Y62-1&gt;0,'TASKS AND ROAD SEGMENT MATRIX'!Y62-1,"-")</f>
        <v>-</v>
      </c>
      <c r="M62" s="23" t="str">
        <f aca="false">IF('TASKS AND ROAD SEGMENT MATRIX'!Z62-1&gt;0,'TASKS AND ROAD SEGMENT MATRIX'!Z62-1,"-")</f>
        <v>-</v>
      </c>
      <c r="N62" s="23" t="n">
        <f aca="false">IF('TASKS AND ROAD SEGMENT MATRIX'!AA62-1&gt;0,'TASKS AND ROAD SEGMENT MATRIX'!AA62-1,"-")</f>
        <v>0.314151907807443</v>
      </c>
      <c r="O62" s="23" t="str">
        <f aca="false">IF('TASKS AND ROAD SEGMENT MATRIX'!AB62-1&gt;0,'TASKS AND ROAD SEGMENT MATRIX'!AB62-1,"-")</f>
        <v>-</v>
      </c>
      <c r="P62" s="23" t="n">
        <f aca="false">IF('TASKS AND ROAD SEGMENT MATRIX'!AC62-1&gt;0,'TASKS AND ROAD SEGMENT MATRIX'!AC62-1,"-")</f>
        <v>0.314151907807443</v>
      </c>
      <c r="Q62" s="23" t="str">
        <f aca="false">IF('TASKS AND ROAD SEGMENT MATRIX'!AD62-1&gt;0,'TASKS AND ROAD SEGMENT MATRIX'!AD62-1,"-")</f>
        <v>-</v>
      </c>
      <c r="R62" s="23" t="n">
        <f aca="false">IF('TASKS AND ROAD SEGMENT MATRIX'!AE62-1&gt;0,'TASKS AND ROAD SEGMENT MATRIX'!AE62-1,"-")</f>
        <v>0.314151907807443</v>
      </c>
      <c r="S62" s="23" t="n">
        <f aca="false">IF('TASKS AND ROAD SEGMENT MATRIX'!AF62-1&gt;0,'TASKS AND ROAD SEGMENT MATRIX'!AF62-1,"-")</f>
        <v>0.314151907807443</v>
      </c>
      <c r="T62" s="23" t="n">
        <f aca="false">IF('TASKS AND ROAD SEGMENT MATRIX'!AG62-1&gt;0,'TASKS AND ROAD SEGMENT MATRIX'!AG62-1,"-")</f>
        <v>0.314151907807443</v>
      </c>
      <c r="U62" s="23" t="n">
        <f aca="false">IF('TASKS AND ROAD SEGMENT MATRIX'!AH62-1&gt;0,'TASKS AND ROAD SEGMENT MATRIX'!AH62-1,"-")</f>
        <v>0.314151907807443</v>
      </c>
      <c r="V62" s="23" t="str">
        <f aca="false">IF('TASKS AND ROAD SEGMENT MATRIX'!AI62-1&gt;0,'TASKS AND ROAD SEGMENT MATRIX'!AI62-1,"-")</f>
        <v>-</v>
      </c>
      <c r="W62" s="23" t="str">
        <f aca="false">IF('TASKS AND ROAD SEGMENT MATRIX'!AJ62-1&gt;0,'TASKS AND ROAD SEGMENT MATRIX'!AJ62-1,"-")</f>
        <v>-</v>
      </c>
      <c r="X62" s="23" t="n">
        <f aca="false">IF('TASKS AND ROAD SEGMENT MATRIX'!AK62-1&gt;0,'TASKS AND ROAD SEGMENT MATRIX'!AK62-1,"-")</f>
        <v>0.314151907807443</v>
      </c>
      <c r="Y62" s="23" t="n">
        <f aca="false">IF('TASKS AND ROAD SEGMENT MATRIX'!AL62-1&gt;0,'TASKS AND ROAD SEGMENT MATRIX'!AL62-1,"-")</f>
        <v>0.314151907807443</v>
      </c>
      <c r="Z62" s="23" t="n">
        <f aca="false">IF('TASKS AND ROAD SEGMENT MATRIX'!AM62-1&gt;0,'TASKS AND ROAD SEGMENT MATRIX'!AM62-1,"-")</f>
        <v>0.628303815614886</v>
      </c>
      <c r="AA62" s="23" t="n">
        <f aca="false">IF('TASKS AND ROAD SEGMENT MATRIX'!AN62-1&gt;0,'TASKS AND ROAD SEGMENT MATRIX'!AN62-1,"-")</f>
        <v>0.628303815614886</v>
      </c>
      <c r="AB62" s="23" t="n">
        <f aca="false">IF('TASKS AND ROAD SEGMENT MATRIX'!AO62-1&gt;0,'TASKS AND ROAD SEGMENT MATRIX'!AO62-1,"-")</f>
        <v>0.628303815614886</v>
      </c>
      <c r="AC62" s="23" t="str">
        <f aca="false">IF('TASKS AND ROAD SEGMENT MATRIX'!AP62-1&gt;0,'TASKS AND ROAD SEGMENT MATRIX'!AP62-1,"-")</f>
        <v>-</v>
      </c>
      <c r="AD62" s="23" t="n">
        <f aca="false">IF('TASKS AND ROAD SEGMENT MATRIX'!AQ62-1&gt;0,'TASKS AND ROAD SEGMENT MATRIX'!AQ62-1,"-")</f>
        <v>0.628303815614886</v>
      </c>
      <c r="AE62" s="23" t="n">
        <f aca="false">IF('TASKS AND ROAD SEGMENT MATRIX'!AR62-1&gt;0,'TASKS AND ROAD SEGMENT MATRIX'!AR62-1,"-")</f>
        <v>0.628303815614886</v>
      </c>
      <c r="AF62" s="23" t="n">
        <f aca="false">IF('TASKS AND ROAD SEGMENT MATRIX'!AS62-1&gt;0,'TASKS AND ROAD SEGMENT MATRIX'!AS62-1,"-")</f>
        <v>0.628303815614886</v>
      </c>
      <c r="AG62" s="23" t="n">
        <f aca="false">IF('TASKS AND ROAD SEGMENT MATRIX'!AT62-1&gt;0,'TASKS AND ROAD SEGMENT MATRIX'!AT62-1,"-")</f>
        <v>0.314151907807443</v>
      </c>
      <c r="AH62" s="23" t="str">
        <f aca="false">IF('TASKS AND ROAD SEGMENT MATRIX'!AU62-1&gt;0,'TASKS AND ROAD SEGMENT MATRIX'!AU62-1,"-")</f>
        <v>-</v>
      </c>
      <c r="AI62" s="23" t="str">
        <f aca="false">IF('TASKS AND ROAD SEGMENT MATRIX'!AV62-1&gt;0,'TASKS AND ROAD SEGMENT MATRIX'!AV62-1,"-")</f>
        <v>-</v>
      </c>
      <c r="AJ62" s="23" t="str">
        <f aca="false">IF('TASKS AND ROAD SEGMENT MATRIX'!AW62-1&gt;0,'TASKS AND ROAD SEGMENT MATRIX'!AW62-1,"-")</f>
        <v>-</v>
      </c>
      <c r="AK62" s="23" t="str">
        <f aca="false">IF('TASKS AND ROAD SEGMENT MATRIX'!AX62-1&gt;0,'TASKS AND ROAD SEGMENT MATRIX'!AX62-1,"-")</f>
        <v>-</v>
      </c>
      <c r="AL62" s="23" t="str">
        <f aca="false">IF('TASKS AND ROAD SEGMENT MATRIX'!AY62-1&gt;0,'TASKS AND ROAD SEGMENT MATRIX'!AY62-1,"-")</f>
        <v>-</v>
      </c>
      <c r="AM62" s="23" t="str">
        <f aca="false">IF('TASKS AND ROAD SEGMENT MATRIX'!AZ62-1&gt;0,'TASKS AND ROAD SEGMENT MATRIX'!AZ62-1,"-")</f>
        <v>-</v>
      </c>
      <c r="AN62" s="23" t="str">
        <f aca="false">IF('TASKS AND ROAD SEGMENT MATRIX'!BA62-1&gt;0,'TASKS AND ROAD SEGMENT MATRIX'!BA62-1,"-")</f>
        <v>-</v>
      </c>
      <c r="AO62" s="23" t="str">
        <f aca="false">IF('TASKS AND ROAD SEGMENT MATRIX'!BB62-1&gt;0,'TASKS AND ROAD SEGMENT MATRIX'!BB62-1,"-")</f>
        <v>-</v>
      </c>
      <c r="AP62" s="23" t="str">
        <f aca="false">IF('TASKS AND ROAD SEGMENT MATRIX'!BC62-1&gt;0,'TASKS AND ROAD SEGMENT MATRIX'!BC62-1,"-")</f>
        <v>-</v>
      </c>
      <c r="AQ62" s="23" t="str">
        <f aca="false">IF('TASKS AND ROAD SEGMENT MATRIX'!BD62-1&gt;0,'TASKS AND ROAD SEGMENT MATRIX'!BD62-1,"-")</f>
        <v>-</v>
      </c>
      <c r="AR62" s="23" t="str">
        <f aca="false">IF('TASKS AND ROAD SEGMENT MATRIX'!BE62-1&gt;0,'TASKS AND ROAD SEGMENT MATRIX'!BE62-1,"-")</f>
        <v>-</v>
      </c>
      <c r="AS62" s="23" t="str">
        <f aca="false">IF('TASKS AND ROAD SEGMENT MATRIX'!BF62-1&gt;0,'TASKS AND ROAD SEGMENT MATRIX'!BF62-1,"-")</f>
        <v>-</v>
      </c>
      <c r="AT62" s="23" t="n">
        <f aca="false">IF('TASKS AND ROAD SEGMENT MATRIX'!BG62-1&gt;0,'TASKS AND ROAD SEGMENT MATRIX'!BG62-1,"-")</f>
        <v>0.314151907807443</v>
      </c>
      <c r="AU62" s="23" t="n">
        <f aca="false">IF('TASKS AND ROAD SEGMENT MATRIX'!BH62-1&gt;0,'TASKS AND ROAD SEGMENT MATRIX'!BH62-1,"-")</f>
        <v>0.628303815614886</v>
      </c>
    </row>
    <row r="63" customFormat="false" ht="13.8" hidden="false" customHeight="false" outlineLevel="0" collapsed="false">
      <c r="A63" s="0" t="s">
        <v>77</v>
      </c>
      <c r="B63" s="0" t="s">
        <v>115</v>
      </c>
      <c r="C63" s="23" t="str">
        <f aca="false">IF('TASKS AND ROAD SEGMENT MATRIX'!P63-1&gt;0,'TASKS AND ROAD SEGMENT MATRIX'!P63-1,"-")</f>
        <v>-</v>
      </c>
      <c r="D63" s="23" t="str">
        <f aca="false">IF('TASKS AND ROAD SEGMENT MATRIX'!Q63-1&gt;0,'TASKS AND ROAD SEGMENT MATRIX'!Q63-1,"-")</f>
        <v>-</v>
      </c>
      <c r="E63" s="23" t="str">
        <f aca="false">IF('TASKS AND ROAD SEGMENT MATRIX'!R63-1&gt;0,'TASKS AND ROAD SEGMENT MATRIX'!R63-1,"-")</f>
        <v>-</v>
      </c>
      <c r="F63" s="23" t="n">
        <f aca="false">IF('TASKS AND ROAD SEGMENT MATRIX'!S63-1&gt;0,'TASKS AND ROAD SEGMENT MATRIX'!S63-1,"-")</f>
        <v>0.471227861711165</v>
      </c>
      <c r="G63" s="23" t="n">
        <f aca="false">IF('TASKS AND ROAD SEGMENT MATRIX'!T63-1&gt;0,'TASKS AND ROAD SEGMENT MATRIX'!T63-1,"-")</f>
        <v>0.471227861711165</v>
      </c>
      <c r="H63" s="23" t="str">
        <f aca="false">IF('TASKS AND ROAD SEGMENT MATRIX'!U63-1&gt;0,'TASKS AND ROAD SEGMENT MATRIX'!U63-1,"-")</f>
        <v>-</v>
      </c>
      <c r="I63" s="23" t="str">
        <f aca="false">IF('TASKS AND ROAD SEGMENT MATRIX'!V63-1&gt;0,'TASKS AND ROAD SEGMENT MATRIX'!V63-1,"-")</f>
        <v>-</v>
      </c>
      <c r="J63" s="23" t="str">
        <f aca="false">IF('TASKS AND ROAD SEGMENT MATRIX'!W63-1&gt;0,'TASKS AND ROAD SEGMENT MATRIX'!W63-1,"-")</f>
        <v>-</v>
      </c>
      <c r="K63" s="23" t="str">
        <f aca="false">IF('TASKS AND ROAD SEGMENT MATRIX'!X63-1&gt;0,'TASKS AND ROAD SEGMENT MATRIX'!X63-1,"-")</f>
        <v>-</v>
      </c>
      <c r="L63" s="23" t="str">
        <f aca="false">IF('TASKS AND ROAD SEGMENT MATRIX'!Y63-1&gt;0,'TASKS AND ROAD SEGMENT MATRIX'!Y63-1,"-")</f>
        <v>-</v>
      </c>
      <c r="M63" s="23" t="str">
        <f aca="false">IF('TASKS AND ROAD SEGMENT MATRIX'!Z63-1&gt;0,'TASKS AND ROAD SEGMENT MATRIX'!Z63-1,"-")</f>
        <v>-</v>
      </c>
      <c r="N63" s="23" t="n">
        <f aca="false">IF('TASKS AND ROAD SEGMENT MATRIX'!AA63-1&gt;0,'TASKS AND ROAD SEGMENT MATRIX'!AA63-1,"-")</f>
        <v>0.471227861711165</v>
      </c>
      <c r="O63" s="23" t="str">
        <f aca="false">IF('TASKS AND ROAD SEGMENT MATRIX'!AB63-1&gt;0,'TASKS AND ROAD SEGMENT MATRIX'!AB63-1,"-")</f>
        <v>-</v>
      </c>
      <c r="P63" s="23" t="n">
        <f aca="false">IF('TASKS AND ROAD SEGMENT MATRIX'!AC63-1&gt;0,'TASKS AND ROAD SEGMENT MATRIX'!AC63-1,"-")</f>
        <v>0.471227861711165</v>
      </c>
      <c r="Q63" s="23" t="str">
        <f aca="false">IF('TASKS AND ROAD SEGMENT MATRIX'!AD63-1&gt;0,'TASKS AND ROAD SEGMENT MATRIX'!AD63-1,"-")</f>
        <v>-</v>
      </c>
      <c r="R63" s="23" t="n">
        <f aca="false">IF('TASKS AND ROAD SEGMENT MATRIX'!AE63-1&gt;0,'TASKS AND ROAD SEGMENT MATRIX'!AE63-1,"-")</f>
        <v>0.471227861711165</v>
      </c>
      <c r="S63" s="23" t="n">
        <f aca="false">IF('TASKS AND ROAD SEGMENT MATRIX'!AF63-1&gt;0,'TASKS AND ROAD SEGMENT MATRIX'!AF63-1,"-")</f>
        <v>0.471227861711165</v>
      </c>
      <c r="T63" s="23" t="n">
        <f aca="false">IF('TASKS AND ROAD SEGMENT MATRIX'!AG63-1&gt;0,'TASKS AND ROAD SEGMENT MATRIX'!AG63-1,"-")</f>
        <v>0.471227861711165</v>
      </c>
      <c r="U63" s="23" t="n">
        <f aca="false">IF('TASKS AND ROAD SEGMENT MATRIX'!AH63-1&gt;0,'TASKS AND ROAD SEGMENT MATRIX'!AH63-1,"-")</f>
        <v>0.471227861711165</v>
      </c>
      <c r="V63" s="23" t="str">
        <f aca="false">IF('TASKS AND ROAD SEGMENT MATRIX'!AI63-1&gt;0,'TASKS AND ROAD SEGMENT MATRIX'!AI63-1,"-")</f>
        <v>-</v>
      </c>
      <c r="W63" s="23" t="str">
        <f aca="false">IF('TASKS AND ROAD SEGMENT MATRIX'!AJ63-1&gt;0,'TASKS AND ROAD SEGMENT MATRIX'!AJ63-1,"-")</f>
        <v>-</v>
      </c>
      <c r="X63" s="23" t="n">
        <f aca="false">IF('TASKS AND ROAD SEGMENT MATRIX'!AK63-1&gt;0,'TASKS AND ROAD SEGMENT MATRIX'!AK63-1,"-")</f>
        <v>0.471227861711165</v>
      </c>
      <c r="Y63" s="23" t="n">
        <f aca="false">IF('TASKS AND ROAD SEGMENT MATRIX'!AL63-1&gt;0,'TASKS AND ROAD SEGMENT MATRIX'!AL63-1,"-")</f>
        <v>0.471227861711165</v>
      </c>
      <c r="Z63" s="23" t="n">
        <f aca="false">IF('TASKS AND ROAD SEGMENT MATRIX'!AM63-1&gt;0,'TASKS AND ROAD SEGMENT MATRIX'!AM63-1,"-")</f>
        <v>0.942455723422329</v>
      </c>
      <c r="AA63" s="23" t="n">
        <f aca="false">IF('TASKS AND ROAD SEGMENT MATRIX'!AN63-1&gt;0,'TASKS AND ROAD SEGMENT MATRIX'!AN63-1,"-")</f>
        <v>0.942455723422329</v>
      </c>
      <c r="AB63" s="23" t="n">
        <f aca="false">IF('TASKS AND ROAD SEGMENT MATRIX'!AO63-1&gt;0,'TASKS AND ROAD SEGMENT MATRIX'!AO63-1,"-")</f>
        <v>0.942455723422329</v>
      </c>
      <c r="AC63" s="23" t="n">
        <f aca="false">IF('TASKS AND ROAD SEGMENT MATRIX'!AP63-1&gt;0,'TASKS AND ROAD SEGMENT MATRIX'!AP63-1,"-")</f>
        <v>0.942455723422329</v>
      </c>
      <c r="AD63" s="23" t="n">
        <f aca="false">IF('TASKS AND ROAD SEGMENT MATRIX'!AQ63-1&gt;0,'TASKS AND ROAD SEGMENT MATRIX'!AQ63-1,"-")</f>
        <v>0.942455723422329</v>
      </c>
      <c r="AE63" s="23" t="n">
        <f aca="false">IF('TASKS AND ROAD SEGMENT MATRIX'!AR63-1&gt;0,'TASKS AND ROAD SEGMENT MATRIX'!AR63-1,"-")</f>
        <v>0.942455723422329</v>
      </c>
      <c r="AF63" s="23" t="n">
        <f aca="false">IF('TASKS AND ROAD SEGMENT MATRIX'!AS63-1&gt;0,'TASKS AND ROAD SEGMENT MATRIX'!AS63-1,"-")</f>
        <v>0.942455723422329</v>
      </c>
      <c r="AG63" s="23" t="n">
        <f aca="false">IF('TASKS AND ROAD SEGMENT MATRIX'!AT63-1&gt;0,'TASKS AND ROAD SEGMENT MATRIX'!AT63-1,"-")</f>
        <v>0.471227861711165</v>
      </c>
      <c r="AH63" s="23" t="str">
        <f aca="false">IF('TASKS AND ROAD SEGMENT MATRIX'!AU63-1&gt;0,'TASKS AND ROAD SEGMENT MATRIX'!AU63-1,"-")</f>
        <v>-</v>
      </c>
      <c r="AI63" s="23" t="str">
        <f aca="false">IF('TASKS AND ROAD SEGMENT MATRIX'!AV63-1&gt;0,'TASKS AND ROAD SEGMENT MATRIX'!AV63-1,"-")</f>
        <v>-</v>
      </c>
      <c r="AJ63" s="23" t="str">
        <f aca="false">IF('TASKS AND ROAD SEGMENT MATRIX'!AW63-1&gt;0,'TASKS AND ROAD SEGMENT MATRIX'!AW63-1,"-")</f>
        <v>-</v>
      </c>
      <c r="AK63" s="23" t="str">
        <f aca="false">IF('TASKS AND ROAD SEGMENT MATRIX'!AX63-1&gt;0,'TASKS AND ROAD SEGMENT MATRIX'!AX63-1,"-")</f>
        <v>-</v>
      </c>
      <c r="AL63" s="23" t="str">
        <f aca="false">IF('TASKS AND ROAD SEGMENT MATRIX'!AY63-1&gt;0,'TASKS AND ROAD SEGMENT MATRIX'!AY63-1,"-")</f>
        <v>-</v>
      </c>
      <c r="AM63" s="23" t="str">
        <f aca="false">IF('TASKS AND ROAD SEGMENT MATRIX'!AZ63-1&gt;0,'TASKS AND ROAD SEGMENT MATRIX'!AZ63-1,"-")</f>
        <v>-</v>
      </c>
      <c r="AN63" s="23" t="str">
        <f aca="false">IF('TASKS AND ROAD SEGMENT MATRIX'!BA63-1&gt;0,'TASKS AND ROAD SEGMENT MATRIX'!BA63-1,"-")</f>
        <v>-</v>
      </c>
      <c r="AO63" s="23" t="str">
        <f aca="false">IF('TASKS AND ROAD SEGMENT MATRIX'!BB63-1&gt;0,'TASKS AND ROAD SEGMENT MATRIX'!BB63-1,"-")</f>
        <v>-</v>
      </c>
      <c r="AP63" s="23" t="str">
        <f aca="false">IF('TASKS AND ROAD SEGMENT MATRIX'!BC63-1&gt;0,'TASKS AND ROAD SEGMENT MATRIX'!BC63-1,"-")</f>
        <v>-</v>
      </c>
      <c r="AQ63" s="23" t="str">
        <f aca="false">IF('TASKS AND ROAD SEGMENT MATRIX'!BD63-1&gt;0,'TASKS AND ROAD SEGMENT MATRIX'!BD63-1,"-")</f>
        <v>-</v>
      </c>
      <c r="AR63" s="23" t="str">
        <f aca="false">IF('TASKS AND ROAD SEGMENT MATRIX'!BE63-1&gt;0,'TASKS AND ROAD SEGMENT MATRIX'!BE63-1,"-")</f>
        <v>-</v>
      </c>
      <c r="AS63" s="23" t="str">
        <f aca="false">IF('TASKS AND ROAD SEGMENT MATRIX'!BF63-1&gt;0,'TASKS AND ROAD SEGMENT MATRIX'!BF63-1,"-")</f>
        <v>-</v>
      </c>
      <c r="AT63" s="23" t="n">
        <f aca="false">IF('TASKS AND ROAD SEGMENT MATRIX'!BG63-1&gt;0,'TASKS AND ROAD SEGMENT MATRIX'!BG63-1,"-")</f>
        <v>0.471227861711165</v>
      </c>
      <c r="AU63" s="23" t="n">
        <f aca="false">IF('TASKS AND ROAD SEGMENT MATRIX'!BH63-1&gt;0,'TASKS AND ROAD SEGMENT MATRIX'!BH63-1,"-")</f>
        <v>0.942455723422329</v>
      </c>
    </row>
    <row r="64" customFormat="false" ht="13.8" hidden="false" customHeight="false" outlineLevel="0" collapsed="false">
      <c r="A64" s="0" t="s">
        <v>77</v>
      </c>
      <c r="B64" s="0" t="s">
        <v>117</v>
      </c>
      <c r="C64" s="23" t="str">
        <f aca="false">IF('TASKS AND ROAD SEGMENT MATRIX'!P64-1&gt;0,'TASKS AND ROAD SEGMENT MATRIX'!P64-1,"-")</f>
        <v>-</v>
      </c>
      <c r="D64" s="23" t="str">
        <f aca="false">IF('TASKS AND ROAD SEGMENT MATRIX'!Q64-1&gt;0,'TASKS AND ROAD SEGMENT MATRIX'!Q64-1,"-")</f>
        <v>-</v>
      </c>
      <c r="E64" s="23" t="str">
        <f aca="false">IF('TASKS AND ROAD SEGMENT MATRIX'!R64-1&gt;0,'TASKS AND ROAD SEGMENT MATRIX'!R64-1,"-")</f>
        <v>-</v>
      </c>
      <c r="F64" s="23" t="n">
        <f aca="false">IF('TASKS AND ROAD SEGMENT MATRIX'!S64-1&gt;0,'TASKS AND ROAD SEGMENT MATRIX'!S64-1,"-")</f>
        <v>0.392689884759304</v>
      </c>
      <c r="G64" s="23" t="n">
        <f aca="false">IF('TASKS AND ROAD SEGMENT MATRIX'!T64-1&gt;0,'TASKS AND ROAD SEGMENT MATRIX'!T64-1,"-")</f>
        <v>0.392689884759304</v>
      </c>
      <c r="H64" s="23" t="str">
        <f aca="false">IF('TASKS AND ROAD SEGMENT MATRIX'!U64-1&gt;0,'TASKS AND ROAD SEGMENT MATRIX'!U64-1,"-")</f>
        <v>-</v>
      </c>
      <c r="I64" s="23" t="str">
        <f aca="false">IF('TASKS AND ROAD SEGMENT MATRIX'!V64-1&gt;0,'TASKS AND ROAD SEGMENT MATRIX'!V64-1,"-")</f>
        <v>-</v>
      </c>
      <c r="J64" s="23" t="str">
        <f aca="false">IF('TASKS AND ROAD SEGMENT MATRIX'!W64-1&gt;0,'TASKS AND ROAD SEGMENT MATRIX'!W64-1,"-")</f>
        <v>-</v>
      </c>
      <c r="K64" s="23" t="str">
        <f aca="false">IF('TASKS AND ROAD SEGMENT MATRIX'!X64-1&gt;0,'TASKS AND ROAD SEGMENT MATRIX'!X64-1,"-")</f>
        <v>-</v>
      </c>
      <c r="L64" s="23" t="str">
        <f aca="false">IF('TASKS AND ROAD SEGMENT MATRIX'!Y64-1&gt;0,'TASKS AND ROAD SEGMENT MATRIX'!Y64-1,"-")</f>
        <v>-</v>
      </c>
      <c r="M64" s="23" t="str">
        <f aca="false">IF('TASKS AND ROAD SEGMENT MATRIX'!Z64-1&gt;0,'TASKS AND ROAD SEGMENT MATRIX'!Z64-1,"-")</f>
        <v>-</v>
      </c>
      <c r="N64" s="23" t="n">
        <f aca="false">IF('TASKS AND ROAD SEGMENT MATRIX'!AA64-1&gt;0,'TASKS AND ROAD SEGMENT MATRIX'!AA64-1,"-")</f>
        <v>0.392689884759304</v>
      </c>
      <c r="O64" s="23" t="str">
        <f aca="false">IF('TASKS AND ROAD SEGMENT MATRIX'!AB64-1&gt;0,'TASKS AND ROAD SEGMENT MATRIX'!AB64-1,"-")</f>
        <v>-</v>
      </c>
      <c r="P64" s="23" t="n">
        <f aca="false">IF('TASKS AND ROAD SEGMENT MATRIX'!AC64-1&gt;0,'TASKS AND ROAD SEGMENT MATRIX'!AC64-1,"-")</f>
        <v>0.392689884759304</v>
      </c>
      <c r="Q64" s="23" t="str">
        <f aca="false">IF('TASKS AND ROAD SEGMENT MATRIX'!AD64-1&gt;0,'TASKS AND ROAD SEGMENT MATRIX'!AD64-1,"-")</f>
        <v>-</v>
      </c>
      <c r="R64" s="23" t="n">
        <f aca="false">IF('TASKS AND ROAD SEGMENT MATRIX'!AE64-1&gt;0,'TASKS AND ROAD SEGMENT MATRIX'!AE64-1,"-")</f>
        <v>0.392689884759304</v>
      </c>
      <c r="S64" s="23" t="n">
        <f aca="false">IF('TASKS AND ROAD SEGMENT MATRIX'!AF64-1&gt;0,'TASKS AND ROAD SEGMENT MATRIX'!AF64-1,"-")</f>
        <v>0.392689884759304</v>
      </c>
      <c r="T64" s="23" t="n">
        <f aca="false">IF('TASKS AND ROAD SEGMENT MATRIX'!AG64-1&gt;0,'TASKS AND ROAD SEGMENT MATRIX'!AG64-1,"-")</f>
        <v>0.392689884759304</v>
      </c>
      <c r="U64" s="23" t="n">
        <f aca="false">IF('TASKS AND ROAD SEGMENT MATRIX'!AH64-1&gt;0,'TASKS AND ROAD SEGMENT MATRIX'!AH64-1,"-")</f>
        <v>0.392689884759304</v>
      </c>
      <c r="V64" s="23" t="str">
        <f aca="false">IF('TASKS AND ROAD SEGMENT MATRIX'!AI64-1&gt;0,'TASKS AND ROAD SEGMENT MATRIX'!AI64-1,"-")</f>
        <v>-</v>
      </c>
      <c r="W64" s="23" t="str">
        <f aca="false">IF('TASKS AND ROAD SEGMENT MATRIX'!AJ64-1&gt;0,'TASKS AND ROAD SEGMENT MATRIX'!AJ64-1,"-")</f>
        <v>-</v>
      </c>
      <c r="X64" s="23" t="n">
        <f aca="false">IF('TASKS AND ROAD SEGMENT MATRIX'!AK64-1&gt;0,'TASKS AND ROAD SEGMENT MATRIX'!AK64-1,"-")</f>
        <v>0.392689884759304</v>
      </c>
      <c r="Y64" s="23" t="n">
        <f aca="false">IF('TASKS AND ROAD SEGMENT MATRIX'!AL64-1&gt;0,'TASKS AND ROAD SEGMENT MATRIX'!AL64-1,"-")</f>
        <v>0.392689884759304</v>
      </c>
      <c r="Z64" s="23" t="n">
        <f aca="false">IF('TASKS AND ROAD SEGMENT MATRIX'!AM64-1&gt;0,'TASKS AND ROAD SEGMENT MATRIX'!AM64-1,"-")</f>
        <v>0.785379769518607</v>
      </c>
      <c r="AA64" s="23" t="n">
        <f aca="false">IF('TASKS AND ROAD SEGMENT MATRIX'!AN64-1&gt;0,'TASKS AND ROAD SEGMENT MATRIX'!AN64-1,"-")</f>
        <v>0.785379769518607</v>
      </c>
      <c r="AB64" s="23" t="n">
        <f aca="false">IF('TASKS AND ROAD SEGMENT MATRIX'!AO64-1&gt;0,'TASKS AND ROAD SEGMENT MATRIX'!AO64-1,"-")</f>
        <v>0.785379769518607</v>
      </c>
      <c r="AC64" s="23" t="n">
        <f aca="false">IF('TASKS AND ROAD SEGMENT MATRIX'!AP64-1&gt;0,'TASKS AND ROAD SEGMENT MATRIX'!AP64-1,"-")</f>
        <v>0.392689884759304</v>
      </c>
      <c r="AD64" s="23" t="n">
        <f aca="false">IF('TASKS AND ROAD SEGMENT MATRIX'!AQ64-1&gt;0,'TASKS AND ROAD SEGMENT MATRIX'!AQ64-1,"-")</f>
        <v>0.785379769518607</v>
      </c>
      <c r="AE64" s="23" t="n">
        <f aca="false">IF('TASKS AND ROAD SEGMENT MATRIX'!AR64-1&gt;0,'TASKS AND ROAD SEGMENT MATRIX'!AR64-1,"-")</f>
        <v>0.785379769518607</v>
      </c>
      <c r="AF64" s="23" t="n">
        <f aca="false">IF('TASKS AND ROAD SEGMENT MATRIX'!AS64-1&gt;0,'TASKS AND ROAD SEGMENT MATRIX'!AS64-1,"-")</f>
        <v>0.785379769518607</v>
      </c>
      <c r="AG64" s="23" t="n">
        <f aca="false">IF('TASKS AND ROAD SEGMENT MATRIX'!AT64-1&gt;0,'TASKS AND ROAD SEGMENT MATRIX'!AT64-1,"-")</f>
        <v>0.392689884759304</v>
      </c>
      <c r="AH64" s="23" t="str">
        <f aca="false">IF('TASKS AND ROAD SEGMENT MATRIX'!AU64-1&gt;0,'TASKS AND ROAD SEGMENT MATRIX'!AU64-1,"-")</f>
        <v>-</v>
      </c>
      <c r="AI64" s="23" t="str">
        <f aca="false">IF('TASKS AND ROAD SEGMENT MATRIX'!AV64-1&gt;0,'TASKS AND ROAD SEGMENT MATRIX'!AV64-1,"-")</f>
        <v>-</v>
      </c>
      <c r="AJ64" s="23" t="str">
        <f aca="false">IF('TASKS AND ROAD SEGMENT MATRIX'!AW64-1&gt;0,'TASKS AND ROAD SEGMENT MATRIX'!AW64-1,"-")</f>
        <v>-</v>
      </c>
      <c r="AK64" s="23" t="str">
        <f aca="false">IF('TASKS AND ROAD SEGMENT MATRIX'!AX64-1&gt;0,'TASKS AND ROAD SEGMENT MATRIX'!AX64-1,"-")</f>
        <v>-</v>
      </c>
      <c r="AL64" s="23" t="str">
        <f aca="false">IF('TASKS AND ROAD SEGMENT MATRIX'!AY64-1&gt;0,'TASKS AND ROAD SEGMENT MATRIX'!AY64-1,"-")</f>
        <v>-</v>
      </c>
      <c r="AM64" s="23" t="str">
        <f aca="false">IF('TASKS AND ROAD SEGMENT MATRIX'!AZ64-1&gt;0,'TASKS AND ROAD SEGMENT MATRIX'!AZ64-1,"-")</f>
        <v>-</v>
      </c>
      <c r="AN64" s="23" t="str">
        <f aca="false">IF('TASKS AND ROAD SEGMENT MATRIX'!BA64-1&gt;0,'TASKS AND ROAD SEGMENT MATRIX'!BA64-1,"-")</f>
        <v>-</v>
      </c>
      <c r="AO64" s="23" t="str">
        <f aca="false">IF('TASKS AND ROAD SEGMENT MATRIX'!BB64-1&gt;0,'TASKS AND ROAD SEGMENT MATRIX'!BB64-1,"-")</f>
        <v>-</v>
      </c>
      <c r="AP64" s="23" t="str">
        <f aca="false">IF('TASKS AND ROAD SEGMENT MATRIX'!BC64-1&gt;0,'TASKS AND ROAD SEGMENT MATRIX'!BC64-1,"-")</f>
        <v>-</v>
      </c>
      <c r="AQ64" s="23" t="str">
        <f aca="false">IF('TASKS AND ROAD SEGMENT MATRIX'!BD64-1&gt;0,'TASKS AND ROAD SEGMENT MATRIX'!BD64-1,"-")</f>
        <v>-</v>
      </c>
      <c r="AR64" s="23" t="str">
        <f aca="false">IF('TASKS AND ROAD SEGMENT MATRIX'!BE64-1&gt;0,'TASKS AND ROAD SEGMENT MATRIX'!BE64-1,"-")</f>
        <v>-</v>
      </c>
      <c r="AS64" s="23" t="str">
        <f aca="false">IF('TASKS AND ROAD SEGMENT MATRIX'!BF64-1&gt;0,'TASKS AND ROAD SEGMENT MATRIX'!BF64-1,"-")</f>
        <v>-</v>
      </c>
      <c r="AT64" s="23" t="n">
        <f aca="false">IF('TASKS AND ROAD SEGMENT MATRIX'!BG64-1&gt;0,'TASKS AND ROAD SEGMENT MATRIX'!BG64-1,"-")</f>
        <v>0.392689884759304</v>
      </c>
      <c r="AU64" s="23" t="n">
        <f aca="false">IF('TASKS AND ROAD SEGMENT MATRIX'!BH64-1&gt;0,'TASKS AND ROAD SEGMENT MATRIX'!BH64-1,"-")</f>
        <v>0.785379769518607</v>
      </c>
    </row>
    <row r="65" customFormat="false" ht="13.8" hidden="false" customHeight="false" outlineLevel="0" collapsed="false">
      <c r="A65" s="0" t="s">
        <v>77</v>
      </c>
      <c r="B65" s="0" t="s">
        <v>119</v>
      </c>
      <c r="C65" s="23" t="str">
        <f aca="false">IF('TASKS AND ROAD SEGMENT MATRIX'!P65-1&gt;0,'TASKS AND ROAD SEGMENT MATRIX'!P65-1,"-")</f>
        <v>-</v>
      </c>
      <c r="D65" s="23" t="str">
        <f aca="false">IF('TASKS AND ROAD SEGMENT MATRIX'!Q65-1&gt;0,'TASKS AND ROAD SEGMENT MATRIX'!Q65-1,"-")</f>
        <v>-</v>
      </c>
      <c r="E65" s="23" t="str">
        <f aca="false">IF('TASKS AND ROAD SEGMENT MATRIX'!R65-1&gt;0,'TASKS AND ROAD SEGMENT MATRIX'!R65-1,"-")</f>
        <v>-</v>
      </c>
      <c r="F65" s="23" t="n">
        <f aca="false">IF('TASKS AND ROAD SEGMENT MATRIX'!S65-1&gt;0,'TASKS AND ROAD SEGMENT MATRIX'!S65-1,"-")</f>
        <v>0.471227861711165</v>
      </c>
      <c r="G65" s="23" t="n">
        <f aca="false">IF('TASKS AND ROAD SEGMENT MATRIX'!T65-1&gt;0,'TASKS AND ROAD SEGMENT MATRIX'!T65-1,"-")</f>
        <v>0.471227861711165</v>
      </c>
      <c r="H65" s="23" t="str">
        <f aca="false">IF('TASKS AND ROAD SEGMENT MATRIX'!U65-1&gt;0,'TASKS AND ROAD SEGMENT MATRIX'!U65-1,"-")</f>
        <v>-</v>
      </c>
      <c r="I65" s="23" t="str">
        <f aca="false">IF('TASKS AND ROAD SEGMENT MATRIX'!V65-1&gt;0,'TASKS AND ROAD SEGMENT MATRIX'!V65-1,"-")</f>
        <v>-</v>
      </c>
      <c r="J65" s="23" t="str">
        <f aca="false">IF('TASKS AND ROAD SEGMENT MATRIX'!W65-1&gt;0,'TASKS AND ROAD SEGMENT MATRIX'!W65-1,"-")</f>
        <v>-</v>
      </c>
      <c r="K65" s="23" t="str">
        <f aca="false">IF('TASKS AND ROAD SEGMENT MATRIX'!X65-1&gt;0,'TASKS AND ROAD SEGMENT MATRIX'!X65-1,"-")</f>
        <v>-</v>
      </c>
      <c r="L65" s="23" t="str">
        <f aca="false">IF('TASKS AND ROAD SEGMENT MATRIX'!Y65-1&gt;0,'TASKS AND ROAD SEGMENT MATRIX'!Y65-1,"-")</f>
        <v>-</v>
      </c>
      <c r="M65" s="23" t="str">
        <f aca="false">IF('TASKS AND ROAD SEGMENT MATRIX'!Z65-1&gt;0,'TASKS AND ROAD SEGMENT MATRIX'!Z65-1,"-")</f>
        <v>-</v>
      </c>
      <c r="N65" s="23" t="n">
        <f aca="false">IF('TASKS AND ROAD SEGMENT MATRIX'!AA65-1&gt;0,'TASKS AND ROAD SEGMENT MATRIX'!AA65-1,"-")</f>
        <v>0.471227861711165</v>
      </c>
      <c r="O65" s="23" t="str">
        <f aca="false">IF('TASKS AND ROAD SEGMENT MATRIX'!AB65-1&gt;0,'TASKS AND ROAD SEGMENT MATRIX'!AB65-1,"-")</f>
        <v>-</v>
      </c>
      <c r="P65" s="23" t="n">
        <f aca="false">IF('TASKS AND ROAD SEGMENT MATRIX'!AC65-1&gt;0,'TASKS AND ROAD SEGMENT MATRIX'!AC65-1,"-")</f>
        <v>0.471227861711165</v>
      </c>
      <c r="Q65" s="23" t="str">
        <f aca="false">IF('TASKS AND ROAD SEGMENT MATRIX'!AD65-1&gt;0,'TASKS AND ROAD SEGMENT MATRIX'!AD65-1,"-")</f>
        <v>-</v>
      </c>
      <c r="R65" s="23" t="n">
        <f aca="false">IF('TASKS AND ROAD SEGMENT MATRIX'!AE65-1&gt;0,'TASKS AND ROAD SEGMENT MATRIX'!AE65-1,"-")</f>
        <v>0.471227861711165</v>
      </c>
      <c r="S65" s="23" t="n">
        <f aca="false">IF('TASKS AND ROAD SEGMENT MATRIX'!AF65-1&gt;0,'TASKS AND ROAD SEGMENT MATRIX'!AF65-1,"-")</f>
        <v>0.471227861711165</v>
      </c>
      <c r="T65" s="23" t="n">
        <f aca="false">IF('TASKS AND ROAD SEGMENT MATRIX'!AG65-1&gt;0,'TASKS AND ROAD SEGMENT MATRIX'!AG65-1,"-")</f>
        <v>0.471227861711165</v>
      </c>
      <c r="U65" s="23" t="n">
        <f aca="false">IF('TASKS AND ROAD SEGMENT MATRIX'!AH65-1&gt;0,'TASKS AND ROAD SEGMENT MATRIX'!AH65-1,"-")</f>
        <v>0.471227861711165</v>
      </c>
      <c r="V65" s="23" t="str">
        <f aca="false">IF('TASKS AND ROAD SEGMENT MATRIX'!AI65-1&gt;0,'TASKS AND ROAD SEGMENT MATRIX'!AI65-1,"-")</f>
        <v>-</v>
      </c>
      <c r="W65" s="23" t="str">
        <f aca="false">IF('TASKS AND ROAD SEGMENT MATRIX'!AJ65-1&gt;0,'TASKS AND ROAD SEGMENT MATRIX'!AJ65-1,"-")</f>
        <v>-</v>
      </c>
      <c r="X65" s="23" t="n">
        <f aca="false">IF('TASKS AND ROAD SEGMENT MATRIX'!AK65-1&gt;0,'TASKS AND ROAD SEGMENT MATRIX'!AK65-1,"-")</f>
        <v>0.471227861711165</v>
      </c>
      <c r="Y65" s="23" t="n">
        <f aca="false">IF('TASKS AND ROAD SEGMENT MATRIX'!AL65-1&gt;0,'TASKS AND ROAD SEGMENT MATRIX'!AL65-1,"-")</f>
        <v>0.471227861711165</v>
      </c>
      <c r="Z65" s="23" t="n">
        <f aca="false">IF('TASKS AND ROAD SEGMENT MATRIX'!AM65-1&gt;0,'TASKS AND ROAD SEGMENT MATRIX'!AM65-1,"-")</f>
        <v>0.942455723422329</v>
      </c>
      <c r="AA65" s="23" t="n">
        <f aca="false">IF('TASKS AND ROAD SEGMENT MATRIX'!AN65-1&gt;0,'TASKS AND ROAD SEGMENT MATRIX'!AN65-1,"-")</f>
        <v>0.942455723422329</v>
      </c>
      <c r="AB65" s="23" t="n">
        <f aca="false">IF('TASKS AND ROAD SEGMENT MATRIX'!AO65-1&gt;0,'TASKS AND ROAD SEGMENT MATRIX'!AO65-1,"-")</f>
        <v>0.942455723422329</v>
      </c>
      <c r="AC65" s="23" t="n">
        <f aca="false">IF('TASKS AND ROAD SEGMENT MATRIX'!AP65-1&gt;0,'TASKS AND ROAD SEGMENT MATRIX'!AP65-1,"-")</f>
        <v>0.942455723422329</v>
      </c>
      <c r="AD65" s="23" t="n">
        <f aca="false">IF('TASKS AND ROAD SEGMENT MATRIX'!AQ65-1&gt;0,'TASKS AND ROAD SEGMENT MATRIX'!AQ65-1,"-")</f>
        <v>0.942455723422329</v>
      </c>
      <c r="AE65" s="23" t="n">
        <f aca="false">IF('TASKS AND ROAD SEGMENT MATRIX'!AR65-1&gt;0,'TASKS AND ROAD SEGMENT MATRIX'!AR65-1,"-")</f>
        <v>0.942455723422329</v>
      </c>
      <c r="AF65" s="23" t="n">
        <f aca="false">IF('TASKS AND ROAD SEGMENT MATRIX'!AS65-1&gt;0,'TASKS AND ROAD SEGMENT MATRIX'!AS65-1,"-")</f>
        <v>0.942455723422329</v>
      </c>
      <c r="AG65" s="23" t="n">
        <f aca="false">IF('TASKS AND ROAD SEGMENT MATRIX'!AT65-1&gt;0,'TASKS AND ROAD SEGMENT MATRIX'!AT65-1,"-")</f>
        <v>0.471227861711165</v>
      </c>
      <c r="AH65" s="23" t="str">
        <f aca="false">IF('TASKS AND ROAD SEGMENT MATRIX'!AU65-1&gt;0,'TASKS AND ROAD SEGMENT MATRIX'!AU65-1,"-")</f>
        <v>-</v>
      </c>
      <c r="AI65" s="23" t="str">
        <f aca="false">IF('TASKS AND ROAD SEGMENT MATRIX'!AV65-1&gt;0,'TASKS AND ROAD SEGMENT MATRIX'!AV65-1,"-")</f>
        <v>-</v>
      </c>
      <c r="AJ65" s="23" t="str">
        <f aca="false">IF('TASKS AND ROAD SEGMENT MATRIX'!AW65-1&gt;0,'TASKS AND ROAD SEGMENT MATRIX'!AW65-1,"-")</f>
        <v>-</v>
      </c>
      <c r="AK65" s="23" t="str">
        <f aca="false">IF('TASKS AND ROAD SEGMENT MATRIX'!AX65-1&gt;0,'TASKS AND ROAD SEGMENT MATRIX'!AX65-1,"-")</f>
        <v>-</v>
      </c>
      <c r="AL65" s="23" t="str">
        <f aca="false">IF('TASKS AND ROAD SEGMENT MATRIX'!AY65-1&gt;0,'TASKS AND ROAD SEGMENT MATRIX'!AY65-1,"-")</f>
        <v>-</v>
      </c>
      <c r="AM65" s="23" t="str">
        <f aca="false">IF('TASKS AND ROAD SEGMENT MATRIX'!AZ65-1&gt;0,'TASKS AND ROAD SEGMENT MATRIX'!AZ65-1,"-")</f>
        <v>-</v>
      </c>
      <c r="AN65" s="23" t="str">
        <f aca="false">IF('TASKS AND ROAD SEGMENT MATRIX'!BA65-1&gt;0,'TASKS AND ROAD SEGMENT MATRIX'!BA65-1,"-")</f>
        <v>-</v>
      </c>
      <c r="AO65" s="23" t="str">
        <f aca="false">IF('TASKS AND ROAD SEGMENT MATRIX'!BB65-1&gt;0,'TASKS AND ROAD SEGMENT MATRIX'!BB65-1,"-")</f>
        <v>-</v>
      </c>
      <c r="AP65" s="23" t="str">
        <f aca="false">IF('TASKS AND ROAD SEGMENT MATRIX'!BC65-1&gt;0,'TASKS AND ROAD SEGMENT MATRIX'!BC65-1,"-")</f>
        <v>-</v>
      </c>
      <c r="AQ65" s="23" t="str">
        <f aca="false">IF('TASKS AND ROAD SEGMENT MATRIX'!BD65-1&gt;0,'TASKS AND ROAD SEGMENT MATRIX'!BD65-1,"-")</f>
        <v>-</v>
      </c>
      <c r="AR65" s="23" t="str">
        <f aca="false">IF('TASKS AND ROAD SEGMENT MATRIX'!BE65-1&gt;0,'TASKS AND ROAD SEGMENT MATRIX'!BE65-1,"-")</f>
        <v>-</v>
      </c>
      <c r="AS65" s="23" t="str">
        <f aca="false">IF('TASKS AND ROAD SEGMENT MATRIX'!BF65-1&gt;0,'TASKS AND ROAD SEGMENT MATRIX'!BF65-1,"-")</f>
        <v>-</v>
      </c>
      <c r="AT65" s="23" t="n">
        <f aca="false">IF('TASKS AND ROAD SEGMENT MATRIX'!BG65-1&gt;0,'TASKS AND ROAD SEGMENT MATRIX'!BG65-1,"-")</f>
        <v>0.471227861711165</v>
      </c>
      <c r="AU65" s="23" t="n">
        <f aca="false">IF('TASKS AND ROAD SEGMENT MATRIX'!BH65-1&gt;0,'TASKS AND ROAD SEGMENT MATRIX'!BH65-1,"-")</f>
        <v>0.942455723422329</v>
      </c>
    </row>
    <row r="66" customFormat="false" ht="13.8" hidden="false" customHeight="false" outlineLevel="0" collapsed="false">
      <c r="A66" s="9" t="s">
        <v>78</v>
      </c>
      <c r="B66" s="0" t="s">
        <v>112</v>
      </c>
      <c r="C66" s="23" t="str">
        <f aca="false">IF('TASKS AND ROAD SEGMENT MATRIX'!P66-1&gt;0,'TASKS AND ROAD SEGMENT MATRIX'!P66-1,"-")</f>
        <v>-</v>
      </c>
      <c r="D66" s="23" t="str">
        <f aca="false">IF('TASKS AND ROAD SEGMENT MATRIX'!Q66-1&gt;0,'TASKS AND ROAD SEGMENT MATRIX'!Q66-1,"-")</f>
        <v>-</v>
      </c>
      <c r="E66" s="23" t="str">
        <f aca="false">IF('TASKS AND ROAD SEGMENT MATRIX'!R66-1&gt;0,'TASKS AND ROAD SEGMENT MATRIX'!R66-1,"-")</f>
        <v>-</v>
      </c>
      <c r="F66" s="23" t="str">
        <f aca="false">IF('TASKS AND ROAD SEGMENT MATRIX'!S66-1&gt;0,'TASKS AND ROAD SEGMENT MATRIX'!S66-1,"-")</f>
        <v>-</v>
      </c>
      <c r="G66" s="23" t="str">
        <f aca="false">IF('TASKS AND ROAD SEGMENT MATRIX'!T66-1&gt;0,'TASKS AND ROAD SEGMENT MATRIX'!T66-1,"-")</f>
        <v>-</v>
      </c>
      <c r="H66" s="23" t="str">
        <f aca="false">IF('TASKS AND ROAD SEGMENT MATRIX'!U66-1&gt;0,'TASKS AND ROAD SEGMENT MATRIX'!U66-1,"-")</f>
        <v>-</v>
      </c>
      <c r="I66" s="23" t="str">
        <f aca="false">IF('TASKS AND ROAD SEGMENT MATRIX'!V66-1&gt;0,'TASKS AND ROAD SEGMENT MATRIX'!V66-1,"-")</f>
        <v>-</v>
      </c>
      <c r="J66" s="23" t="str">
        <f aca="false">IF('TASKS AND ROAD SEGMENT MATRIX'!W66-1&gt;0,'TASKS AND ROAD SEGMENT MATRIX'!W66-1,"-")</f>
        <v>-</v>
      </c>
      <c r="K66" s="23" t="str">
        <f aca="false">IF('TASKS AND ROAD SEGMENT MATRIX'!X66-1&gt;0,'TASKS AND ROAD SEGMENT MATRIX'!X66-1,"-")</f>
        <v>-</v>
      </c>
      <c r="L66" s="23" t="str">
        <f aca="false">IF('TASKS AND ROAD SEGMENT MATRIX'!Y66-1&gt;0,'TASKS AND ROAD SEGMENT MATRIX'!Y66-1,"-")</f>
        <v>-</v>
      </c>
      <c r="M66" s="23" t="str">
        <f aca="false">IF('TASKS AND ROAD SEGMENT MATRIX'!Z66-1&gt;0,'TASKS AND ROAD SEGMENT MATRIX'!Z66-1,"-")</f>
        <v>-</v>
      </c>
      <c r="N66" s="23" t="str">
        <f aca="false">IF('TASKS AND ROAD SEGMENT MATRIX'!AA66-1&gt;0,'TASKS AND ROAD SEGMENT MATRIX'!AA66-1,"-")</f>
        <v>-</v>
      </c>
      <c r="O66" s="23" t="str">
        <f aca="false">IF('TASKS AND ROAD SEGMENT MATRIX'!AB66-1&gt;0,'TASKS AND ROAD SEGMENT MATRIX'!AB66-1,"-")</f>
        <v>-</v>
      </c>
      <c r="P66" s="23" t="n">
        <f aca="false">IF('TASKS AND ROAD SEGMENT MATRIX'!AC66-1&gt;0,'TASKS AND ROAD SEGMENT MATRIX'!AC66-1,"-")</f>
        <v>0.209983354574433</v>
      </c>
      <c r="Q66" s="23" t="n">
        <f aca="false">IF('TASKS AND ROAD SEGMENT MATRIX'!AD66-1&gt;0,'TASKS AND ROAD SEGMENT MATRIX'!AD66-1,"-")</f>
        <v>0.209983354574433</v>
      </c>
      <c r="R66" s="23" t="n">
        <f aca="false">IF('TASKS AND ROAD SEGMENT MATRIX'!AE66-1&gt;0,'TASKS AND ROAD SEGMENT MATRIX'!AE66-1,"-")</f>
        <v>0.419966709148865</v>
      </c>
      <c r="S66" s="23" t="n">
        <f aca="false">IF('TASKS AND ROAD SEGMENT MATRIX'!AF66-1&gt;0,'TASKS AND ROAD SEGMENT MATRIX'!AF66-1,"-")</f>
        <v>0.209983354574433</v>
      </c>
      <c r="T66" s="23" t="str">
        <f aca="false">IF('TASKS AND ROAD SEGMENT MATRIX'!AG66-1&gt;0,'TASKS AND ROAD SEGMENT MATRIX'!AG66-1,"-")</f>
        <v>-</v>
      </c>
      <c r="U66" s="23" t="str">
        <f aca="false">IF('TASKS AND ROAD SEGMENT MATRIX'!AH66-1&gt;0,'TASKS AND ROAD SEGMENT MATRIX'!AH66-1,"-")</f>
        <v>-</v>
      </c>
      <c r="V66" s="23" t="str">
        <f aca="false">IF('TASKS AND ROAD SEGMENT MATRIX'!AI66-1&gt;0,'TASKS AND ROAD SEGMENT MATRIX'!AI66-1,"-")</f>
        <v>-</v>
      </c>
      <c r="W66" s="23" t="str">
        <f aca="false">IF('TASKS AND ROAD SEGMENT MATRIX'!AJ66-1&gt;0,'TASKS AND ROAD SEGMENT MATRIX'!AJ66-1,"-")</f>
        <v>-</v>
      </c>
      <c r="X66" s="23" t="n">
        <f aca="false">IF('TASKS AND ROAD SEGMENT MATRIX'!AK66-1&gt;0,'TASKS AND ROAD SEGMENT MATRIX'!AK66-1,"-")</f>
        <v>0.209983354574433</v>
      </c>
      <c r="Y66" s="23" t="str">
        <f aca="false">IF('TASKS AND ROAD SEGMENT MATRIX'!AL66-1&gt;0,'TASKS AND ROAD SEGMENT MATRIX'!AL66-1,"-")</f>
        <v>-</v>
      </c>
      <c r="Z66" s="23" t="n">
        <f aca="false">IF('TASKS AND ROAD SEGMENT MATRIX'!AM66-1&gt;0,'TASKS AND ROAD SEGMENT MATRIX'!AM66-1,"-")</f>
        <v>0.209983354574433</v>
      </c>
      <c r="AA66" s="23" t="n">
        <f aca="false">IF('TASKS AND ROAD SEGMENT MATRIX'!AN66-1&gt;0,'TASKS AND ROAD SEGMENT MATRIX'!AN66-1,"-")</f>
        <v>0.209983354574433</v>
      </c>
      <c r="AB66" s="23" t="n">
        <f aca="false">IF('TASKS AND ROAD SEGMENT MATRIX'!AO66-1&gt;0,'TASKS AND ROAD SEGMENT MATRIX'!AO66-1,"-")</f>
        <v>0.209983354574433</v>
      </c>
      <c r="AC66" s="23" t="n">
        <f aca="false">IF('TASKS AND ROAD SEGMENT MATRIX'!AP66-1&gt;0,'TASKS AND ROAD SEGMENT MATRIX'!AP66-1,"-")</f>
        <v>0.419966709148865</v>
      </c>
      <c r="AD66" s="23" t="str">
        <f aca="false">IF('TASKS AND ROAD SEGMENT MATRIX'!AQ66-1&gt;0,'TASKS AND ROAD SEGMENT MATRIX'!AQ66-1,"-")</f>
        <v>-</v>
      </c>
      <c r="AE66" s="23" t="n">
        <f aca="false">IF('TASKS AND ROAD SEGMENT MATRIX'!AR66-1&gt;0,'TASKS AND ROAD SEGMENT MATRIX'!AR66-1,"-")</f>
        <v>0.419966709148865</v>
      </c>
      <c r="AF66" s="23" t="n">
        <f aca="false">IF('TASKS AND ROAD SEGMENT MATRIX'!AS66-1&gt;0,'TASKS AND ROAD SEGMENT MATRIX'!AS66-1,"-")</f>
        <v>0.419966709148865</v>
      </c>
      <c r="AG66" s="23" t="n">
        <f aca="false">IF('TASKS AND ROAD SEGMENT MATRIX'!AT66-1&gt;0,'TASKS AND ROAD SEGMENT MATRIX'!AT66-1,"-")</f>
        <v>0.209983354574433</v>
      </c>
      <c r="AH66" s="23" t="str">
        <f aca="false">IF('TASKS AND ROAD SEGMENT MATRIX'!AU66-1&gt;0,'TASKS AND ROAD SEGMENT MATRIX'!AU66-1,"-")</f>
        <v>-</v>
      </c>
      <c r="AI66" s="23" t="str">
        <f aca="false">IF('TASKS AND ROAD SEGMENT MATRIX'!AV66-1&gt;0,'TASKS AND ROAD SEGMENT MATRIX'!AV66-1,"-")</f>
        <v>-</v>
      </c>
      <c r="AJ66" s="23" t="str">
        <f aca="false">IF('TASKS AND ROAD SEGMENT MATRIX'!AW66-1&gt;0,'TASKS AND ROAD SEGMENT MATRIX'!AW66-1,"-")</f>
        <v>-</v>
      </c>
      <c r="AK66" s="23" t="str">
        <f aca="false">IF('TASKS AND ROAD SEGMENT MATRIX'!AX66-1&gt;0,'TASKS AND ROAD SEGMENT MATRIX'!AX66-1,"-")</f>
        <v>-</v>
      </c>
      <c r="AL66" s="23" t="str">
        <f aca="false">IF('TASKS AND ROAD SEGMENT MATRIX'!AY66-1&gt;0,'TASKS AND ROAD SEGMENT MATRIX'!AY66-1,"-")</f>
        <v>-</v>
      </c>
      <c r="AM66" s="23" t="str">
        <f aca="false">IF('TASKS AND ROAD SEGMENT MATRIX'!AZ66-1&gt;0,'TASKS AND ROAD SEGMENT MATRIX'!AZ66-1,"-")</f>
        <v>-</v>
      </c>
      <c r="AN66" s="23" t="str">
        <f aca="false">IF('TASKS AND ROAD SEGMENT MATRIX'!BA66-1&gt;0,'TASKS AND ROAD SEGMENT MATRIX'!BA66-1,"-")</f>
        <v>-</v>
      </c>
      <c r="AO66" s="23" t="n">
        <f aca="false">IF('TASKS AND ROAD SEGMENT MATRIX'!BB66-1&gt;0,'TASKS AND ROAD SEGMENT MATRIX'!BB66-1,"-")</f>
        <v>0.209983354574433</v>
      </c>
      <c r="AP66" s="23" t="n">
        <f aca="false">IF('TASKS AND ROAD SEGMENT MATRIX'!BC66-1&gt;0,'TASKS AND ROAD SEGMENT MATRIX'!BC66-1,"-")</f>
        <v>0.209983354574433</v>
      </c>
      <c r="AQ66" s="23" t="str">
        <f aca="false">IF('TASKS AND ROAD SEGMENT MATRIX'!BD66-1&gt;0,'TASKS AND ROAD SEGMENT MATRIX'!BD66-1,"-")</f>
        <v>-</v>
      </c>
      <c r="AR66" s="23" t="str">
        <f aca="false">IF('TASKS AND ROAD SEGMENT MATRIX'!BE66-1&gt;0,'TASKS AND ROAD SEGMENT MATRIX'!BE66-1,"-")</f>
        <v>-</v>
      </c>
      <c r="AS66" s="23" t="str">
        <f aca="false">IF('TASKS AND ROAD SEGMENT MATRIX'!BF66-1&gt;0,'TASKS AND ROAD SEGMENT MATRIX'!BF66-1,"-")</f>
        <v>-</v>
      </c>
      <c r="AT66" s="23" t="str">
        <f aca="false">IF('TASKS AND ROAD SEGMENT MATRIX'!BG66-1&gt;0,'TASKS AND ROAD SEGMENT MATRIX'!BG66-1,"-")</f>
        <v>-</v>
      </c>
      <c r="AU66" s="23" t="n">
        <f aca="false">IF('TASKS AND ROAD SEGMENT MATRIX'!BH66-1&gt;0,'TASKS AND ROAD SEGMENT MATRIX'!BH66-1,"-")</f>
        <v>0.209983354574433</v>
      </c>
    </row>
    <row r="67" customFormat="false" ht="13.8" hidden="false" customHeight="false" outlineLevel="0" collapsed="false">
      <c r="A67" s="9" t="s">
        <v>78</v>
      </c>
      <c r="B67" s="0" t="s">
        <v>115</v>
      </c>
      <c r="C67" s="23" t="str">
        <f aca="false">IF('TASKS AND ROAD SEGMENT MATRIX'!P67-1&gt;0,'TASKS AND ROAD SEGMENT MATRIX'!P67-1,"-")</f>
        <v>-</v>
      </c>
      <c r="D67" s="23" t="str">
        <f aca="false">IF('TASKS AND ROAD SEGMENT MATRIX'!Q67-1&gt;0,'TASKS AND ROAD SEGMENT MATRIX'!Q67-1,"-")</f>
        <v>-</v>
      </c>
      <c r="E67" s="23" t="str">
        <f aca="false">IF('TASKS AND ROAD SEGMENT MATRIX'!R67-1&gt;0,'TASKS AND ROAD SEGMENT MATRIX'!R67-1,"-")</f>
        <v>-</v>
      </c>
      <c r="F67" s="23" t="str">
        <f aca="false">IF('TASKS AND ROAD SEGMENT MATRIX'!S67-1&gt;0,'TASKS AND ROAD SEGMENT MATRIX'!S67-1,"-")</f>
        <v>-</v>
      </c>
      <c r="G67" s="23" t="str">
        <f aca="false">IF('TASKS AND ROAD SEGMENT MATRIX'!T67-1&gt;0,'TASKS AND ROAD SEGMENT MATRIX'!T67-1,"-")</f>
        <v>-</v>
      </c>
      <c r="H67" s="23" t="str">
        <f aca="false">IF('TASKS AND ROAD SEGMENT MATRIX'!U67-1&gt;0,'TASKS AND ROAD SEGMENT MATRIX'!U67-1,"-")</f>
        <v>-</v>
      </c>
      <c r="I67" s="23" t="str">
        <f aca="false">IF('TASKS AND ROAD SEGMENT MATRIX'!V67-1&gt;0,'TASKS AND ROAD SEGMENT MATRIX'!V67-1,"-")</f>
        <v>-</v>
      </c>
      <c r="J67" s="23" t="str">
        <f aca="false">IF('TASKS AND ROAD SEGMENT MATRIX'!W67-1&gt;0,'TASKS AND ROAD SEGMENT MATRIX'!W67-1,"-")</f>
        <v>-</v>
      </c>
      <c r="K67" s="23" t="str">
        <f aca="false">IF('TASKS AND ROAD SEGMENT MATRIX'!X67-1&gt;0,'TASKS AND ROAD SEGMENT MATRIX'!X67-1,"-")</f>
        <v>-</v>
      </c>
      <c r="L67" s="23" t="str">
        <f aca="false">IF('TASKS AND ROAD SEGMENT MATRIX'!Y67-1&gt;0,'TASKS AND ROAD SEGMENT MATRIX'!Y67-1,"-")</f>
        <v>-</v>
      </c>
      <c r="M67" s="23" t="str">
        <f aca="false">IF('TASKS AND ROAD SEGMENT MATRIX'!Z67-1&gt;0,'TASKS AND ROAD SEGMENT MATRIX'!Z67-1,"-")</f>
        <v>-</v>
      </c>
      <c r="N67" s="23" t="str">
        <f aca="false">IF('TASKS AND ROAD SEGMENT MATRIX'!AA67-1&gt;0,'TASKS AND ROAD SEGMENT MATRIX'!AA67-1,"-")</f>
        <v>-</v>
      </c>
      <c r="O67" s="23" t="str">
        <f aca="false">IF('TASKS AND ROAD SEGMENT MATRIX'!AB67-1&gt;0,'TASKS AND ROAD SEGMENT MATRIX'!AB67-1,"-")</f>
        <v>-</v>
      </c>
      <c r="P67" s="23" t="n">
        <f aca="false">IF('TASKS AND ROAD SEGMENT MATRIX'!AC67-1&gt;0,'TASKS AND ROAD SEGMENT MATRIX'!AC67-1,"-")</f>
        <v>0.314975031861649</v>
      </c>
      <c r="Q67" s="23" t="n">
        <f aca="false">IF('TASKS AND ROAD SEGMENT MATRIX'!AD67-1&gt;0,'TASKS AND ROAD SEGMENT MATRIX'!AD67-1,"-")</f>
        <v>0.314975031861649</v>
      </c>
      <c r="R67" s="23" t="n">
        <f aca="false">IF('TASKS AND ROAD SEGMENT MATRIX'!AE67-1&gt;0,'TASKS AND ROAD SEGMENT MATRIX'!AE67-1,"-")</f>
        <v>0.629950063723298</v>
      </c>
      <c r="S67" s="23" t="n">
        <f aca="false">IF('TASKS AND ROAD SEGMENT MATRIX'!AF67-1&gt;0,'TASKS AND ROAD SEGMENT MATRIX'!AF67-1,"-")</f>
        <v>0.314975031861649</v>
      </c>
      <c r="T67" s="23" t="str">
        <f aca="false">IF('TASKS AND ROAD SEGMENT MATRIX'!AG67-1&gt;0,'TASKS AND ROAD SEGMENT MATRIX'!AG67-1,"-")</f>
        <v>-</v>
      </c>
      <c r="U67" s="23" t="str">
        <f aca="false">IF('TASKS AND ROAD SEGMENT MATRIX'!AH67-1&gt;0,'TASKS AND ROAD SEGMENT MATRIX'!AH67-1,"-")</f>
        <v>-</v>
      </c>
      <c r="V67" s="23" t="str">
        <f aca="false">IF('TASKS AND ROAD SEGMENT MATRIX'!AI67-1&gt;0,'TASKS AND ROAD SEGMENT MATRIX'!AI67-1,"-")</f>
        <v>-</v>
      </c>
      <c r="W67" s="23" t="str">
        <f aca="false">IF('TASKS AND ROAD SEGMENT MATRIX'!AJ67-1&gt;0,'TASKS AND ROAD SEGMENT MATRIX'!AJ67-1,"-")</f>
        <v>-</v>
      </c>
      <c r="X67" s="23" t="n">
        <f aca="false">IF('TASKS AND ROAD SEGMENT MATRIX'!AK67-1&gt;0,'TASKS AND ROAD SEGMENT MATRIX'!AK67-1,"-")</f>
        <v>0.314975031861649</v>
      </c>
      <c r="Y67" s="23" t="str">
        <f aca="false">IF('TASKS AND ROAD SEGMENT MATRIX'!AL67-1&gt;0,'TASKS AND ROAD SEGMENT MATRIX'!AL67-1,"-")</f>
        <v>-</v>
      </c>
      <c r="Z67" s="23" t="n">
        <f aca="false">IF('TASKS AND ROAD SEGMENT MATRIX'!AM67-1&gt;0,'TASKS AND ROAD SEGMENT MATRIX'!AM67-1,"-")</f>
        <v>0.314975031861649</v>
      </c>
      <c r="AA67" s="23" t="n">
        <f aca="false">IF('TASKS AND ROAD SEGMENT MATRIX'!AN67-1&gt;0,'TASKS AND ROAD SEGMENT MATRIX'!AN67-1,"-")</f>
        <v>0.314975031861649</v>
      </c>
      <c r="AB67" s="23" t="n">
        <f aca="false">IF('TASKS AND ROAD SEGMENT MATRIX'!AO67-1&gt;0,'TASKS AND ROAD SEGMENT MATRIX'!AO67-1,"-")</f>
        <v>0.314975031861649</v>
      </c>
      <c r="AC67" s="23" t="n">
        <f aca="false">IF('TASKS AND ROAD SEGMENT MATRIX'!AP67-1&gt;0,'TASKS AND ROAD SEGMENT MATRIX'!AP67-1,"-")</f>
        <v>0.629950063723298</v>
      </c>
      <c r="AD67" s="23" t="n">
        <f aca="false">IF('TASKS AND ROAD SEGMENT MATRIX'!AQ67-1&gt;0,'TASKS AND ROAD SEGMENT MATRIX'!AQ67-1,"-")</f>
        <v>0.629950063723298</v>
      </c>
      <c r="AE67" s="23" t="n">
        <f aca="false">IF('TASKS AND ROAD SEGMENT MATRIX'!AR67-1&gt;0,'TASKS AND ROAD SEGMENT MATRIX'!AR67-1,"-")</f>
        <v>0.629950063723298</v>
      </c>
      <c r="AF67" s="23" t="n">
        <f aca="false">IF('TASKS AND ROAD SEGMENT MATRIX'!AS67-1&gt;0,'TASKS AND ROAD SEGMENT MATRIX'!AS67-1,"-")</f>
        <v>0.629950063723298</v>
      </c>
      <c r="AG67" s="23" t="n">
        <f aca="false">IF('TASKS AND ROAD SEGMENT MATRIX'!AT67-1&gt;0,'TASKS AND ROAD SEGMENT MATRIX'!AT67-1,"-")</f>
        <v>0.314975031861649</v>
      </c>
      <c r="AH67" s="23" t="str">
        <f aca="false">IF('TASKS AND ROAD SEGMENT MATRIX'!AU67-1&gt;0,'TASKS AND ROAD SEGMENT MATRIX'!AU67-1,"-")</f>
        <v>-</v>
      </c>
      <c r="AI67" s="23" t="str">
        <f aca="false">IF('TASKS AND ROAD SEGMENT MATRIX'!AV67-1&gt;0,'TASKS AND ROAD SEGMENT MATRIX'!AV67-1,"-")</f>
        <v>-</v>
      </c>
      <c r="AJ67" s="23" t="str">
        <f aca="false">IF('TASKS AND ROAD SEGMENT MATRIX'!AW67-1&gt;0,'TASKS AND ROAD SEGMENT MATRIX'!AW67-1,"-")</f>
        <v>-</v>
      </c>
      <c r="AK67" s="23" t="str">
        <f aca="false">IF('TASKS AND ROAD SEGMENT MATRIX'!AX67-1&gt;0,'TASKS AND ROAD SEGMENT MATRIX'!AX67-1,"-")</f>
        <v>-</v>
      </c>
      <c r="AL67" s="23" t="str">
        <f aca="false">IF('TASKS AND ROAD SEGMENT MATRIX'!AY67-1&gt;0,'TASKS AND ROAD SEGMENT MATRIX'!AY67-1,"-")</f>
        <v>-</v>
      </c>
      <c r="AM67" s="23" t="str">
        <f aca="false">IF('TASKS AND ROAD SEGMENT MATRIX'!AZ67-1&gt;0,'TASKS AND ROAD SEGMENT MATRIX'!AZ67-1,"-")</f>
        <v>-</v>
      </c>
      <c r="AN67" s="23" t="str">
        <f aca="false">IF('TASKS AND ROAD SEGMENT MATRIX'!BA67-1&gt;0,'TASKS AND ROAD SEGMENT MATRIX'!BA67-1,"-")</f>
        <v>-</v>
      </c>
      <c r="AO67" s="23" t="n">
        <f aca="false">IF('TASKS AND ROAD SEGMENT MATRIX'!BB67-1&gt;0,'TASKS AND ROAD SEGMENT MATRIX'!BB67-1,"-")</f>
        <v>0.314975031861649</v>
      </c>
      <c r="AP67" s="23" t="n">
        <f aca="false">IF('TASKS AND ROAD SEGMENT MATRIX'!BC67-1&gt;0,'TASKS AND ROAD SEGMENT MATRIX'!BC67-1,"-")</f>
        <v>0.314975031861649</v>
      </c>
      <c r="AQ67" s="23" t="str">
        <f aca="false">IF('TASKS AND ROAD SEGMENT MATRIX'!BD67-1&gt;0,'TASKS AND ROAD SEGMENT MATRIX'!BD67-1,"-")</f>
        <v>-</v>
      </c>
      <c r="AR67" s="23" t="str">
        <f aca="false">IF('TASKS AND ROAD SEGMENT MATRIX'!BE67-1&gt;0,'TASKS AND ROAD SEGMENT MATRIX'!BE67-1,"-")</f>
        <v>-</v>
      </c>
      <c r="AS67" s="23" t="str">
        <f aca="false">IF('TASKS AND ROAD SEGMENT MATRIX'!BF67-1&gt;0,'TASKS AND ROAD SEGMENT MATRIX'!BF67-1,"-")</f>
        <v>-</v>
      </c>
      <c r="AT67" s="23" t="str">
        <f aca="false">IF('TASKS AND ROAD SEGMENT MATRIX'!BG67-1&gt;0,'TASKS AND ROAD SEGMENT MATRIX'!BG67-1,"-")</f>
        <v>-</v>
      </c>
      <c r="AU67" s="23" t="n">
        <f aca="false">IF('TASKS AND ROAD SEGMENT MATRIX'!BH67-1&gt;0,'TASKS AND ROAD SEGMENT MATRIX'!BH67-1,"-")</f>
        <v>0.314975031861649</v>
      </c>
    </row>
    <row r="68" customFormat="false" ht="13.8" hidden="false" customHeight="false" outlineLevel="0" collapsed="false">
      <c r="A68" s="9" t="s">
        <v>78</v>
      </c>
      <c r="B68" s="0" t="s">
        <v>117</v>
      </c>
      <c r="C68" s="23" t="str">
        <f aca="false">IF('TASKS AND ROAD SEGMENT MATRIX'!P68-1&gt;0,'TASKS AND ROAD SEGMENT MATRIX'!P68-1,"-")</f>
        <v>-</v>
      </c>
      <c r="D68" s="23" t="str">
        <f aca="false">IF('TASKS AND ROAD SEGMENT MATRIX'!Q68-1&gt;0,'TASKS AND ROAD SEGMENT MATRIX'!Q68-1,"-")</f>
        <v>-</v>
      </c>
      <c r="E68" s="23" t="str">
        <f aca="false">IF('TASKS AND ROAD SEGMENT MATRIX'!R68-1&gt;0,'TASKS AND ROAD SEGMENT MATRIX'!R68-1,"-")</f>
        <v>-</v>
      </c>
      <c r="F68" s="23" t="str">
        <f aca="false">IF('TASKS AND ROAD SEGMENT MATRIX'!S68-1&gt;0,'TASKS AND ROAD SEGMENT MATRIX'!S68-1,"-")</f>
        <v>-</v>
      </c>
      <c r="G68" s="23" t="str">
        <f aca="false">IF('TASKS AND ROAD SEGMENT MATRIX'!T68-1&gt;0,'TASKS AND ROAD SEGMENT MATRIX'!T68-1,"-")</f>
        <v>-</v>
      </c>
      <c r="H68" s="23" t="str">
        <f aca="false">IF('TASKS AND ROAD SEGMENT MATRIX'!U68-1&gt;0,'TASKS AND ROAD SEGMENT MATRIX'!U68-1,"-")</f>
        <v>-</v>
      </c>
      <c r="I68" s="23" t="str">
        <f aca="false">IF('TASKS AND ROAD SEGMENT MATRIX'!V68-1&gt;0,'TASKS AND ROAD SEGMENT MATRIX'!V68-1,"-")</f>
        <v>-</v>
      </c>
      <c r="J68" s="23" t="str">
        <f aca="false">IF('TASKS AND ROAD SEGMENT MATRIX'!W68-1&gt;0,'TASKS AND ROAD SEGMENT MATRIX'!W68-1,"-")</f>
        <v>-</v>
      </c>
      <c r="K68" s="23" t="str">
        <f aca="false">IF('TASKS AND ROAD SEGMENT MATRIX'!X68-1&gt;0,'TASKS AND ROAD SEGMENT MATRIX'!X68-1,"-")</f>
        <v>-</v>
      </c>
      <c r="L68" s="23" t="str">
        <f aca="false">IF('TASKS AND ROAD SEGMENT MATRIX'!Y68-1&gt;0,'TASKS AND ROAD SEGMENT MATRIX'!Y68-1,"-")</f>
        <v>-</v>
      </c>
      <c r="M68" s="23" t="str">
        <f aca="false">IF('TASKS AND ROAD SEGMENT MATRIX'!Z68-1&gt;0,'TASKS AND ROAD SEGMENT MATRIX'!Z68-1,"-")</f>
        <v>-</v>
      </c>
      <c r="N68" s="23" t="str">
        <f aca="false">IF('TASKS AND ROAD SEGMENT MATRIX'!AA68-1&gt;0,'TASKS AND ROAD SEGMENT MATRIX'!AA68-1,"-")</f>
        <v>-</v>
      </c>
      <c r="O68" s="23" t="str">
        <f aca="false">IF('TASKS AND ROAD SEGMENT MATRIX'!AB68-1&gt;0,'TASKS AND ROAD SEGMENT MATRIX'!AB68-1,"-")</f>
        <v>-</v>
      </c>
      <c r="P68" s="23" t="n">
        <f aca="false">IF('TASKS AND ROAD SEGMENT MATRIX'!AC68-1&gt;0,'TASKS AND ROAD SEGMENT MATRIX'!AC68-1,"-")</f>
        <v>0.262479193218041</v>
      </c>
      <c r="Q68" s="23" t="n">
        <f aca="false">IF('TASKS AND ROAD SEGMENT MATRIX'!AD68-1&gt;0,'TASKS AND ROAD SEGMENT MATRIX'!AD68-1,"-")</f>
        <v>0.262479193218041</v>
      </c>
      <c r="R68" s="23" t="n">
        <f aca="false">IF('TASKS AND ROAD SEGMENT MATRIX'!AE68-1&gt;0,'TASKS AND ROAD SEGMENT MATRIX'!AE68-1,"-")</f>
        <v>0.524958386436081</v>
      </c>
      <c r="S68" s="23" t="n">
        <f aca="false">IF('TASKS AND ROAD SEGMENT MATRIX'!AF68-1&gt;0,'TASKS AND ROAD SEGMENT MATRIX'!AF68-1,"-")</f>
        <v>0.262479193218041</v>
      </c>
      <c r="T68" s="23" t="str">
        <f aca="false">IF('TASKS AND ROAD SEGMENT MATRIX'!AG68-1&gt;0,'TASKS AND ROAD SEGMENT MATRIX'!AG68-1,"-")</f>
        <v>-</v>
      </c>
      <c r="U68" s="23" t="str">
        <f aca="false">IF('TASKS AND ROAD SEGMENT MATRIX'!AH68-1&gt;0,'TASKS AND ROAD SEGMENT MATRIX'!AH68-1,"-")</f>
        <v>-</v>
      </c>
      <c r="V68" s="23" t="str">
        <f aca="false">IF('TASKS AND ROAD SEGMENT MATRIX'!AI68-1&gt;0,'TASKS AND ROAD SEGMENT MATRIX'!AI68-1,"-")</f>
        <v>-</v>
      </c>
      <c r="W68" s="23" t="str">
        <f aca="false">IF('TASKS AND ROAD SEGMENT MATRIX'!AJ68-1&gt;0,'TASKS AND ROAD SEGMENT MATRIX'!AJ68-1,"-")</f>
        <v>-</v>
      </c>
      <c r="X68" s="23" t="n">
        <f aca="false">IF('TASKS AND ROAD SEGMENT MATRIX'!AK68-1&gt;0,'TASKS AND ROAD SEGMENT MATRIX'!AK68-1,"-")</f>
        <v>0.262479193218041</v>
      </c>
      <c r="Y68" s="23" t="str">
        <f aca="false">IF('TASKS AND ROAD SEGMENT MATRIX'!AL68-1&gt;0,'TASKS AND ROAD SEGMENT MATRIX'!AL68-1,"-")</f>
        <v>-</v>
      </c>
      <c r="Z68" s="23" t="n">
        <f aca="false">IF('TASKS AND ROAD SEGMENT MATRIX'!AM68-1&gt;0,'TASKS AND ROAD SEGMENT MATRIX'!AM68-1,"-")</f>
        <v>0.262479193218041</v>
      </c>
      <c r="AA68" s="23" t="n">
        <f aca="false">IF('TASKS AND ROAD SEGMENT MATRIX'!AN68-1&gt;0,'TASKS AND ROAD SEGMENT MATRIX'!AN68-1,"-")</f>
        <v>0.262479193218041</v>
      </c>
      <c r="AB68" s="23" t="n">
        <f aca="false">IF('TASKS AND ROAD SEGMENT MATRIX'!AO68-1&gt;0,'TASKS AND ROAD SEGMENT MATRIX'!AO68-1,"-")</f>
        <v>0.262479193218041</v>
      </c>
      <c r="AC68" s="23" t="n">
        <f aca="false">IF('TASKS AND ROAD SEGMENT MATRIX'!AP68-1&gt;0,'TASKS AND ROAD SEGMENT MATRIX'!AP68-1,"-")</f>
        <v>0.524958386436081</v>
      </c>
      <c r="AD68" s="23" t="n">
        <f aca="false">IF('TASKS AND ROAD SEGMENT MATRIX'!AQ68-1&gt;0,'TASKS AND ROAD SEGMENT MATRIX'!AQ68-1,"-")</f>
        <v>0.262479193218041</v>
      </c>
      <c r="AE68" s="23" t="n">
        <f aca="false">IF('TASKS AND ROAD SEGMENT MATRIX'!AR68-1&gt;0,'TASKS AND ROAD SEGMENT MATRIX'!AR68-1,"-")</f>
        <v>0.524958386436081</v>
      </c>
      <c r="AF68" s="23" t="n">
        <f aca="false">IF('TASKS AND ROAD SEGMENT MATRIX'!AS68-1&gt;0,'TASKS AND ROAD SEGMENT MATRIX'!AS68-1,"-")</f>
        <v>0.524958386436081</v>
      </c>
      <c r="AG68" s="23" t="n">
        <f aca="false">IF('TASKS AND ROAD SEGMENT MATRIX'!AT68-1&gt;0,'TASKS AND ROAD SEGMENT MATRIX'!AT68-1,"-")</f>
        <v>0.262479193218041</v>
      </c>
      <c r="AH68" s="23" t="str">
        <f aca="false">IF('TASKS AND ROAD SEGMENT MATRIX'!AU68-1&gt;0,'TASKS AND ROAD SEGMENT MATRIX'!AU68-1,"-")</f>
        <v>-</v>
      </c>
      <c r="AI68" s="23" t="str">
        <f aca="false">IF('TASKS AND ROAD SEGMENT MATRIX'!AV68-1&gt;0,'TASKS AND ROAD SEGMENT MATRIX'!AV68-1,"-")</f>
        <v>-</v>
      </c>
      <c r="AJ68" s="23" t="str">
        <f aca="false">IF('TASKS AND ROAD SEGMENT MATRIX'!AW68-1&gt;0,'TASKS AND ROAD SEGMENT MATRIX'!AW68-1,"-")</f>
        <v>-</v>
      </c>
      <c r="AK68" s="23" t="str">
        <f aca="false">IF('TASKS AND ROAD SEGMENT MATRIX'!AX68-1&gt;0,'TASKS AND ROAD SEGMENT MATRIX'!AX68-1,"-")</f>
        <v>-</v>
      </c>
      <c r="AL68" s="23" t="str">
        <f aca="false">IF('TASKS AND ROAD SEGMENT MATRIX'!AY68-1&gt;0,'TASKS AND ROAD SEGMENT MATRIX'!AY68-1,"-")</f>
        <v>-</v>
      </c>
      <c r="AM68" s="23" t="str">
        <f aca="false">IF('TASKS AND ROAD SEGMENT MATRIX'!AZ68-1&gt;0,'TASKS AND ROAD SEGMENT MATRIX'!AZ68-1,"-")</f>
        <v>-</v>
      </c>
      <c r="AN68" s="23" t="str">
        <f aca="false">IF('TASKS AND ROAD SEGMENT MATRIX'!BA68-1&gt;0,'TASKS AND ROAD SEGMENT MATRIX'!BA68-1,"-")</f>
        <v>-</v>
      </c>
      <c r="AO68" s="23" t="n">
        <f aca="false">IF('TASKS AND ROAD SEGMENT MATRIX'!BB68-1&gt;0,'TASKS AND ROAD SEGMENT MATRIX'!BB68-1,"-")</f>
        <v>0.262479193218041</v>
      </c>
      <c r="AP68" s="23" t="n">
        <f aca="false">IF('TASKS AND ROAD SEGMENT MATRIX'!BC68-1&gt;0,'TASKS AND ROAD SEGMENT MATRIX'!BC68-1,"-")</f>
        <v>0.262479193218041</v>
      </c>
      <c r="AQ68" s="23" t="str">
        <f aca="false">IF('TASKS AND ROAD SEGMENT MATRIX'!BD68-1&gt;0,'TASKS AND ROAD SEGMENT MATRIX'!BD68-1,"-")</f>
        <v>-</v>
      </c>
      <c r="AR68" s="23" t="str">
        <f aca="false">IF('TASKS AND ROAD SEGMENT MATRIX'!BE68-1&gt;0,'TASKS AND ROAD SEGMENT MATRIX'!BE68-1,"-")</f>
        <v>-</v>
      </c>
      <c r="AS68" s="23" t="str">
        <f aca="false">IF('TASKS AND ROAD SEGMENT MATRIX'!BF68-1&gt;0,'TASKS AND ROAD SEGMENT MATRIX'!BF68-1,"-")</f>
        <v>-</v>
      </c>
      <c r="AT68" s="23" t="str">
        <f aca="false">IF('TASKS AND ROAD SEGMENT MATRIX'!BG68-1&gt;0,'TASKS AND ROAD SEGMENT MATRIX'!BG68-1,"-")</f>
        <v>-</v>
      </c>
      <c r="AU68" s="23" t="n">
        <f aca="false">IF('TASKS AND ROAD SEGMENT MATRIX'!BH68-1&gt;0,'TASKS AND ROAD SEGMENT MATRIX'!BH68-1,"-")</f>
        <v>0.262479193218041</v>
      </c>
    </row>
    <row r="69" customFormat="false" ht="13.8" hidden="false" customHeight="false" outlineLevel="0" collapsed="false">
      <c r="A69" s="9" t="s">
        <v>78</v>
      </c>
      <c r="B69" s="0" t="s">
        <v>119</v>
      </c>
      <c r="C69" s="23" t="str">
        <f aca="false">IF('TASKS AND ROAD SEGMENT MATRIX'!P69-1&gt;0,'TASKS AND ROAD SEGMENT MATRIX'!P69-1,"-")</f>
        <v>-</v>
      </c>
      <c r="D69" s="23" t="str">
        <f aca="false">IF('TASKS AND ROAD SEGMENT MATRIX'!Q69-1&gt;0,'TASKS AND ROAD SEGMENT MATRIX'!Q69-1,"-")</f>
        <v>-</v>
      </c>
      <c r="E69" s="23" t="str">
        <f aca="false">IF('TASKS AND ROAD SEGMENT MATRIX'!R69-1&gt;0,'TASKS AND ROAD SEGMENT MATRIX'!R69-1,"-")</f>
        <v>-</v>
      </c>
      <c r="F69" s="23" t="str">
        <f aca="false">IF('TASKS AND ROAD SEGMENT MATRIX'!S69-1&gt;0,'TASKS AND ROAD SEGMENT MATRIX'!S69-1,"-")</f>
        <v>-</v>
      </c>
      <c r="G69" s="23" t="str">
        <f aca="false">IF('TASKS AND ROAD SEGMENT MATRIX'!T69-1&gt;0,'TASKS AND ROAD SEGMENT MATRIX'!T69-1,"-")</f>
        <v>-</v>
      </c>
      <c r="H69" s="23" t="str">
        <f aca="false">IF('TASKS AND ROAD SEGMENT MATRIX'!U69-1&gt;0,'TASKS AND ROAD SEGMENT MATRIX'!U69-1,"-")</f>
        <v>-</v>
      </c>
      <c r="I69" s="23" t="str">
        <f aca="false">IF('TASKS AND ROAD SEGMENT MATRIX'!V69-1&gt;0,'TASKS AND ROAD SEGMENT MATRIX'!V69-1,"-")</f>
        <v>-</v>
      </c>
      <c r="J69" s="23" t="str">
        <f aca="false">IF('TASKS AND ROAD SEGMENT MATRIX'!W69-1&gt;0,'TASKS AND ROAD SEGMENT MATRIX'!W69-1,"-")</f>
        <v>-</v>
      </c>
      <c r="K69" s="23" t="str">
        <f aca="false">IF('TASKS AND ROAD SEGMENT MATRIX'!X69-1&gt;0,'TASKS AND ROAD SEGMENT MATRIX'!X69-1,"-")</f>
        <v>-</v>
      </c>
      <c r="L69" s="23" t="str">
        <f aca="false">IF('TASKS AND ROAD SEGMENT MATRIX'!Y69-1&gt;0,'TASKS AND ROAD SEGMENT MATRIX'!Y69-1,"-")</f>
        <v>-</v>
      </c>
      <c r="M69" s="23" t="str">
        <f aca="false">IF('TASKS AND ROAD SEGMENT MATRIX'!Z69-1&gt;0,'TASKS AND ROAD SEGMENT MATRIX'!Z69-1,"-")</f>
        <v>-</v>
      </c>
      <c r="N69" s="23" t="str">
        <f aca="false">IF('TASKS AND ROAD SEGMENT MATRIX'!AA69-1&gt;0,'TASKS AND ROAD SEGMENT MATRIX'!AA69-1,"-")</f>
        <v>-</v>
      </c>
      <c r="O69" s="23" t="str">
        <f aca="false">IF('TASKS AND ROAD SEGMENT MATRIX'!AB69-1&gt;0,'TASKS AND ROAD SEGMENT MATRIX'!AB69-1,"-")</f>
        <v>-</v>
      </c>
      <c r="P69" s="23" t="n">
        <f aca="false">IF('TASKS AND ROAD SEGMENT MATRIX'!AC69-1&gt;0,'TASKS AND ROAD SEGMENT MATRIX'!AC69-1,"-")</f>
        <v>0.314975031861649</v>
      </c>
      <c r="Q69" s="23" t="n">
        <f aca="false">IF('TASKS AND ROAD SEGMENT MATRIX'!AD69-1&gt;0,'TASKS AND ROAD SEGMENT MATRIX'!AD69-1,"-")</f>
        <v>0.314975031861649</v>
      </c>
      <c r="R69" s="23" t="n">
        <f aca="false">IF('TASKS AND ROAD SEGMENT MATRIX'!AE69-1&gt;0,'TASKS AND ROAD SEGMENT MATRIX'!AE69-1,"-")</f>
        <v>0.629950063723298</v>
      </c>
      <c r="S69" s="23" t="n">
        <f aca="false">IF('TASKS AND ROAD SEGMENT MATRIX'!AF69-1&gt;0,'TASKS AND ROAD SEGMENT MATRIX'!AF69-1,"-")</f>
        <v>0.314975031861649</v>
      </c>
      <c r="T69" s="23" t="str">
        <f aca="false">IF('TASKS AND ROAD SEGMENT MATRIX'!AG69-1&gt;0,'TASKS AND ROAD SEGMENT MATRIX'!AG69-1,"-")</f>
        <v>-</v>
      </c>
      <c r="U69" s="23" t="str">
        <f aca="false">IF('TASKS AND ROAD SEGMENT MATRIX'!AH69-1&gt;0,'TASKS AND ROAD SEGMENT MATRIX'!AH69-1,"-")</f>
        <v>-</v>
      </c>
      <c r="V69" s="23" t="str">
        <f aca="false">IF('TASKS AND ROAD SEGMENT MATRIX'!AI69-1&gt;0,'TASKS AND ROAD SEGMENT MATRIX'!AI69-1,"-")</f>
        <v>-</v>
      </c>
      <c r="W69" s="23" t="str">
        <f aca="false">IF('TASKS AND ROAD SEGMENT MATRIX'!AJ69-1&gt;0,'TASKS AND ROAD SEGMENT MATRIX'!AJ69-1,"-")</f>
        <v>-</v>
      </c>
      <c r="X69" s="23" t="n">
        <f aca="false">IF('TASKS AND ROAD SEGMENT MATRIX'!AK69-1&gt;0,'TASKS AND ROAD SEGMENT MATRIX'!AK69-1,"-")</f>
        <v>0.314975031861649</v>
      </c>
      <c r="Y69" s="23" t="str">
        <f aca="false">IF('TASKS AND ROAD SEGMENT MATRIX'!AL69-1&gt;0,'TASKS AND ROAD SEGMENT MATRIX'!AL69-1,"-")</f>
        <v>-</v>
      </c>
      <c r="Z69" s="23" t="n">
        <f aca="false">IF('TASKS AND ROAD SEGMENT MATRIX'!AM69-1&gt;0,'TASKS AND ROAD SEGMENT MATRIX'!AM69-1,"-")</f>
        <v>0.314975031861649</v>
      </c>
      <c r="AA69" s="23" t="n">
        <f aca="false">IF('TASKS AND ROAD SEGMENT MATRIX'!AN69-1&gt;0,'TASKS AND ROAD SEGMENT MATRIX'!AN69-1,"-")</f>
        <v>0.314975031861649</v>
      </c>
      <c r="AB69" s="23" t="n">
        <f aca="false">IF('TASKS AND ROAD SEGMENT MATRIX'!AO69-1&gt;0,'TASKS AND ROAD SEGMENT MATRIX'!AO69-1,"-")</f>
        <v>0.314975031861649</v>
      </c>
      <c r="AC69" s="23" t="n">
        <f aca="false">IF('TASKS AND ROAD SEGMENT MATRIX'!AP69-1&gt;0,'TASKS AND ROAD SEGMENT MATRIX'!AP69-1,"-")</f>
        <v>0.629950063723298</v>
      </c>
      <c r="AD69" s="23" t="n">
        <f aca="false">IF('TASKS AND ROAD SEGMENT MATRIX'!AQ69-1&gt;0,'TASKS AND ROAD SEGMENT MATRIX'!AQ69-1,"-")</f>
        <v>0.629950063723298</v>
      </c>
      <c r="AE69" s="23" t="n">
        <f aca="false">IF('TASKS AND ROAD SEGMENT MATRIX'!AR69-1&gt;0,'TASKS AND ROAD SEGMENT MATRIX'!AR69-1,"-")</f>
        <v>0.629950063723298</v>
      </c>
      <c r="AF69" s="23" t="n">
        <f aca="false">IF('TASKS AND ROAD SEGMENT MATRIX'!AS69-1&gt;0,'TASKS AND ROAD SEGMENT MATRIX'!AS69-1,"-")</f>
        <v>0.629950063723298</v>
      </c>
      <c r="AG69" s="23" t="n">
        <f aca="false">IF('TASKS AND ROAD SEGMENT MATRIX'!AT69-1&gt;0,'TASKS AND ROAD SEGMENT MATRIX'!AT69-1,"-")</f>
        <v>0.314975031861649</v>
      </c>
      <c r="AH69" s="23" t="str">
        <f aca="false">IF('TASKS AND ROAD SEGMENT MATRIX'!AU69-1&gt;0,'TASKS AND ROAD SEGMENT MATRIX'!AU69-1,"-")</f>
        <v>-</v>
      </c>
      <c r="AI69" s="23" t="str">
        <f aca="false">IF('TASKS AND ROAD SEGMENT MATRIX'!AV69-1&gt;0,'TASKS AND ROAD SEGMENT MATRIX'!AV69-1,"-")</f>
        <v>-</v>
      </c>
      <c r="AJ69" s="23" t="str">
        <f aca="false">IF('TASKS AND ROAD SEGMENT MATRIX'!AW69-1&gt;0,'TASKS AND ROAD SEGMENT MATRIX'!AW69-1,"-")</f>
        <v>-</v>
      </c>
      <c r="AK69" s="23" t="str">
        <f aca="false">IF('TASKS AND ROAD SEGMENT MATRIX'!AX69-1&gt;0,'TASKS AND ROAD SEGMENT MATRIX'!AX69-1,"-")</f>
        <v>-</v>
      </c>
      <c r="AL69" s="23" t="str">
        <f aca="false">IF('TASKS AND ROAD SEGMENT MATRIX'!AY69-1&gt;0,'TASKS AND ROAD SEGMENT MATRIX'!AY69-1,"-")</f>
        <v>-</v>
      </c>
      <c r="AM69" s="23" t="str">
        <f aca="false">IF('TASKS AND ROAD SEGMENT MATRIX'!AZ69-1&gt;0,'TASKS AND ROAD SEGMENT MATRIX'!AZ69-1,"-")</f>
        <v>-</v>
      </c>
      <c r="AN69" s="23" t="str">
        <f aca="false">IF('TASKS AND ROAD SEGMENT MATRIX'!BA69-1&gt;0,'TASKS AND ROAD SEGMENT MATRIX'!BA69-1,"-")</f>
        <v>-</v>
      </c>
      <c r="AO69" s="23" t="n">
        <f aca="false">IF('TASKS AND ROAD SEGMENT MATRIX'!BB69-1&gt;0,'TASKS AND ROAD SEGMENT MATRIX'!BB69-1,"-")</f>
        <v>0.314975031861649</v>
      </c>
      <c r="AP69" s="23" t="n">
        <f aca="false">IF('TASKS AND ROAD SEGMENT MATRIX'!BC69-1&gt;0,'TASKS AND ROAD SEGMENT MATRIX'!BC69-1,"-")</f>
        <v>0.314975031861649</v>
      </c>
      <c r="AQ69" s="23" t="str">
        <f aca="false">IF('TASKS AND ROAD SEGMENT MATRIX'!BD69-1&gt;0,'TASKS AND ROAD SEGMENT MATRIX'!BD69-1,"-")</f>
        <v>-</v>
      </c>
      <c r="AR69" s="23" t="str">
        <f aca="false">IF('TASKS AND ROAD SEGMENT MATRIX'!BE69-1&gt;0,'TASKS AND ROAD SEGMENT MATRIX'!BE69-1,"-")</f>
        <v>-</v>
      </c>
      <c r="AS69" s="23" t="str">
        <f aca="false">IF('TASKS AND ROAD SEGMENT MATRIX'!BF69-1&gt;0,'TASKS AND ROAD SEGMENT MATRIX'!BF69-1,"-")</f>
        <v>-</v>
      </c>
      <c r="AT69" s="23" t="str">
        <f aca="false">IF('TASKS AND ROAD SEGMENT MATRIX'!BG69-1&gt;0,'TASKS AND ROAD SEGMENT MATRIX'!BG69-1,"-")</f>
        <v>-</v>
      </c>
      <c r="AU69" s="23" t="n">
        <f aca="false">IF('TASKS AND ROAD SEGMENT MATRIX'!BH69-1&gt;0,'TASKS AND ROAD SEGMENT MATRIX'!BH69-1,"-")</f>
        <v>0.314975031861649</v>
      </c>
    </row>
    <row r="70" customFormat="false" ht="13.8" hidden="false" customHeight="false" outlineLevel="0" collapsed="false">
      <c r="A70" s="19" t="s">
        <v>79</v>
      </c>
      <c r="B70" s="0" t="s">
        <v>112</v>
      </c>
      <c r="C70" s="23" t="str">
        <f aca="false">IF('TASKS AND ROAD SEGMENT MATRIX'!P70-1&gt;0,'TASKS AND ROAD SEGMENT MATRIX'!P70-1,"-")</f>
        <v>-</v>
      </c>
      <c r="D70" s="23" t="str">
        <f aca="false">IF('TASKS AND ROAD SEGMENT MATRIX'!Q70-1&gt;0,'TASKS AND ROAD SEGMENT MATRIX'!Q70-1,"-")</f>
        <v>-</v>
      </c>
      <c r="E70" s="23" t="str">
        <f aca="false">IF('TASKS AND ROAD SEGMENT MATRIX'!R70-1&gt;0,'TASKS AND ROAD SEGMENT MATRIX'!R70-1,"-")</f>
        <v>-</v>
      </c>
      <c r="F70" s="23" t="str">
        <f aca="false">IF('TASKS AND ROAD SEGMENT MATRIX'!S70-1&gt;0,'TASKS AND ROAD SEGMENT MATRIX'!S70-1,"-")</f>
        <v>-</v>
      </c>
      <c r="G70" s="23" t="str">
        <f aca="false">IF('TASKS AND ROAD SEGMENT MATRIX'!T70-1&gt;0,'TASKS AND ROAD SEGMENT MATRIX'!T70-1,"-")</f>
        <v>-</v>
      </c>
      <c r="H70" s="23" t="str">
        <f aca="false">IF('TASKS AND ROAD SEGMENT MATRIX'!U70-1&gt;0,'TASKS AND ROAD SEGMENT MATRIX'!U70-1,"-")</f>
        <v>-</v>
      </c>
      <c r="I70" s="23" t="str">
        <f aca="false">IF('TASKS AND ROAD SEGMENT MATRIX'!V70-1&gt;0,'TASKS AND ROAD SEGMENT MATRIX'!V70-1,"-")</f>
        <v>-</v>
      </c>
      <c r="J70" s="23" t="str">
        <f aca="false">IF('TASKS AND ROAD SEGMENT MATRIX'!W70-1&gt;0,'TASKS AND ROAD SEGMENT MATRIX'!W70-1,"-")</f>
        <v>-</v>
      </c>
      <c r="K70" s="23" t="str">
        <f aca="false">IF('TASKS AND ROAD SEGMENT MATRIX'!X70-1&gt;0,'TASKS AND ROAD SEGMENT MATRIX'!X70-1,"-")</f>
        <v>-</v>
      </c>
      <c r="L70" s="23" t="str">
        <f aca="false">IF('TASKS AND ROAD SEGMENT MATRIX'!Y70-1&gt;0,'TASKS AND ROAD SEGMENT MATRIX'!Y70-1,"-")</f>
        <v>-</v>
      </c>
      <c r="M70" s="23" t="str">
        <f aca="false">IF('TASKS AND ROAD SEGMENT MATRIX'!Z70-1&gt;0,'TASKS AND ROAD SEGMENT MATRIX'!Z70-1,"-")</f>
        <v>-</v>
      </c>
      <c r="N70" s="23" t="str">
        <f aca="false">IF('TASKS AND ROAD SEGMENT MATRIX'!AA70-1&gt;0,'TASKS AND ROAD SEGMENT MATRIX'!AA70-1,"-")</f>
        <v>-</v>
      </c>
      <c r="O70" s="23" t="n">
        <f aca="false">IF('TASKS AND ROAD SEGMENT MATRIX'!AB70-1&gt;0,'TASKS AND ROAD SEGMENT MATRIX'!AB70-1,"-")</f>
        <v>0.32997384290268</v>
      </c>
      <c r="P70" s="23" t="n">
        <f aca="false">IF('TASKS AND ROAD SEGMENT MATRIX'!AC70-1&gt;0,'TASKS AND ROAD SEGMENT MATRIX'!AC70-1,"-")</f>
        <v>0.659947685805359</v>
      </c>
      <c r="Q70" s="23" t="str">
        <f aca="false">IF('TASKS AND ROAD SEGMENT MATRIX'!AD70-1&gt;0,'TASKS AND ROAD SEGMENT MATRIX'!AD70-1,"-")</f>
        <v>-</v>
      </c>
      <c r="R70" s="23" t="n">
        <f aca="false">IF('TASKS AND ROAD SEGMENT MATRIX'!AE70-1&gt;0,'TASKS AND ROAD SEGMENT MATRIX'!AE70-1,"-")</f>
        <v>0.32997384290268</v>
      </c>
      <c r="S70" s="23" t="n">
        <f aca="false">IF('TASKS AND ROAD SEGMENT MATRIX'!AF70-1&gt;0,'TASKS AND ROAD SEGMENT MATRIX'!AF70-1,"-")</f>
        <v>0.32997384290268</v>
      </c>
      <c r="T70" s="23" t="str">
        <f aca="false">IF('TASKS AND ROAD SEGMENT MATRIX'!AG70-1&gt;0,'TASKS AND ROAD SEGMENT MATRIX'!AG70-1,"-")</f>
        <v>-</v>
      </c>
      <c r="U70" s="23" t="str">
        <f aca="false">IF('TASKS AND ROAD SEGMENT MATRIX'!AH70-1&gt;0,'TASKS AND ROAD SEGMENT MATRIX'!AH70-1,"-")</f>
        <v>-</v>
      </c>
      <c r="V70" s="23" t="str">
        <f aca="false">IF('TASKS AND ROAD SEGMENT MATRIX'!AI70-1&gt;0,'TASKS AND ROAD SEGMENT MATRIX'!AI70-1,"-")</f>
        <v>-</v>
      </c>
      <c r="W70" s="23" t="str">
        <f aca="false">IF('TASKS AND ROAD SEGMENT MATRIX'!AJ70-1&gt;0,'TASKS AND ROAD SEGMENT MATRIX'!AJ70-1,"-")</f>
        <v>-</v>
      </c>
      <c r="X70" s="23" t="n">
        <f aca="false">IF('TASKS AND ROAD SEGMENT MATRIX'!AK70-1&gt;0,'TASKS AND ROAD SEGMENT MATRIX'!AK70-1,"-")</f>
        <v>0.32997384290268</v>
      </c>
      <c r="Y70" s="23" t="str">
        <f aca="false">IF('TASKS AND ROAD SEGMENT MATRIX'!AL70-1&gt;0,'TASKS AND ROAD SEGMENT MATRIX'!AL70-1,"-")</f>
        <v>-</v>
      </c>
      <c r="Z70" s="23" t="n">
        <f aca="false">IF('TASKS AND ROAD SEGMENT MATRIX'!AM70-1&gt;0,'TASKS AND ROAD SEGMENT MATRIX'!AM70-1,"-")</f>
        <v>0.32997384290268</v>
      </c>
      <c r="AA70" s="23" t="n">
        <f aca="false">IF('TASKS AND ROAD SEGMENT MATRIX'!AN70-1&gt;0,'TASKS AND ROAD SEGMENT MATRIX'!AN70-1,"-")</f>
        <v>0.32997384290268</v>
      </c>
      <c r="AB70" s="23" t="n">
        <f aca="false">IF('TASKS AND ROAD SEGMENT MATRIX'!AO70-1&gt;0,'TASKS AND ROAD SEGMENT MATRIX'!AO70-1,"-")</f>
        <v>0.32997384290268</v>
      </c>
      <c r="AC70" s="23" t="n">
        <f aca="false">IF('TASKS AND ROAD SEGMENT MATRIX'!AP70-1&gt;0,'TASKS AND ROAD SEGMENT MATRIX'!AP70-1,"-")</f>
        <v>0.659947685805359</v>
      </c>
      <c r="AD70" s="23" t="n">
        <f aca="false">IF('TASKS AND ROAD SEGMENT MATRIX'!AQ70-1&gt;0,'TASKS AND ROAD SEGMENT MATRIX'!AQ70-1,"-")</f>
        <v>0.659947685805359</v>
      </c>
      <c r="AE70" s="23" t="str">
        <f aca="false">IF('TASKS AND ROAD SEGMENT MATRIX'!AR70-1&gt;0,'TASKS AND ROAD SEGMENT MATRIX'!AR70-1,"-")</f>
        <v>-</v>
      </c>
      <c r="AF70" s="23" t="n">
        <f aca="false">IF('TASKS AND ROAD SEGMENT MATRIX'!AS70-1&gt;0,'TASKS AND ROAD SEGMENT MATRIX'!AS70-1,"-")</f>
        <v>0.659947685805359</v>
      </c>
      <c r="AG70" s="23" t="n">
        <f aca="false">IF('TASKS AND ROAD SEGMENT MATRIX'!AT70-1&gt;0,'TASKS AND ROAD SEGMENT MATRIX'!AT70-1,"-")</f>
        <v>0.32997384290268</v>
      </c>
      <c r="AH70" s="23" t="str">
        <f aca="false">IF('TASKS AND ROAD SEGMENT MATRIX'!AU70-1&gt;0,'TASKS AND ROAD SEGMENT MATRIX'!AU70-1,"-")</f>
        <v>-</v>
      </c>
      <c r="AI70" s="23" t="str">
        <f aca="false">IF('TASKS AND ROAD SEGMENT MATRIX'!AV70-1&gt;0,'TASKS AND ROAD SEGMENT MATRIX'!AV70-1,"-")</f>
        <v>-</v>
      </c>
      <c r="AJ70" s="23" t="str">
        <f aca="false">IF('TASKS AND ROAD SEGMENT MATRIX'!AW70-1&gt;0,'TASKS AND ROAD SEGMENT MATRIX'!AW70-1,"-")</f>
        <v>-</v>
      </c>
      <c r="AK70" s="23" t="str">
        <f aca="false">IF('TASKS AND ROAD SEGMENT MATRIX'!AX70-1&gt;0,'TASKS AND ROAD SEGMENT MATRIX'!AX70-1,"-")</f>
        <v>-</v>
      </c>
      <c r="AL70" s="23" t="str">
        <f aca="false">IF('TASKS AND ROAD SEGMENT MATRIX'!AY70-1&gt;0,'TASKS AND ROAD SEGMENT MATRIX'!AY70-1,"-")</f>
        <v>-</v>
      </c>
      <c r="AM70" s="23" t="n">
        <f aca="false">IF('TASKS AND ROAD SEGMENT MATRIX'!AZ70-1&gt;0,'TASKS AND ROAD SEGMENT MATRIX'!AZ70-1,"-")</f>
        <v>0.32997384290268</v>
      </c>
      <c r="AN70" s="23" t="n">
        <f aca="false">IF('TASKS AND ROAD SEGMENT MATRIX'!BA70-1&gt;0,'TASKS AND ROAD SEGMENT MATRIX'!BA70-1,"-")</f>
        <v>0.32997384290268</v>
      </c>
      <c r="AO70" s="23" t="str">
        <f aca="false">IF('TASKS AND ROAD SEGMENT MATRIX'!BB70-1&gt;0,'TASKS AND ROAD SEGMENT MATRIX'!BB70-1,"-")</f>
        <v>-</v>
      </c>
      <c r="AP70" s="23" t="str">
        <f aca="false">IF('TASKS AND ROAD SEGMENT MATRIX'!BC70-1&gt;0,'TASKS AND ROAD SEGMENT MATRIX'!BC70-1,"-")</f>
        <v>-</v>
      </c>
      <c r="AQ70" s="23" t="str">
        <f aca="false">IF('TASKS AND ROAD SEGMENT MATRIX'!BD70-1&gt;0,'TASKS AND ROAD SEGMENT MATRIX'!BD70-1,"-")</f>
        <v>-</v>
      </c>
      <c r="AR70" s="23" t="str">
        <f aca="false">IF('TASKS AND ROAD SEGMENT MATRIX'!BE70-1&gt;0,'TASKS AND ROAD SEGMENT MATRIX'!BE70-1,"-")</f>
        <v>-</v>
      </c>
      <c r="AS70" s="23" t="str">
        <f aca="false">IF('TASKS AND ROAD SEGMENT MATRIX'!BF70-1&gt;0,'TASKS AND ROAD SEGMENT MATRIX'!BF70-1,"-")</f>
        <v>-</v>
      </c>
      <c r="AT70" s="23" t="str">
        <f aca="false">IF('TASKS AND ROAD SEGMENT MATRIX'!BG70-1&gt;0,'TASKS AND ROAD SEGMENT MATRIX'!BG70-1,"-")</f>
        <v>-</v>
      </c>
      <c r="AU70" s="23" t="n">
        <f aca="false">IF('TASKS AND ROAD SEGMENT MATRIX'!BH70-1&gt;0,'TASKS AND ROAD SEGMENT MATRIX'!BH70-1,"-")</f>
        <v>0.32997384290268</v>
      </c>
    </row>
    <row r="71" customFormat="false" ht="13.8" hidden="false" customHeight="false" outlineLevel="0" collapsed="false">
      <c r="A71" s="19" t="s">
        <v>79</v>
      </c>
      <c r="B71" s="0" t="s">
        <v>115</v>
      </c>
      <c r="C71" s="23" t="str">
        <f aca="false">IF('TASKS AND ROAD SEGMENT MATRIX'!P71-1&gt;0,'TASKS AND ROAD SEGMENT MATRIX'!P71-1,"-")</f>
        <v>-</v>
      </c>
      <c r="D71" s="23" t="str">
        <f aca="false">IF('TASKS AND ROAD SEGMENT MATRIX'!Q71-1&gt;0,'TASKS AND ROAD SEGMENT MATRIX'!Q71-1,"-")</f>
        <v>-</v>
      </c>
      <c r="E71" s="23" t="str">
        <f aca="false">IF('TASKS AND ROAD SEGMENT MATRIX'!R71-1&gt;0,'TASKS AND ROAD SEGMENT MATRIX'!R71-1,"-")</f>
        <v>-</v>
      </c>
      <c r="F71" s="23" t="str">
        <f aca="false">IF('TASKS AND ROAD SEGMENT MATRIX'!S71-1&gt;0,'TASKS AND ROAD SEGMENT MATRIX'!S71-1,"-")</f>
        <v>-</v>
      </c>
      <c r="G71" s="23" t="str">
        <f aca="false">IF('TASKS AND ROAD SEGMENT MATRIX'!T71-1&gt;0,'TASKS AND ROAD SEGMENT MATRIX'!T71-1,"-")</f>
        <v>-</v>
      </c>
      <c r="H71" s="23" t="str">
        <f aca="false">IF('TASKS AND ROAD SEGMENT MATRIX'!U71-1&gt;0,'TASKS AND ROAD SEGMENT MATRIX'!U71-1,"-")</f>
        <v>-</v>
      </c>
      <c r="I71" s="23" t="str">
        <f aca="false">IF('TASKS AND ROAD SEGMENT MATRIX'!V71-1&gt;0,'TASKS AND ROAD SEGMENT MATRIX'!V71-1,"-")</f>
        <v>-</v>
      </c>
      <c r="J71" s="23" t="str">
        <f aca="false">IF('TASKS AND ROAD SEGMENT MATRIX'!W71-1&gt;0,'TASKS AND ROAD SEGMENT MATRIX'!W71-1,"-")</f>
        <v>-</v>
      </c>
      <c r="K71" s="23" t="str">
        <f aca="false">IF('TASKS AND ROAD SEGMENT MATRIX'!X71-1&gt;0,'TASKS AND ROAD SEGMENT MATRIX'!X71-1,"-")</f>
        <v>-</v>
      </c>
      <c r="L71" s="23" t="str">
        <f aca="false">IF('TASKS AND ROAD SEGMENT MATRIX'!Y71-1&gt;0,'TASKS AND ROAD SEGMENT MATRIX'!Y71-1,"-")</f>
        <v>-</v>
      </c>
      <c r="M71" s="23" t="str">
        <f aca="false">IF('TASKS AND ROAD SEGMENT MATRIX'!Z71-1&gt;0,'TASKS AND ROAD SEGMENT MATRIX'!Z71-1,"-")</f>
        <v>-</v>
      </c>
      <c r="N71" s="23" t="str">
        <f aca="false">IF('TASKS AND ROAD SEGMENT MATRIX'!AA71-1&gt;0,'TASKS AND ROAD SEGMENT MATRIX'!AA71-1,"-")</f>
        <v>-</v>
      </c>
      <c r="O71" s="23" t="n">
        <f aca="false">IF('TASKS AND ROAD SEGMENT MATRIX'!AB71-1&gt;0,'TASKS AND ROAD SEGMENT MATRIX'!AB71-1,"-")</f>
        <v>0.49496076435402</v>
      </c>
      <c r="P71" s="23" t="n">
        <f aca="false">IF('TASKS AND ROAD SEGMENT MATRIX'!AC71-1&gt;0,'TASKS AND ROAD SEGMENT MATRIX'!AC71-1,"-")</f>
        <v>0.989921528708039</v>
      </c>
      <c r="Q71" s="23" t="str">
        <f aca="false">IF('TASKS AND ROAD SEGMENT MATRIX'!AD71-1&gt;0,'TASKS AND ROAD SEGMENT MATRIX'!AD71-1,"-")</f>
        <v>-</v>
      </c>
      <c r="R71" s="23" t="n">
        <f aca="false">IF('TASKS AND ROAD SEGMENT MATRIX'!AE71-1&gt;0,'TASKS AND ROAD SEGMENT MATRIX'!AE71-1,"-")</f>
        <v>0.49496076435402</v>
      </c>
      <c r="S71" s="23" t="n">
        <f aca="false">IF('TASKS AND ROAD SEGMENT MATRIX'!AF71-1&gt;0,'TASKS AND ROAD SEGMENT MATRIX'!AF71-1,"-")</f>
        <v>0.49496076435402</v>
      </c>
      <c r="T71" s="23" t="str">
        <f aca="false">IF('TASKS AND ROAD SEGMENT MATRIX'!AG71-1&gt;0,'TASKS AND ROAD SEGMENT MATRIX'!AG71-1,"-")</f>
        <v>-</v>
      </c>
      <c r="U71" s="23" t="str">
        <f aca="false">IF('TASKS AND ROAD SEGMENT MATRIX'!AH71-1&gt;0,'TASKS AND ROAD SEGMENT MATRIX'!AH71-1,"-")</f>
        <v>-</v>
      </c>
      <c r="V71" s="23" t="str">
        <f aca="false">IF('TASKS AND ROAD SEGMENT MATRIX'!AI71-1&gt;0,'TASKS AND ROAD SEGMENT MATRIX'!AI71-1,"-")</f>
        <v>-</v>
      </c>
      <c r="W71" s="23" t="str">
        <f aca="false">IF('TASKS AND ROAD SEGMENT MATRIX'!AJ71-1&gt;0,'TASKS AND ROAD SEGMENT MATRIX'!AJ71-1,"-")</f>
        <v>-</v>
      </c>
      <c r="X71" s="23" t="n">
        <f aca="false">IF('TASKS AND ROAD SEGMENT MATRIX'!AK71-1&gt;0,'TASKS AND ROAD SEGMENT MATRIX'!AK71-1,"-")</f>
        <v>0.49496076435402</v>
      </c>
      <c r="Y71" s="23" t="str">
        <f aca="false">IF('TASKS AND ROAD SEGMENT MATRIX'!AL71-1&gt;0,'TASKS AND ROAD SEGMENT MATRIX'!AL71-1,"-")</f>
        <v>-</v>
      </c>
      <c r="Z71" s="23" t="n">
        <f aca="false">IF('TASKS AND ROAD SEGMENT MATRIX'!AM71-1&gt;0,'TASKS AND ROAD SEGMENT MATRIX'!AM71-1,"-")</f>
        <v>0.49496076435402</v>
      </c>
      <c r="AA71" s="23" t="n">
        <f aca="false">IF('TASKS AND ROAD SEGMENT MATRIX'!AN71-1&gt;0,'TASKS AND ROAD SEGMENT MATRIX'!AN71-1,"-")</f>
        <v>0.49496076435402</v>
      </c>
      <c r="AB71" s="23" t="n">
        <f aca="false">IF('TASKS AND ROAD SEGMENT MATRIX'!AO71-1&gt;0,'TASKS AND ROAD SEGMENT MATRIX'!AO71-1,"-")</f>
        <v>0.49496076435402</v>
      </c>
      <c r="AC71" s="23" t="n">
        <f aca="false">IF('TASKS AND ROAD SEGMENT MATRIX'!AP71-1&gt;0,'TASKS AND ROAD SEGMENT MATRIX'!AP71-1,"-")</f>
        <v>0.989921528708039</v>
      </c>
      <c r="AD71" s="23" t="n">
        <f aca="false">IF('TASKS AND ROAD SEGMENT MATRIX'!AQ71-1&gt;0,'TASKS AND ROAD SEGMENT MATRIX'!AQ71-1,"-")</f>
        <v>0.989921528708039</v>
      </c>
      <c r="AE71" s="23" t="n">
        <f aca="false">IF('TASKS AND ROAD SEGMENT MATRIX'!AR71-1&gt;0,'TASKS AND ROAD SEGMENT MATRIX'!AR71-1,"-")</f>
        <v>0.989921528708039</v>
      </c>
      <c r="AF71" s="23" t="n">
        <f aca="false">IF('TASKS AND ROAD SEGMENT MATRIX'!AS71-1&gt;0,'TASKS AND ROAD SEGMENT MATRIX'!AS71-1,"-")</f>
        <v>0.989921528708039</v>
      </c>
      <c r="AG71" s="23" t="n">
        <f aca="false">IF('TASKS AND ROAD SEGMENT MATRIX'!AT71-1&gt;0,'TASKS AND ROAD SEGMENT MATRIX'!AT71-1,"-")</f>
        <v>0.49496076435402</v>
      </c>
      <c r="AH71" s="23" t="str">
        <f aca="false">IF('TASKS AND ROAD SEGMENT MATRIX'!AU71-1&gt;0,'TASKS AND ROAD SEGMENT MATRIX'!AU71-1,"-")</f>
        <v>-</v>
      </c>
      <c r="AI71" s="23" t="str">
        <f aca="false">IF('TASKS AND ROAD SEGMENT MATRIX'!AV71-1&gt;0,'TASKS AND ROAD SEGMENT MATRIX'!AV71-1,"-")</f>
        <v>-</v>
      </c>
      <c r="AJ71" s="23" t="str">
        <f aca="false">IF('TASKS AND ROAD SEGMENT MATRIX'!AW71-1&gt;0,'TASKS AND ROAD SEGMENT MATRIX'!AW71-1,"-")</f>
        <v>-</v>
      </c>
      <c r="AK71" s="23" t="str">
        <f aca="false">IF('TASKS AND ROAD SEGMENT MATRIX'!AX71-1&gt;0,'TASKS AND ROAD SEGMENT MATRIX'!AX71-1,"-")</f>
        <v>-</v>
      </c>
      <c r="AL71" s="23" t="str">
        <f aca="false">IF('TASKS AND ROAD SEGMENT MATRIX'!AY71-1&gt;0,'TASKS AND ROAD SEGMENT MATRIX'!AY71-1,"-")</f>
        <v>-</v>
      </c>
      <c r="AM71" s="23" t="n">
        <f aca="false">IF('TASKS AND ROAD SEGMENT MATRIX'!AZ71-1&gt;0,'TASKS AND ROAD SEGMENT MATRIX'!AZ71-1,"-")</f>
        <v>0.49496076435402</v>
      </c>
      <c r="AN71" s="23" t="n">
        <f aca="false">IF('TASKS AND ROAD SEGMENT MATRIX'!BA71-1&gt;0,'TASKS AND ROAD SEGMENT MATRIX'!BA71-1,"-")</f>
        <v>0.49496076435402</v>
      </c>
      <c r="AO71" s="23" t="str">
        <f aca="false">IF('TASKS AND ROAD SEGMENT MATRIX'!BB71-1&gt;0,'TASKS AND ROAD SEGMENT MATRIX'!BB71-1,"-")</f>
        <v>-</v>
      </c>
      <c r="AP71" s="23" t="str">
        <f aca="false">IF('TASKS AND ROAD SEGMENT MATRIX'!BC71-1&gt;0,'TASKS AND ROAD SEGMENT MATRIX'!BC71-1,"-")</f>
        <v>-</v>
      </c>
      <c r="AQ71" s="23" t="str">
        <f aca="false">IF('TASKS AND ROAD SEGMENT MATRIX'!BD71-1&gt;0,'TASKS AND ROAD SEGMENT MATRIX'!BD71-1,"-")</f>
        <v>-</v>
      </c>
      <c r="AR71" s="23" t="str">
        <f aca="false">IF('TASKS AND ROAD SEGMENT MATRIX'!BE71-1&gt;0,'TASKS AND ROAD SEGMENT MATRIX'!BE71-1,"-")</f>
        <v>-</v>
      </c>
      <c r="AS71" s="23" t="str">
        <f aca="false">IF('TASKS AND ROAD SEGMENT MATRIX'!BF71-1&gt;0,'TASKS AND ROAD SEGMENT MATRIX'!BF71-1,"-")</f>
        <v>-</v>
      </c>
      <c r="AT71" s="23" t="str">
        <f aca="false">IF('TASKS AND ROAD SEGMENT MATRIX'!BG71-1&gt;0,'TASKS AND ROAD SEGMENT MATRIX'!BG71-1,"-")</f>
        <v>-</v>
      </c>
      <c r="AU71" s="23" t="n">
        <f aca="false">IF('TASKS AND ROAD SEGMENT MATRIX'!BH71-1&gt;0,'TASKS AND ROAD SEGMENT MATRIX'!BH71-1,"-")</f>
        <v>0.49496076435402</v>
      </c>
    </row>
    <row r="72" customFormat="false" ht="13.8" hidden="false" customHeight="false" outlineLevel="0" collapsed="false">
      <c r="A72" s="19" t="s">
        <v>79</v>
      </c>
      <c r="B72" s="0" t="s">
        <v>117</v>
      </c>
      <c r="C72" s="23" t="str">
        <f aca="false">IF('TASKS AND ROAD SEGMENT MATRIX'!P72-1&gt;0,'TASKS AND ROAD SEGMENT MATRIX'!P72-1,"-")</f>
        <v>-</v>
      </c>
      <c r="D72" s="23" t="str">
        <f aca="false">IF('TASKS AND ROAD SEGMENT MATRIX'!Q72-1&gt;0,'TASKS AND ROAD SEGMENT MATRIX'!Q72-1,"-")</f>
        <v>-</v>
      </c>
      <c r="E72" s="23" t="str">
        <f aca="false">IF('TASKS AND ROAD SEGMENT MATRIX'!R72-1&gt;0,'TASKS AND ROAD SEGMENT MATRIX'!R72-1,"-")</f>
        <v>-</v>
      </c>
      <c r="F72" s="23" t="str">
        <f aca="false">IF('TASKS AND ROAD SEGMENT MATRIX'!S72-1&gt;0,'TASKS AND ROAD SEGMENT MATRIX'!S72-1,"-")</f>
        <v>-</v>
      </c>
      <c r="G72" s="23" t="str">
        <f aca="false">IF('TASKS AND ROAD SEGMENT MATRIX'!T72-1&gt;0,'TASKS AND ROAD SEGMENT MATRIX'!T72-1,"-")</f>
        <v>-</v>
      </c>
      <c r="H72" s="23" t="str">
        <f aca="false">IF('TASKS AND ROAD SEGMENT MATRIX'!U72-1&gt;0,'TASKS AND ROAD SEGMENT MATRIX'!U72-1,"-")</f>
        <v>-</v>
      </c>
      <c r="I72" s="23" t="str">
        <f aca="false">IF('TASKS AND ROAD SEGMENT MATRIX'!V72-1&gt;0,'TASKS AND ROAD SEGMENT MATRIX'!V72-1,"-")</f>
        <v>-</v>
      </c>
      <c r="J72" s="23" t="str">
        <f aca="false">IF('TASKS AND ROAD SEGMENT MATRIX'!W72-1&gt;0,'TASKS AND ROAD SEGMENT MATRIX'!W72-1,"-")</f>
        <v>-</v>
      </c>
      <c r="K72" s="23" t="str">
        <f aca="false">IF('TASKS AND ROAD SEGMENT MATRIX'!X72-1&gt;0,'TASKS AND ROAD SEGMENT MATRIX'!X72-1,"-")</f>
        <v>-</v>
      </c>
      <c r="L72" s="23" t="str">
        <f aca="false">IF('TASKS AND ROAD SEGMENT MATRIX'!Y72-1&gt;0,'TASKS AND ROAD SEGMENT MATRIX'!Y72-1,"-")</f>
        <v>-</v>
      </c>
      <c r="M72" s="23" t="str">
        <f aca="false">IF('TASKS AND ROAD SEGMENT MATRIX'!Z72-1&gt;0,'TASKS AND ROAD SEGMENT MATRIX'!Z72-1,"-")</f>
        <v>-</v>
      </c>
      <c r="N72" s="23" t="str">
        <f aca="false">IF('TASKS AND ROAD SEGMENT MATRIX'!AA72-1&gt;0,'TASKS AND ROAD SEGMENT MATRIX'!AA72-1,"-")</f>
        <v>-</v>
      </c>
      <c r="O72" s="23" t="n">
        <f aca="false">IF('TASKS AND ROAD SEGMENT MATRIX'!AB72-1&gt;0,'TASKS AND ROAD SEGMENT MATRIX'!AB72-1,"-")</f>
        <v>0.41246730362835</v>
      </c>
      <c r="P72" s="23" t="n">
        <f aca="false">IF('TASKS AND ROAD SEGMENT MATRIX'!AC72-1&gt;0,'TASKS AND ROAD SEGMENT MATRIX'!AC72-1,"-")</f>
        <v>0.824934607256699</v>
      </c>
      <c r="Q72" s="23" t="str">
        <f aca="false">IF('TASKS AND ROAD SEGMENT MATRIX'!AD72-1&gt;0,'TASKS AND ROAD SEGMENT MATRIX'!AD72-1,"-")</f>
        <v>-</v>
      </c>
      <c r="R72" s="23" t="n">
        <f aca="false">IF('TASKS AND ROAD SEGMENT MATRIX'!AE72-1&gt;0,'TASKS AND ROAD SEGMENT MATRIX'!AE72-1,"-")</f>
        <v>0.41246730362835</v>
      </c>
      <c r="S72" s="23" t="n">
        <f aca="false">IF('TASKS AND ROAD SEGMENT MATRIX'!AF72-1&gt;0,'TASKS AND ROAD SEGMENT MATRIX'!AF72-1,"-")</f>
        <v>0.41246730362835</v>
      </c>
      <c r="T72" s="23" t="str">
        <f aca="false">IF('TASKS AND ROAD SEGMENT MATRIX'!AG72-1&gt;0,'TASKS AND ROAD SEGMENT MATRIX'!AG72-1,"-")</f>
        <v>-</v>
      </c>
      <c r="U72" s="23" t="str">
        <f aca="false">IF('TASKS AND ROAD SEGMENT MATRIX'!AH72-1&gt;0,'TASKS AND ROAD SEGMENT MATRIX'!AH72-1,"-")</f>
        <v>-</v>
      </c>
      <c r="V72" s="23" t="str">
        <f aca="false">IF('TASKS AND ROAD SEGMENT MATRIX'!AI72-1&gt;0,'TASKS AND ROAD SEGMENT MATRIX'!AI72-1,"-")</f>
        <v>-</v>
      </c>
      <c r="W72" s="23" t="str">
        <f aca="false">IF('TASKS AND ROAD SEGMENT MATRIX'!AJ72-1&gt;0,'TASKS AND ROAD SEGMENT MATRIX'!AJ72-1,"-")</f>
        <v>-</v>
      </c>
      <c r="X72" s="23" t="n">
        <f aca="false">IF('TASKS AND ROAD SEGMENT MATRIX'!AK72-1&gt;0,'TASKS AND ROAD SEGMENT MATRIX'!AK72-1,"-")</f>
        <v>0.41246730362835</v>
      </c>
      <c r="Y72" s="23" t="str">
        <f aca="false">IF('TASKS AND ROAD SEGMENT MATRIX'!AL72-1&gt;0,'TASKS AND ROAD SEGMENT MATRIX'!AL72-1,"-")</f>
        <v>-</v>
      </c>
      <c r="Z72" s="23" t="n">
        <f aca="false">IF('TASKS AND ROAD SEGMENT MATRIX'!AM72-1&gt;0,'TASKS AND ROAD SEGMENT MATRIX'!AM72-1,"-")</f>
        <v>0.41246730362835</v>
      </c>
      <c r="AA72" s="23" t="n">
        <f aca="false">IF('TASKS AND ROAD SEGMENT MATRIX'!AN72-1&gt;0,'TASKS AND ROAD SEGMENT MATRIX'!AN72-1,"-")</f>
        <v>0.41246730362835</v>
      </c>
      <c r="AB72" s="23" t="n">
        <f aca="false">IF('TASKS AND ROAD SEGMENT MATRIX'!AO72-1&gt;0,'TASKS AND ROAD SEGMENT MATRIX'!AO72-1,"-")</f>
        <v>0.41246730362835</v>
      </c>
      <c r="AC72" s="23" t="n">
        <f aca="false">IF('TASKS AND ROAD SEGMENT MATRIX'!AP72-1&gt;0,'TASKS AND ROAD SEGMENT MATRIX'!AP72-1,"-")</f>
        <v>0.824934607256699</v>
      </c>
      <c r="AD72" s="23" t="n">
        <f aca="false">IF('TASKS AND ROAD SEGMENT MATRIX'!AQ72-1&gt;0,'TASKS AND ROAD SEGMENT MATRIX'!AQ72-1,"-")</f>
        <v>0.824934607256699</v>
      </c>
      <c r="AE72" s="23" t="n">
        <f aca="false">IF('TASKS AND ROAD SEGMENT MATRIX'!AR72-1&gt;0,'TASKS AND ROAD SEGMENT MATRIX'!AR72-1,"-")</f>
        <v>0.41246730362835</v>
      </c>
      <c r="AF72" s="23" t="n">
        <f aca="false">IF('TASKS AND ROAD SEGMENT MATRIX'!AS72-1&gt;0,'TASKS AND ROAD SEGMENT MATRIX'!AS72-1,"-")</f>
        <v>0.824934607256699</v>
      </c>
      <c r="AG72" s="23" t="n">
        <f aca="false">IF('TASKS AND ROAD SEGMENT MATRIX'!AT72-1&gt;0,'TASKS AND ROAD SEGMENT MATRIX'!AT72-1,"-")</f>
        <v>0.41246730362835</v>
      </c>
      <c r="AH72" s="23" t="str">
        <f aca="false">IF('TASKS AND ROAD SEGMENT MATRIX'!AU72-1&gt;0,'TASKS AND ROAD SEGMENT MATRIX'!AU72-1,"-")</f>
        <v>-</v>
      </c>
      <c r="AI72" s="23" t="str">
        <f aca="false">IF('TASKS AND ROAD SEGMENT MATRIX'!AV72-1&gt;0,'TASKS AND ROAD SEGMENT MATRIX'!AV72-1,"-")</f>
        <v>-</v>
      </c>
      <c r="AJ72" s="23" t="str">
        <f aca="false">IF('TASKS AND ROAD SEGMENT MATRIX'!AW72-1&gt;0,'TASKS AND ROAD SEGMENT MATRIX'!AW72-1,"-")</f>
        <v>-</v>
      </c>
      <c r="AK72" s="23" t="str">
        <f aca="false">IF('TASKS AND ROAD SEGMENT MATRIX'!AX72-1&gt;0,'TASKS AND ROAD SEGMENT MATRIX'!AX72-1,"-")</f>
        <v>-</v>
      </c>
      <c r="AL72" s="23" t="str">
        <f aca="false">IF('TASKS AND ROAD SEGMENT MATRIX'!AY72-1&gt;0,'TASKS AND ROAD SEGMENT MATRIX'!AY72-1,"-")</f>
        <v>-</v>
      </c>
      <c r="AM72" s="23" t="n">
        <f aca="false">IF('TASKS AND ROAD SEGMENT MATRIX'!AZ72-1&gt;0,'TASKS AND ROAD SEGMENT MATRIX'!AZ72-1,"-")</f>
        <v>0.41246730362835</v>
      </c>
      <c r="AN72" s="23" t="n">
        <f aca="false">IF('TASKS AND ROAD SEGMENT MATRIX'!BA72-1&gt;0,'TASKS AND ROAD SEGMENT MATRIX'!BA72-1,"-")</f>
        <v>0.41246730362835</v>
      </c>
      <c r="AO72" s="23" t="str">
        <f aca="false">IF('TASKS AND ROAD SEGMENT MATRIX'!BB72-1&gt;0,'TASKS AND ROAD SEGMENT MATRIX'!BB72-1,"-")</f>
        <v>-</v>
      </c>
      <c r="AP72" s="23" t="str">
        <f aca="false">IF('TASKS AND ROAD SEGMENT MATRIX'!BC72-1&gt;0,'TASKS AND ROAD SEGMENT MATRIX'!BC72-1,"-")</f>
        <v>-</v>
      </c>
      <c r="AQ72" s="23" t="str">
        <f aca="false">IF('TASKS AND ROAD SEGMENT MATRIX'!BD72-1&gt;0,'TASKS AND ROAD SEGMENT MATRIX'!BD72-1,"-")</f>
        <v>-</v>
      </c>
      <c r="AR72" s="23" t="str">
        <f aca="false">IF('TASKS AND ROAD SEGMENT MATRIX'!BE72-1&gt;0,'TASKS AND ROAD SEGMENT MATRIX'!BE72-1,"-")</f>
        <v>-</v>
      </c>
      <c r="AS72" s="23" t="str">
        <f aca="false">IF('TASKS AND ROAD SEGMENT MATRIX'!BF72-1&gt;0,'TASKS AND ROAD SEGMENT MATRIX'!BF72-1,"-")</f>
        <v>-</v>
      </c>
      <c r="AT72" s="23" t="str">
        <f aca="false">IF('TASKS AND ROAD SEGMENT MATRIX'!BG72-1&gt;0,'TASKS AND ROAD SEGMENT MATRIX'!BG72-1,"-")</f>
        <v>-</v>
      </c>
      <c r="AU72" s="23" t="n">
        <f aca="false">IF('TASKS AND ROAD SEGMENT MATRIX'!BH72-1&gt;0,'TASKS AND ROAD SEGMENT MATRIX'!BH72-1,"-")</f>
        <v>0.41246730362835</v>
      </c>
    </row>
    <row r="73" customFormat="false" ht="13.8" hidden="false" customHeight="false" outlineLevel="0" collapsed="false">
      <c r="A73" s="19" t="s">
        <v>79</v>
      </c>
      <c r="B73" s="0" t="s">
        <v>119</v>
      </c>
      <c r="C73" s="23" t="str">
        <f aca="false">IF('TASKS AND ROAD SEGMENT MATRIX'!P73-1&gt;0,'TASKS AND ROAD SEGMENT MATRIX'!P73-1,"-")</f>
        <v>-</v>
      </c>
      <c r="D73" s="23" t="str">
        <f aca="false">IF('TASKS AND ROAD SEGMENT MATRIX'!Q73-1&gt;0,'TASKS AND ROAD SEGMENT MATRIX'!Q73-1,"-")</f>
        <v>-</v>
      </c>
      <c r="E73" s="23" t="str">
        <f aca="false">IF('TASKS AND ROAD SEGMENT MATRIX'!R73-1&gt;0,'TASKS AND ROAD SEGMENT MATRIX'!R73-1,"-")</f>
        <v>-</v>
      </c>
      <c r="F73" s="23" t="str">
        <f aca="false">IF('TASKS AND ROAD SEGMENT MATRIX'!S73-1&gt;0,'TASKS AND ROAD SEGMENT MATRIX'!S73-1,"-")</f>
        <v>-</v>
      </c>
      <c r="G73" s="23" t="str">
        <f aca="false">IF('TASKS AND ROAD SEGMENT MATRIX'!T73-1&gt;0,'TASKS AND ROAD SEGMENT MATRIX'!T73-1,"-")</f>
        <v>-</v>
      </c>
      <c r="H73" s="23" t="str">
        <f aca="false">IF('TASKS AND ROAD SEGMENT MATRIX'!U73-1&gt;0,'TASKS AND ROAD SEGMENT MATRIX'!U73-1,"-")</f>
        <v>-</v>
      </c>
      <c r="I73" s="23" t="str">
        <f aca="false">IF('TASKS AND ROAD SEGMENT MATRIX'!V73-1&gt;0,'TASKS AND ROAD SEGMENT MATRIX'!V73-1,"-")</f>
        <v>-</v>
      </c>
      <c r="J73" s="23" t="str">
        <f aca="false">IF('TASKS AND ROAD SEGMENT MATRIX'!W73-1&gt;0,'TASKS AND ROAD SEGMENT MATRIX'!W73-1,"-")</f>
        <v>-</v>
      </c>
      <c r="K73" s="23" t="str">
        <f aca="false">IF('TASKS AND ROAD SEGMENT MATRIX'!X73-1&gt;0,'TASKS AND ROAD SEGMENT MATRIX'!X73-1,"-")</f>
        <v>-</v>
      </c>
      <c r="L73" s="23" t="str">
        <f aca="false">IF('TASKS AND ROAD SEGMENT MATRIX'!Y73-1&gt;0,'TASKS AND ROAD SEGMENT MATRIX'!Y73-1,"-")</f>
        <v>-</v>
      </c>
      <c r="M73" s="23" t="str">
        <f aca="false">IF('TASKS AND ROAD SEGMENT MATRIX'!Z73-1&gt;0,'TASKS AND ROAD SEGMENT MATRIX'!Z73-1,"-")</f>
        <v>-</v>
      </c>
      <c r="N73" s="23" t="str">
        <f aca="false">IF('TASKS AND ROAD SEGMENT MATRIX'!AA73-1&gt;0,'TASKS AND ROAD SEGMENT MATRIX'!AA73-1,"-")</f>
        <v>-</v>
      </c>
      <c r="O73" s="23" t="n">
        <f aca="false">IF('TASKS AND ROAD SEGMENT MATRIX'!AB73-1&gt;0,'TASKS AND ROAD SEGMENT MATRIX'!AB73-1,"-")</f>
        <v>0.49496076435402</v>
      </c>
      <c r="P73" s="23" t="n">
        <f aca="false">IF('TASKS AND ROAD SEGMENT MATRIX'!AC73-1&gt;0,'TASKS AND ROAD SEGMENT MATRIX'!AC73-1,"-")</f>
        <v>0.989921528708039</v>
      </c>
      <c r="Q73" s="23" t="str">
        <f aca="false">IF('TASKS AND ROAD SEGMENT MATRIX'!AD73-1&gt;0,'TASKS AND ROAD SEGMENT MATRIX'!AD73-1,"-")</f>
        <v>-</v>
      </c>
      <c r="R73" s="23" t="n">
        <f aca="false">IF('TASKS AND ROAD SEGMENT MATRIX'!AE73-1&gt;0,'TASKS AND ROAD SEGMENT MATRIX'!AE73-1,"-")</f>
        <v>0.49496076435402</v>
      </c>
      <c r="S73" s="23" t="n">
        <f aca="false">IF('TASKS AND ROAD SEGMENT MATRIX'!AF73-1&gt;0,'TASKS AND ROAD SEGMENT MATRIX'!AF73-1,"-")</f>
        <v>0.49496076435402</v>
      </c>
      <c r="T73" s="23" t="str">
        <f aca="false">IF('TASKS AND ROAD SEGMENT MATRIX'!AG73-1&gt;0,'TASKS AND ROAD SEGMENT MATRIX'!AG73-1,"-")</f>
        <v>-</v>
      </c>
      <c r="U73" s="23" t="str">
        <f aca="false">IF('TASKS AND ROAD SEGMENT MATRIX'!AH73-1&gt;0,'TASKS AND ROAD SEGMENT MATRIX'!AH73-1,"-")</f>
        <v>-</v>
      </c>
      <c r="V73" s="23" t="str">
        <f aca="false">IF('TASKS AND ROAD SEGMENT MATRIX'!AI73-1&gt;0,'TASKS AND ROAD SEGMENT MATRIX'!AI73-1,"-")</f>
        <v>-</v>
      </c>
      <c r="W73" s="23" t="str">
        <f aca="false">IF('TASKS AND ROAD SEGMENT MATRIX'!AJ73-1&gt;0,'TASKS AND ROAD SEGMENT MATRIX'!AJ73-1,"-")</f>
        <v>-</v>
      </c>
      <c r="X73" s="23" t="n">
        <f aca="false">IF('TASKS AND ROAD SEGMENT MATRIX'!AK73-1&gt;0,'TASKS AND ROAD SEGMENT MATRIX'!AK73-1,"-")</f>
        <v>0.49496076435402</v>
      </c>
      <c r="Y73" s="23" t="str">
        <f aca="false">IF('TASKS AND ROAD SEGMENT MATRIX'!AL73-1&gt;0,'TASKS AND ROAD SEGMENT MATRIX'!AL73-1,"-")</f>
        <v>-</v>
      </c>
      <c r="Z73" s="23" t="n">
        <f aca="false">IF('TASKS AND ROAD SEGMENT MATRIX'!AM73-1&gt;0,'TASKS AND ROAD SEGMENT MATRIX'!AM73-1,"-")</f>
        <v>0.49496076435402</v>
      </c>
      <c r="AA73" s="23" t="n">
        <f aca="false">IF('TASKS AND ROAD SEGMENT MATRIX'!AN73-1&gt;0,'TASKS AND ROAD SEGMENT MATRIX'!AN73-1,"-")</f>
        <v>0.49496076435402</v>
      </c>
      <c r="AB73" s="23" t="n">
        <f aca="false">IF('TASKS AND ROAD SEGMENT MATRIX'!AO73-1&gt;0,'TASKS AND ROAD SEGMENT MATRIX'!AO73-1,"-")</f>
        <v>0.49496076435402</v>
      </c>
      <c r="AC73" s="23" t="n">
        <f aca="false">IF('TASKS AND ROAD SEGMENT MATRIX'!AP73-1&gt;0,'TASKS AND ROAD SEGMENT MATRIX'!AP73-1,"-")</f>
        <v>0.989921528708039</v>
      </c>
      <c r="AD73" s="23" t="n">
        <f aca="false">IF('TASKS AND ROAD SEGMENT MATRIX'!AQ73-1&gt;0,'TASKS AND ROAD SEGMENT MATRIX'!AQ73-1,"-")</f>
        <v>0.989921528708039</v>
      </c>
      <c r="AE73" s="23" t="n">
        <f aca="false">IF('TASKS AND ROAD SEGMENT MATRIX'!AR73-1&gt;0,'TASKS AND ROAD SEGMENT MATRIX'!AR73-1,"-")</f>
        <v>0.989921528708039</v>
      </c>
      <c r="AF73" s="23" t="n">
        <f aca="false">IF('TASKS AND ROAD SEGMENT MATRIX'!AS73-1&gt;0,'TASKS AND ROAD SEGMENT MATRIX'!AS73-1,"-")</f>
        <v>0.989921528708039</v>
      </c>
      <c r="AG73" s="23" t="n">
        <f aca="false">IF('TASKS AND ROAD SEGMENT MATRIX'!AT73-1&gt;0,'TASKS AND ROAD SEGMENT MATRIX'!AT73-1,"-")</f>
        <v>0.49496076435402</v>
      </c>
      <c r="AH73" s="23" t="str">
        <f aca="false">IF('TASKS AND ROAD SEGMENT MATRIX'!AU73-1&gt;0,'TASKS AND ROAD SEGMENT MATRIX'!AU73-1,"-")</f>
        <v>-</v>
      </c>
      <c r="AI73" s="23" t="str">
        <f aca="false">IF('TASKS AND ROAD SEGMENT MATRIX'!AV73-1&gt;0,'TASKS AND ROAD SEGMENT MATRIX'!AV73-1,"-")</f>
        <v>-</v>
      </c>
      <c r="AJ73" s="23" t="str">
        <f aca="false">IF('TASKS AND ROAD SEGMENT MATRIX'!AW73-1&gt;0,'TASKS AND ROAD SEGMENT MATRIX'!AW73-1,"-")</f>
        <v>-</v>
      </c>
      <c r="AK73" s="23" t="str">
        <f aca="false">IF('TASKS AND ROAD SEGMENT MATRIX'!AX73-1&gt;0,'TASKS AND ROAD SEGMENT MATRIX'!AX73-1,"-")</f>
        <v>-</v>
      </c>
      <c r="AL73" s="23" t="str">
        <f aca="false">IF('TASKS AND ROAD SEGMENT MATRIX'!AY73-1&gt;0,'TASKS AND ROAD SEGMENT MATRIX'!AY73-1,"-")</f>
        <v>-</v>
      </c>
      <c r="AM73" s="23" t="n">
        <f aca="false">IF('TASKS AND ROAD SEGMENT MATRIX'!AZ73-1&gt;0,'TASKS AND ROAD SEGMENT MATRIX'!AZ73-1,"-")</f>
        <v>0.49496076435402</v>
      </c>
      <c r="AN73" s="23" t="n">
        <f aca="false">IF('TASKS AND ROAD SEGMENT MATRIX'!BA73-1&gt;0,'TASKS AND ROAD SEGMENT MATRIX'!BA73-1,"-")</f>
        <v>0.49496076435402</v>
      </c>
      <c r="AO73" s="23" t="str">
        <f aca="false">IF('TASKS AND ROAD SEGMENT MATRIX'!BB73-1&gt;0,'TASKS AND ROAD SEGMENT MATRIX'!BB73-1,"-")</f>
        <v>-</v>
      </c>
      <c r="AP73" s="23" t="str">
        <f aca="false">IF('TASKS AND ROAD SEGMENT MATRIX'!BC73-1&gt;0,'TASKS AND ROAD SEGMENT MATRIX'!BC73-1,"-")</f>
        <v>-</v>
      </c>
      <c r="AQ73" s="23" t="str">
        <f aca="false">IF('TASKS AND ROAD SEGMENT MATRIX'!BD73-1&gt;0,'TASKS AND ROAD SEGMENT MATRIX'!BD73-1,"-")</f>
        <v>-</v>
      </c>
      <c r="AR73" s="23" t="str">
        <f aca="false">IF('TASKS AND ROAD SEGMENT MATRIX'!BE73-1&gt;0,'TASKS AND ROAD SEGMENT MATRIX'!BE73-1,"-")</f>
        <v>-</v>
      </c>
      <c r="AS73" s="23" t="str">
        <f aca="false">IF('TASKS AND ROAD SEGMENT MATRIX'!BF73-1&gt;0,'TASKS AND ROAD SEGMENT MATRIX'!BF73-1,"-")</f>
        <v>-</v>
      </c>
      <c r="AT73" s="23" t="str">
        <f aca="false">IF('TASKS AND ROAD SEGMENT MATRIX'!BG73-1&gt;0,'TASKS AND ROAD SEGMENT MATRIX'!BG73-1,"-")</f>
        <v>-</v>
      </c>
      <c r="AU73" s="23" t="n">
        <f aca="false">IF('TASKS AND ROAD SEGMENT MATRIX'!BH73-1&gt;0,'TASKS AND ROAD SEGMENT MATRIX'!BH73-1,"-")</f>
        <v>0.49496076435402</v>
      </c>
    </row>
    <row r="74" customFormat="false" ht="13.8" hidden="false" customHeight="false" outlineLevel="0" collapsed="false">
      <c r="A74" s="0" t="s">
        <v>80</v>
      </c>
      <c r="B74" s="0" t="s">
        <v>112</v>
      </c>
      <c r="C74" s="23" t="str">
        <f aca="false">IF('TASKS AND ROAD SEGMENT MATRIX'!P74-1&gt;0,'TASKS AND ROAD SEGMENT MATRIX'!P74-1,"-")</f>
        <v>-</v>
      </c>
      <c r="D74" s="23" t="str">
        <f aca="false">IF('TASKS AND ROAD SEGMENT MATRIX'!Q74-1&gt;0,'TASKS AND ROAD SEGMENT MATRIX'!Q74-1,"-")</f>
        <v>-</v>
      </c>
      <c r="E74" s="23" t="str">
        <f aca="false">IF('TASKS AND ROAD SEGMENT MATRIX'!R74-1&gt;0,'TASKS AND ROAD SEGMENT MATRIX'!R74-1,"-")</f>
        <v>-</v>
      </c>
      <c r="F74" s="23" t="str">
        <f aca="false">IF('TASKS AND ROAD SEGMENT MATRIX'!S74-1&gt;0,'TASKS AND ROAD SEGMENT MATRIX'!S74-1,"-")</f>
        <v>-</v>
      </c>
      <c r="G74" s="23" t="n">
        <f aca="false">IF('TASKS AND ROAD SEGMENT MATRIX'!T74-1&gt;0,'TASKS AND ROAD SEGMENT MATRIX'!T74-1,"-")</f>
        <v>0.314151907807443</v>
      </c>
      <c r="H74" s="23" t="n">
        <f aca="false">IF('TASKS AND ROAD SEGMENT MATRIX'!U74-1&gt;0,'TASKS AND ROAD SEGMENT MATRIX'!U74-1,"-")</f>
        <v>0.314151907807443</v>
      </c>
      <c r="I74" s="23" t="str">
        <f aca="false">IF('TASKS AND ROAD SEGMENT MATRIX'!V74-1&gt;0,'TASKS AND ROAD SEGMENT MATRIX'!V74-1,"-")</f>
        <v>-</v>
      </c>
      <c r="J74" s="23" t="n">
        <f aca="false">IF('TASKS AND ROAD SEGMENT MATRIX'!W74-1&gt;0,'TASKS AND ROAD SEGMENT MATRIX'!W74-1,"-")</f>
        <v>0.314151907807443</v>
      </c>
      <c r="K74" s="23" t="str">
        <f aca="false">IF('TASKS AND ROAD SEGMENT MATRIX'!X74-1&gt;0,'TASKS AND ROAD SEGMENT MATRIX'!X74-1,"-")</f>
        <v>-</v>
      </c>
      <c r="L74" s="23" t="str">
        <f aca="false">IF('TASKS AND ROAD SEGMENT MATRIX'!Y74-1&gt;0,'TASKS AND ROAD SEGMENT MATRIX'!Y74-1,"-")</f>
        <v>-</v>
      </c>
      <c r="M74" s="23" t="str">
        <f aca="false">IF('TASKS AND ROAD SEGMENT MATRIX'!Z74-1&gt;0,'TASKS AND ROAD SEGMENT MATRIX'!Z74-1,"-")</f>
        <v>-</v>
      </c>
      <c r="N74" s="23" t="str">
        <f aca="false">IF('TASKS AND ROAD SEGMENT MATRIX'!AA74-1&gt;0,'TASKS AND ROAD SEGMENT MATRIX'!AA74-1,"-")</f>
        <v>-</v>
      </c>
      <c r="O74" s="23" t="str">
        <f aca="false">IF('TASKS AND ROAD SEGMENT MATRIX'!AB74-1&gt;0,'TASKS AND ROAD SEGMENT MATRIX'!AB74-1,"-")</f>
        <v>-</v>
      </c>
      <c r="P74" s="23" t="n">
        <f aca="false">IF('TASKS AND ROAD SEGMENT MATRIX'!AC74-1&gt;0,'TASKS AND ROAD SEGMENT MATRIX'!AC74-1,"-")</f>
        <v>0.314151907807443</v>
      </c>
      <c r="Q74" s="23" t="str">
        <f aca="false">IF('TASKS AND ROAD SEGMENT MATRIX'!AD74-1&gt;0,'TASKS AND ROAD SEGMENT MATRIX'!AD74-1,"-")</f>
        <v>-</v>
      </c>
      <c r="R74" s="23" t="n">
        <f aca="false">IF('TASKS AND ROAD SEGMENT MATRIX'!AE74-1&gt;0,'TASKS AND ROAD SEGMENT MATRIX'!AE74-1,"-")</f>
        <v>0.314151907807443</v>
      </c>
      <c r="S74" s="23" t="n">
        <f aca="false">IF('TASKS AND ROAD SEGMENT MATRIX'!AF74-1&gt;0,'TASKS AND ROAD SEGMENT MATRIX'!AF74-1,"-")</f>
        <v>0.628303815614886</v>
      </c>
      <c r="T74" s="23" t="n">
        <f aca="false">IF('TASKS AND ROAD SEGMENT MATRIX'!AG74-1&gt;0,'TASKS AND ROAD SEGMENT MATRIX'!AG74-1,"-")</f>
        <v>0.314151907807443</v>
      </c>
      <c r="U74" s="23" t="str">
        <f aca="false">IF('TASKS AND ROAD SEGMENT MATRIX'!AH74-1&gt;0,'TASKS AND ROAD SEGMENT MATRIX'!AH74-1,"-")</f>
        <v>-</v>
      </c>
      <c r="V74" s="23" t="n">
        <f aca="false">IF('TASKS AND ROAD SEGMENT MATRIX'!AI74-1&gt;0,'TASKS AND ROAD SEGMENT MATRIX'!AI74-1,"-")</f>
        <v>0.314151907807443</v>
      </c>
      <c r="W74" s="23" t="n">
        <f aca="false">IF('TASKS AND ROAD SEGMENT MATRIX'!AJ74-1&gt;0,'TASKS AND ROAD SEGMENT MATRIX'!AJ74-1,"-")</f>
        <v>0.314151907807443</v>
      </c>
      <c r="X74" s="23" t="n">
        <f aca="false">IF('TASKS AND ROAD SEGMENT MATRIX'!AK74-1&gt;0,'TASKS AND ROAD SEGMENT MATRIX'!AK74-1,"-")</f>
        <v>0.628303815614886</v>
      </c>
      <c r="Y74" s="23" t="str">
        <f aca="false">IF('TASKS AND ROAD SEGMENT MATRIX'!AL74-1&gt;0,'TASKS AND ROAD SEGMENT MATRIX'!AL74-1,"-")</f>
        <v>-</v>
      </c>
      <c r="Z74" s="23" t="n">
        <f aca="false">IF('TASKS AND ROAD SEGMENT MATRIX'!AM74-1&gt;0,'TASKS AND ROAD SEGMENT MATRIX'!AM74-1,"-")</f>
        <v>0.314151907807443</v>
      </c>
      <c r="AA74" s="23" t="n">
        <f aca="false">IF('TASKS AND ROAD SEGMENT MATRIX'!AN74-1&gt;0,'TASKS AND ROAD SEGMENT MATRIX'!AN74-1,"-")</f>
        <v>0.314151907807443</v>
      </c>
      <c r="AB74" s="23" t="n">
        <f aca="false">IF('TASKS AND ROAD SEGMENT MATRIX'!AO74-1&gt;0,'TASKS AND ROAD SEGMENT MATRIX'!AO74-1,"-")</f>
        <v>0.314151907807443</v>
      </c>
      <c r="AC74" s="23" t="n">
        <f aca="false">IF('TASKS AND ROAD SEGMENT MATRIX'!AP74-1&gt;0,'TASKS AND ROAD SEGMENT MATRIX'!AP74-1,"-")</f>
        <v>0.628303815614886</v>
      </c>
      <c r="AD74" s="23" t="n">
        <f aca="false">IF('TASKS AND ROAD SEGMENT MATRIX'!AQ74-1&gt;0,'TASKS AND ROAD SEGMENT MATRIX'!AQ74-1,"-")</f>
        <v>0.628303815614886</v>
      </c>
      <c r="AE74" s="23" t="n">
        <f aca="false">IF('TASKS AND ROAD SEGMENT MATRIX'!AR74-1&gt;0,'TASKS AND ROAD SEGMENT MATRIX'!AR74-1,"-")</f>
        <v>0.628303815614886</v>
      </c>
      <c r="AF74" s="23" t="str">
        <f aca="false">IF('TASKS AND ROAD SEGMENT MATRIX'!AS74-1&gt;0,'TASKS AND ROAD SEGMENT MATRIX'!AS74-1,"-")</f>
        <v>-</v>
      </c>
      <c r="AG74" s="23" t="n">
        <f aca="false">IF('TASKS AND ROAD SEGMENT MATRIX'!AT74-1&gt;0,'TASKS AND ROAD SEGMENT MATRIX'!AT74-1,"-")</f>
        <v>0.628303815614886</v>
      </c>
      <c r="AH74" s="23" t="str">
        <f aca="false">IF('TASKS AND ROAD SEGMENT MATRIX'!AU74-1&gt;0,'TASKS AND ROAD SEGMENT MATRIX'!AU74-1,"-")</f>
        <v>-</v>
      </c>
      <c r="AI74" s="23" t="str">
        <f aca="false">IF('TASKS AND ROAD SEGMENT MATRIX'!AV74-1&gt;0,'TASKS AND ROAD SEGMENT MATRIX'!AV74-1,"-")</f>
        <v>-</v>
      </c>
      <c r="AJ74" s="23" t="str">
        <f aca="false">IF('TASKS AND ROAD SEGMENT MATRIX'!AW74-1&gt;0,'TASKS AND ROAD SEGMENT MATRIX'!AW74-1,"-")</f>
        <v>-</v>
      </c>
      <c r="AK74" s="23" t="str">
        <f aca="false">IF('TASKS AND ROAD SEGMENT MATRIX'!AX74-1&gt;0,'TASKS AND ROAD SEGMENT MATRIX'!AX74-1,"-")</f>
        <v>-</v>
      </c>
      <c r="AL74" s="23" t="str">
        <f aca="false">IF('TASKS AND ROAD SEGMENT MATRIX'!AY74-1&gt;0,'TASKS AND ROAD SEGMENT MATRIX'!AY74-1,"-")</f>
        <v>-</v>
      </c>
      <c r="AM74" s="23" t="str">
        <f aca="false">IF('TASKS AND ROAD SEGMENT MATRIX'!AZ74-1&gt;0,'TASKS AND ROAD SEGMENT MATRIX'!AZ74-1,"-")</f>
        <v>-</v>
      </c>
      <c r="AN74" s="23" t="str">
        <f aca="false">IF('TASKS AND ROAD SEGMENT MATRIX'!BA74-1&gt;0,'TASKS AND ROAD SEGMENT MATRIX'!BA74-1,"-")</f>
        <v>-</v>
      </c>
      <c r="AO74" s="23" t="str">
        <f aca="false">IF('TASKS AND ROAD SEGMENT MATRIX'!BB74-1&gt;0,'TASKS AND ROAD SEGMENT MATRIX'!BB74-1,"-")</f>
        <v>-</v>
      </c>
      <c r="AP74" s="23" t="str">
        <f aca="false">IF('TASKS AND ROAD SEGMENT MATRIX'!BC74-1&gt;0,'TASKS AND ROAD SEGMENT MATRIX'!BC74-1,"-")</f>
        <v>-</v>
      </c>
      <c r="AQ74" s="23" t="str">
        <f aca="false">IF('TASKS AND ROAD SEGMENT MATRIX'!BD74-1&gt;0,'TASKS AND ROAD SEGMENT MATRIX'!BD74-1,"-")</f>
        <v>-</v>
      </c>
      <c r="AR74" s="23" t="n">
        <f aca="false">IF('TASKS AND ROAD SEGMENT MATRIX'!BE74-1&gt;0,'TASKS AND ROAD SEGMENT MATRIX'!BE74-1,"-")</f>
        <v>0.314151907807443</v>
      </c>
      <c r="AS74" s="23" t="str">
        <f aca="false">IF('TASKS AND ROAD SEGMENT MATRIX'!BF74-1&gt;0,'TASKS AND ROAD SEGMENT MATRIX'!BF74-1,"-")</f>
        <v>-</v>
      </c>
      <c r="AT74" s="23" t="str">
        <f aca="false">IF('TASKS AND ROAD SEGMENT MATRIX'!BG74-1&gt;0,'TASKS AND ROAD SEGMENT MATRIX'!BG74-1,"-")</f>
        <v>-</v>
      </c>
      <c r="AU74" s="23" t="n">
        <f aca="false">IF('TASKS AND ROAD SEGMENT MATRIX'!BH74-1&gt;0,'TASKS AND ROAD SEGMENT MATRIX'!BH74-1,"-")</f>
        <v>0.314151907807443</v>
      </c>
    </row>
    <row r="75" customFormat="false" ht="13.8" hidden="false" customHeight="false" outlineLevel="0" collapsed="false">
      <c r="A75" s="0" t="s">
        <v>80</v>
      </c>
      <c r="B75" s="0" t="s">
        <v>115</v>
      </c>
      <c r="C75" s="23" t="str">
        <f aca="false">IF('TASKS AND ROAD SEGMENT MATRIX'!P75-1&gt;0,'TASKS AND ROAD SEGMENT MATRIX'!P75-1,"-")</f>
        <v>-</v>
      </c>
      <c r="D75" s="23" t="str">
        <f aca="false">IF('TASKS AND ROAD SEGMENT MATRIX'!Q75-1&gt;0,'TASKS AND ROAD SEGMENT MATRIX'!Q75-1,"-")</f>
        <v>-</v>
      </c>
      <c r="E75" s="23" t="str">
        <f aca="false">IF('TASKS AND ROAD SEGMENT MATRIX'!R75-1&gt;0,'TASKS AND ROAD SEGMENT MATRIX'!R75-1,"-")</f>
        <v>-</v>
      </c>
      <c r="F75" s="23" t="str">
        <f aca="false">IF('TASKS AND ROAD SEGMENT MATRIX'!S75-1&gt;0,'TASKS AND ROAD SEGMENT MATRIX'!S75-1,"-")</f>
        <v>-</v>
      </c>
      <c r="G75" s="23" t="n">
        <f aca="false">IF('TASKS AND ROAD SEGMENT MATRIX'!T75-1&gt;0,'TASKS AND ROAD SEGMENT MATRIX'!T75-1,"-")</f>
        <v>0.471227861711165</v>
      </c>
      <c r="H75" s="23" t="n">
        <f aca="false">IF('TASKS AND ROAD SEGMENT MATRIX'!U75-1&gt;0,'TASKS AND ROAD SEGMENT MATRIX'!U75-1,"-")</f>
        <v>0.471227861711165</v>
      </c>
      <c r="I75" s="23" t="str">
        <f aca="false">IF('TASKS AND ROAD SEGMENT MATRIX'!V75-1&gt;0,'TASKS AND ROAD SEGMENT MATRIX'!V75-1,"-")</f>
        <v>-</v>
      </c>
      <c r="J75" s="23" t="n">
        <f aca="false">IF('TASKS AND ROAD SEGMENT MATRIX'!W75-1&gt;0,'TASKS AND ROAD SEGMENT MATRIX'!W75-1,"-")</f>
        <v>0.471227861711165</v>
      </c>
      <c r="K75" s="23" t="str">
        <f aca="false">IF('TASKS AND ROAD SEGMENT MATRIX'!X75-1&gt;0,'TASKS AND ROAD SEGMENT MATRIX'!X75-1,"-")</f>
        <v>-</v>
      </c>
      <c r="L75" s="23" t="str">
        <f aca="false">IF('TASKS AND ROAD SEGMENT MATRIX'!Y75-1&gt;0,'TASKS AND ROAD SEGMENT MATRIX'!Y75-1,"-")</f>
        <v>-</v>
      </c>
      <c r="M75" s="23" t="str">
        <f aca="false">IF('TASKS AND ROAD SEGMENT MATRIX'!Z75-1&gt;0,'TASKS AND ROAD SEGMENT MATRIX'!Z75-1,"-")</f>
        <v>-</v>
      </c>
      <c r="N75" s="23" t="str">
        <f aca="false">IF('TASKS AND ROAD SEGMENT MATRIX'!AA75-1&gt;0,'TASKS AND ROAD SEGMENT MATRIX'!AA75-1,"-")</f>
        <v>-</v>
      </c>
      <c r="O75" s="23" t="str">
        <f aca="false">IF('TASKS AND ROAD SEGMENT MATRIX'!AB75-1&gt;0,'TASKS AND ROAD SEGMENT MATRIX'!AB75-1,"-")</f>
        <v>-</v>
      </c>
      <c r="P75" s="23" t="n">
        <f aca="false">IF('TASKS AND ROAD SEGMENT MATRIX'!AC75-1&gt;0,'TASKS AND ROAD SEGMENT MATRIX'!AC75-1,"-")</f>
        <v>0.471227861711165</v>
      </c>
      <c r="Q75" s="23" t="str">
        <f aca="false">IF('TASKS AND ROAD SEGMENT MATRIX'!AD75-1&gt;0,'TASKS AND ROAD SEGMENT MATRIX'!AD75-1,"-")</f>
        <v>-</v>
      </c>
      <c r="R75" s="23" t="n">
        <f aca="false">IF('TASKS AND ROAD SEGMENT MATRIX'!AE75-1&gt;0,'TASKS AND ROAD SEGMENT MATRIX'!AE75-1,"-")</f>
        <v>0.471227861711165</v>
      </c>
      <c r="S75" s="23" t="n">
        <f aca="false">IF('TASKS AND ROAD SEGMENT MATRIX'!AF75-1&gt;0,'TASKS AND ROAD SEGMENT MATRIX'!AF75-1,"-")</f>
        <v>0.942455723422329</v>
      </c>
      <c r="T75" s="23" t="n">
        <f aca="false">IF('TASKS AND ROAD SEGMENT MATRIX'!AG75-1&gt;0,'TASKS AND ROAD SEGMENT MATRIX'!AG75-1,"-")</f>
        <v>0.471227861711165</v>
      </c>
      <c r="U75" s="23" t="str">
        <f aca="false">IF('TASKS AND ROAD SEGMENT MATRIX'!AH75-1&gt;0,'TASKS AND ROAD SEGMENT MATRIX'!AH75-1,"-")</f>
        <v>-</v>
      </c>
      <c r="V75" s="23" t="n">
        <f aca="false">IF('TASKS AND ROAD SEGMENT MATRIX'!AI75-1&gt;0,'TASKS AND ROAD SEGMENT MATRIX'!AI75-1,"-")</f>
        <v>0.471227861711165</v>
      </c>
      <c r="W75" s="23" t="n">
        <f aca="false">IF('TASKS AND ROAD SEGMENT MATRIX'!AJ75-1&gt;0,'TASKS AND ROAD SEGMENT MATRIX'!AJ75-1,"-")</f>
        <v>0.471227861711165</v>
      </c>
      <c r="X75" s="23" t="n">
        <f aca="false">IF('TASKS AND ROAD SEGMENT MATRIX'!AK75-1&gt;0,'TASKS AND ROAD SEGMENT MATRIX'!AK75-1,"-")</f>
        <v>0.942455723422329</v>
      </c>
      <c r="Y75" s="23" t="str">
        <f aca="false">IF('TASKS AND ROAD SEGMENT MATRIX'!AL75-1&gt;0,'TASKS AND ROAD SEGMENT MATRIX'!AL75-1,"-")</f>
        <v>-</v>
      </c>
      <c r="Z75" s="23" t="n">
        <f aca="false">IF('TASKS AND ROAD SEGMENT MATRIX'!AM75-1&gt;0,'TASKS AND ROAD SEGMENT MATRIX'!AM75-1,"-")</f>
        <v>0.471227861711165</v>
      </c>
      <c r="AA75" s="23" t="n">
        <f aca="false">IF('TASKS AND ROAD SEGMENT MATRIX'!AN75-1&gt;0,'TASKS AND ROAD SEGMENT MATRIX'!AN75-1,"-")</f>
        <v>0.471227861711165</v>
      </c>
      <c r="AB75" s="23" t="n">
        <f aca="false">IF('TASKS AND ROAD SEGMENT MATRIX'!AO75-1&gt;0,'TASKS AND ROAD SEGMENT MATRIX'!AO75-1,"-")</f>
        <v>0.471227861711165</v>
      </c>
      <c r="AC75" s="23" t="n">
        <f aca="false">IF('TASKS AND ROAD SEGMENT MATRIX'!AP75-1&gt;0,'TASKS AND ROAD SEGMENT MATRIX'!AP75-1,"-")</f>
        <v>0.942455723422329</v>
      </c>
      <c r="AD75" s="23" t="n">
        <f aca="false">IF('TASKS AND ROAD SEGMENT MATRIX'!AQ75-1&gt;0,'TASKS AND ROAD SEGMENT MATRIX'!AQ75-1,"-")</f>
        <v>0.942455723422329</v>
      </c>
      <c r="AE75" s="23" t="n">
        <f aca="false">IF('TASKS AND ROAD SEGMENT MATRIX'!AR75-1&gt;0,'TASKS AND ROAD SEGMENT MATRIX'!AR75-1,"-")</f>
        <v>0.942455723422329</v>
      </c>
      <c r="AF75" s="23" t="n">
        <f aca="false">IF('TASKS AND ROAD SEGMENT MATRIX'!AS75-1&gt;0,'TASKS AND ROAD SEGMENT MATRIX'!AS75-1,"-")</f>
        <v>0.942455723422329</v>
      </c>
      <c r="AG75" s="23" t="n">
        <f aca="false">IF('TASKS AND ROAD SEGMENT MATRIX'!AT75-1&gt;0,'TASKS AND ROAD SEGMENT MATRIX'!AT75-1,"-")</f>
        <v>0.942455723422329</v>
      </c>
      <c r="AH75" s="23" t="str">
        <f aca="false">IF('TASKS AND ROAD SEGMENT MATRIX'!AU75-1&gt;0,'TASKS AND ROAD SEGMENT MATRIX'!AU75-1,"-")</f>
        <v>-</v>
      </c>
      <c r="AI75" s="23" t="str">
        <f aca="false">IF('TASKS AND ROAD SEGMENT MATRIX'!AV75-1&gt;0,'TASKS AND ROAD SEGMENT MATRIX'!AV75-1,"-")</f>
        <v>-</v>
      </c>
      <c r="AJ75" s="23" t="str">
        <f aca="false">IF('TASKS AND ROAD SEGMENT MATRIX'!AW75-1&gt;0,'TASKS AND ROAD SEGMENT MATRIX'!AW75-1,"-")</f>
        <v>-</v>
      </c>
      <c r="AK75" s="23" t="str">
        <f aca="false">IF('TASKS AND ROAD SEGMENT MATRIX'!AX75-1&gt;0,'TASKS AND ROAD SEGMENT MATRIX'!AX75-1,"-")</f>
        <v>-</v>
      </c>
      <c r="AL75" s="23" t="str">
        <f aca="false">IF('TASKS AND ROAD SEGMENT MATRIX'!AY75-1&gt;0,'TASKS AND ROAD SEGMENT MATRIX'!AY75-1,"-")</f>
        <v>-</v>
      </c>
      <c r="AM75" s="23" t="str">
        <f aca="false">IF('TASKS AND ROAD SEGMENT MATRIX'!AZ75-1&gt;0,'TASKS AND ROAD SEGMENT MATRIX'!AZ75-1,"-")</f>
        <v>-</v>
      </c>
      <c r="AN75" s="23" t="str">
        <f aca="false">IF('TASKS AND ROAD SEGMENT MATRIX'!BA75-1&gt;0,'TASKS AND ROAD SEGMENT MATRIX'!BA75-1,"-")</f>
        <v>-</v>
      </c>
      <c r="AO75" s="23" t="str">
        <f aca="false">IF('TASKS AND ROAD SEGMENT MATRIX'!BB75-1&gt;0,'TASKS AND ROAD SEGMENT MATRIX'!BB75-1,"-")</f>
        <v>-</v>
      </c>
      <c r="AP75" s="23" t="str">
        <f aca="false">IF('TASKS AND ROAD SEGMENT MATRIX'!BC75-1&gt;0,'TASKS AND ROAD SEGMENT MATRIX'!BC75-1,"-")</f>
        <v>-</v>
      </c>
      <c r="AQ75" s="23" t="str">
        <f aca="false">IF('TASKS AND ROAD SEGMENT MATRIX'!BD75-1&gt;0,'TASKS AND ROAD SEGMENT MATRIX'!BD75-1,"-")</f>
        <v>-</v>
      </c>
      <c r="AR75" s="23" t="n">
        <f aca="false">IF('TASKS AND ROAD SEGMENT MATRIX'!BE75-1&gt;0,'TASKS AND ROAD SEGMENT MATRIX'!BE75-1,"-")</f>
        <v>0.471227861711165</v>
      </c>
      <c r="AS75" s="23" t="str">
        <f aca="false">IF('TASKS AND ROAD SEGMENT MATRIX'!BF75-1&gt;0,'TASKS AND ROAD SEGMENT MATRIX'!BF75-1,"-")</f>
        <v>-</v>
      </c>
      <c r="AT75" s="23" t="str">
        <f aca="false">IF('TASKS AND ROAD SEGMENT MATRIX'!BG75-1&gt;0,'TASKS AND ROAD SEGMENT MATRIX'!BG75-1,"-")</f>
        <v>-</v>
      </c>
      <c r="AU75" s="23" t="n">
        <f aca="false">IF('TASKS AND ROAD SEGMENT MATRIX'!BH75-1&gt;0,'TASKS AND ROAD SEGMENT MATRIX'!BH75-1,"-")</f>
        <v>0.471227861711165</v>
      </c>
    </row>
    <row r="76" customFormat="false" ht="13.8" hidden="false" customHeight="false" outlineLevel="0" collapsed="false">
      <c r="A76" s="0" t="s">
        <v>80</v>
      </c>
      <c r="B76" s="0" t="s">
        <v>117</v>
      </c>
      <c r="C76" s="23" t="str">
        <f aca="false">IF('TASKS AND ROAD SEGMENT MATRIX'!P76-1&gt;0,'TASKS AND ROAD SEGMENT MATRIX'!P76-1,"-")</f>
        <v>-</v>
      </c>
      <c r="D76" s="23" t="str">
        <f aca="false">IF('TASKS AND ROAD SEGMENT MATRIX'!Q76-1&gt;0,'TASKS AND ROAD SEGMENT MATRIX'!Q76-1,"-")</f>
        <v>-</v>
      </c>
      <c r="E76" s="23" t="str">
        <f aca="false">IF('TASKS AND ROAD SEGMENT MATRIX'!R76-1&gt;0,'TASKS AND ROAD SEGMENT MATRIX'!R76-1,"-")</f>
        <v>-</v>
      </c>
      <c r="F76" s="23" t="str">
        <f aca="false">IF('TASKS AND ROAD SEGMENT MATRIX'!S76-1&gt;0,'TASKS AND ROAD SEGMENT MATRIX'!S76-1,"-")</f>
        <v>-</v>
      </c>
      <c r="G76" s="23" t="n">
        <f aca="false">IF('TASKS AND ROAD SEGMENT MATRIX'!T76-1&gt;0,'TASKS AND ROAD SEGMENT MATRIX'!T76-1,"-")</f>
        <v>0.392689884759304</v>
      </c>
      <c r="H76" s="23" t="n">
        <f aca="false">IF('TASKS AND ROAD SEGMENT MATRIX'!U76-1&gt;0,'TASKS AND ROAD SEGMENT MATRIX'!U76-1,"-")</f>
        <v>0.392689884759304</v>
      </c>
      <c r="I76" s="23" t="str">
        <f aca="false">IF('TASKS AND ROAD SEGMENT MATRIX'!V76-1&gt;0,'TASKS AND ROAD SEGMENT MATRIX'!V76-1,"-")</f>
        <v>-</v>
      </c>
      <c r="J76" s="23" t="n">
        <f aca="false">IF('TASKS AND ROAD SEGMENT MATRIX'!W76-1&gt;0,'TASKS AND ROAD SEGMENT MATRIX'!W76-1,"-")</f>
        <v>0.392689884759304</v>
      </c>
      <c r="K76" s="23" t="str">
        <f aca="false">IF('TASKS AND ROAD SEGMENT MATRIX'!X76-1&gt;0,'TASKS AND ROAD SEGMENT MATRIX'!X76-1,"-")</f>
        <v>-</v>
      </c>
      <c r="L76" s="23" t="str">
        <f aca="false">IF('TASKS AND ROAD SEGMENT MATRIX'!Y76-1&gt;0,'TASKS AND ROAD SEGMENT MATRIX'!Y76-1,"-")</f>
        <v>-</v>
      </c>
      <c r="M76" s="23" t="str">
        <f aca="false">IF('TASKS AND ROAD SEGMENT MATRIX'!Z76-1&gt;0,'TASKS AND ROAD SEGMENT MATRIX'!Z76-1,"-")</f>
        <v>-</v>
      </c>
      <c r="N76" s="23" t="str">
        <f aca="false">IF('TASKS AND ROAD SEGMENT MATRIX'!AA76-1&gt;0,'TASKS AND ROAD SEGMENT MATRIX'!AA76-1,"-")</f>
        <v>-</v>
      </c>
      <c r="O76" s="23" t="str">
        <f aca="false">IF('TASKS AND ROAD SEGMENT MATRIX'!AB76-1&gt;0,'TASKS AND ROAD SEGMENT MATRIX'!AB76-1,"-")</f>
        <v>-</v>
      </c>
      <c r="P76" s="23" t="n">
        <f aca="false">IF('TASKS AND ROAD SEGMENT MATRIX'!AC76-1&gt;0,'TASKS AND ROAD SEGMENT MATRIX'!AC76-1,"-")</f>
        <v>0.392689884759304</v>
      </c>
      <c r="Q76" s="23" t="str">
        <f aca="false">IF('TASKS AND ROAD SEGMENT MATRIX'!AD76-1&gt;0,'TASKS AND ROAD SEGMENT MATRIX'!AD76-1,"-")</f>
        <v>-</v>
      </c>
      <c r="R76" s="23" t="n">
        <f aca="false">IF('TASKS AND ROAD SEGMENT MATRIX'!AE76-1&gt;0,'TASKS AND ROAD SEGMENT MATRIX'!AE76-1,"-")</f>
        <v>0.392689884759304</v>
      </c>
      <c r="S76" s="23" t="n">
        <f aca="false">IF('TASKS AND ROAD SEGMENT MATRIX'!AF76-1&gt;0,'TASKS AND ROAD SEGMENT MATRIX'!AF76-1,"-")</f>
        <v>0.785379769518607</v>
      </c>
      <c r="T76" s="23" t="n">
        <f aca="false">IF('TASKS AND ROAD SEGMENT MATRIX'!AG76-1&gt;0,'TASKS AND ROAD SEGMENT MATRIX'!AG76-1,"-")</f>
        <v>0.392689884759304</v>
      </c>
      <c r="U76" s="23" t="str">
        <f aca="false">IF('TASKS AND ROAD SEGMENT MATRIX'!AH76-1&gt;0,'TASKS AND ROAD SEGMENT MATRIX'!AH76-1,"-")</f>
        <v>-</v>
      </c>
      <c r="V76" s="23" t="n">
        <f aca="false">IF('TASKS AND ROAD SEGMENT MATRIX'!AI76-1&gt;0,'TASKS AND ROAD SEGMENT MATRIX'!AI76-1,"-")</f>
        <v>0.392689884759304</v>
      </c>
      <c r="W76" s="23" t="n">
        <f aca="false">IF('TASKS AND ROAD SEGMENT MATRIX'!AJ76-1&gt;0,'TASKS AND ROAD SEGMENT MATRIX'!AJ76-1,"-")</f>
        <v>0.392689884759304</v>
      </c>
      <c r="X76" s="23" t="n">
        <f aca="false">IF('TASKS AND ROAD SEGMENT MATRIX'!AK76-1&gt;0,'TASKS AND ROAD SEGMENT MATRIX'!AK76-1,"-")</f>
        <v>0.785379769518607</v>
      </c>
      <c r="Y76" s="23" t="str">
        <f aca="false">IF('TASKS AND ROAD SEGMENT MATRIX'!AL76-1&gt;0,'TASKS AND ROAD SEGMENT MATRIX'!AL76-1,"-")</f>
        <v>-</v>
      </c>
      <c r="Z76" s="23" t="n">
        <f aca="false">IF('TASKS AND ROAD SEGMENT MATRIX'!AM76-1&gt;0,'TASKS AND ROAD SEGMENT MATRIX'!AM76-1,"-")</f>
        <v>0.392689884759304</v>
      </c>
      <c r="AA76" s="23" t="n">
        <f aca="false">IF('TASKS AND ROAD SEGMENT MATRIX'!AN76-1&gt;0,'TASKS AND ROAD SEGMENT MATRIX'!AN76-1,"-")</f>
        <v>0.392689884759304</v>
      </c>
      <c r="AB76" s="23" t="n">
        <f aca="false">IF('TASKS AND ROAD SEGMENT MATRIX'!AO76-1&gt;0,'TASKS AND ROAD SEGMENT MATRIX'!AO76-1,"-")</f>
        <v>0.392689884759304</v>
      </c>
      <c r="AC76" s="23" t="n">
        <f aca="false">IF('TASKS AND ROAD SEGMENT MATRIX'!AP76-1&gt;0,'TASKS AND ROAD SEGMENT MATRIX'!AP76-1,"-")</f>
        <v>0.785379769518607</v>
      </c>
      <c r="AD76" s="23" t="n">
        <f aca="false">IF('TASKS AND ROAD SEGMENT MATRIX'!AQ76-1&gt;0,'TASKS AND ROAD SEGMENT MATRIX'!AQ76-1,"-")</f>
        <v>0.785379769518607</v>
      </c>
      <c r="AE76" s="23" t="n">
        <f aca="false">IF('TASKS AND ROAD SEGMENT MATRIX'!AR76-1&gt;0,'TASKS AND ROAD SEGMENT MATRIX'!AR76-1,"-")</f>
        <v>0.785379769518607</v>
      </c>
      <c r="AF76" s="23" t="n">
        <f aca="false">IF('TASKS AND ROAD SEGMENT MATRIX'!AS76-1&gt;0,'TASKS AND ROAD SEGMENT MATRIX'!AS76-1,"-")</f>
        <v>0.392689884759304</v>
      </c>
      <c r="AG76" s="23" t="n">
        <f aca="false">IF('TASKS AND ROAD SEGMENT MATRIX'!AT76-1&gt;0,'TASKS AND ROAD SEGMENT MATRIX'!AT76-1,"-")</f>
        <v>0.785379769518607</v>
      </c>
      <c r="AH76" s="23" t="str">
        <f aca="false">IF('TASKS AND ROAD SEGMENT MATRIX'!AU76-1&gt;0,'TASKS AND ROAD SEGMENT MATRIX'!AU76-1,"-")</f>
        <v>-</v>
      </c>
      <c r="AI76" s="23" t="str">
        <f aca="false">IF('TASKS AND ROAD SEGMENT MATRIX'!AV76-1&gt;0,'TASKS AND ROAD SEGMENT MATRIX'!AV76-1,"-")</f>
        <v>-</v>
      </c>
      <c r="AJ76" s="23" t="str">
        <f aca="false">IF('TASKS AND ROAD SEGMENT MATRIX'!AW76-1&gt;0,'TASKS AND ROAD SEGMENT MATRIX'!AW76-1,"-")</f>
        <v>-</v>
      </c>
      <c r="AK76" s="23" t="str">
        <f aca="false">IF('TASKS AND ROAD SEGMENT MATRIX'!AX76-1&gt;0,'TASKS AND ROAD SEGMENT MATRIX'!AX76-1,"-")</f>
        <v>-</v>
      </c>
      <c r="AL76" s="23" t="str">
        <f aca="false">IF('TASKS AND ROAD SEGMENT MATRIX'!AY76-1&gt;0,'TASKS AND ROAD SEGMENT MATRIX'!AY76-1,"-")</f>
        <v>-</v>
      </c>
      <c r="AM76" s="23" t="str">
        <f aca="false">IF('TASKS AND ROAD SEGMENT MATRIX'!AZ76-1&gt;0,'TASKS AND ROAD SEGMENT MATRIX'!AZ76-1,"-")</f>
        <v>-</v>
      </c>
      <c r="AN76" s="23" t="str">
        <f aca="false">IF('TASKS AND ROAD SEGMENT MATRIX'!BA76-1&gt;0,'TASKS AND ROAD SEGMENT MATRIX'!BA76-1,"-")</f>
        <v>-</v>
      </c>
      <c r="AO76" s="23" t="str">
        <f aca="false">IF('TASKS AND ROAD SEGMENT MATRIX'!BB76-1&gt;0,'TASKS AND ROAD SEGMENT MATRIX'!BB76-1,"-")</f>
        <v>-</v>
      </c>
      <c r="AP76" s="23" t="str">
        <f aca="false">IF('TASKS AND ROAD SEGMENT MATRIX'!BC76-1&gt;0,'TASKS AND ROAD SEGMENT MATRIX'!BC76-1,"-")</f>
        <v>-</v>
      </c>
      <c r="AQ76" s="23" t="str">
        <f aca="false">IF('TASKS AND ROAD SEGMENT MATRIX'!BD76-1&gt;0,'TASKS AND ROAD SEGMENT MATRIX'!BD76-1,"-")</f>
        <v>-</v>
      </c>
      <c r="AR76" s="23" t="n">
        <f aca="false">IF('TASKS AND ROAD SEGMENT MATRIX'!BE76-1&gt;0,'TASKS AND ROAD SEGMENT MATRIX'!BE76-1,"-")</f>
        <v>0.392689884759304</v>
      </c>
      <c r="AS76" s="23" t="str">
        <f aca="false">IF('TASKS AND ROAD SEGMENT MATRIX'!BF76-1&gt;0,'TASKS AND ROAD SEGMENT MATRIX'!BF76-1,"-")</f>
        <v>-</v>
      </c>
      <c r="AT76" s="23" t="str">
        <f aca="false">IF('TASKS AND ROAD SEGMENT MATRIX'!BG76-1&gt;0,'TASKS AND ROAD SEGMENT MATRIX'!BG76-1,"-")</f>
        <v>-</v>
      </c>
      <c r="AU76" s="23" t="n">
        <f aca="false">IF('TASKS AND ROAD SEGMENT MATRIX'!BH76-1&gt;0,'TASKS AND ROAD SEGMENT MATRIX'!BH76-1,"-")</f>
        <v>0.392689884759304</v>
      </c>
    </row>
    <row r="77" customFormat="false" ht="13.8" hidden="false" customHeight="false" outlineLevel="0" collapsed="false">
      <c r="A77" s="0" t="s">
        <v>80</v>
      </c>
      <c r="B77" s="0" t="s">
        <v>119</v>
      </c>
      <c r="C77" s="23" t="str">
        <f aca="false">IF('TASKS AND ROAD SEGMENT MATRIX'!P77-1&gt;0,'TASKS AND ROAD SEGMENT MATRIX'!P77-1,"-")</f>
        <v>-</v>
      </c>
      <c r="D77" s="23" t="str">
        <f aca="false">IF('TASKS AND ROAD SEGMENT MATRIX'!Q77-1&gt;0,'TASKS AND ROAD SEGMENT MATRIX'!Q77-1,"-")</f>
        <v>-</v>
      </c>
      <c r="E77" s="23" t="str">
        <f aca="false">IF('TASKS AND ROAD SEGMENT MATRIX'!R77-1&gt;0,'TASKS AND ROAD SEGMENT MATRIX'!R77-1,"-")</f>
        <v>-</v>
      </c>
      <c r="F77" s="23" t="str">
        <f aca="false">IF('TASKS AND ROAD SEGMENT MATRIX'!S77-1&gt;0,'TASKS AND ROAD SEGMENT MATRIX'!S77-1,"-")</f>
        <v>-</v>
      </c>
      <c r="G77" s="23" t="n">
        <f aca="false">IF('TASKS AND ROAD SEGMENT MATRIX'!T77-1&gt;0,'TASKS AND ROAD SEGMENT MATRIX'!T77-1,"-")</f>
        <v>0.471227861711165</v>
      </c>
      <c r="H77" s="23" t="n">
        <f aca="false">IF('TASKS AND ROAD SEGMENT MATRIX'!U77-1&gt;0,'TASKS AND ROAD SEGMENT MATRIX'!U77-1,"-")</f>
        <v>0.471227861711165</v>
      </c>
      <c r="I77" s="23" t="str">
        <f aca="false">IF('TASKS AND ROAD SEGMENT MATRIX'!V77-1&gt;0,'TASKS AND ROAD SEGMENT MATRIX'!V77-1,"-")</f>
        <v>-</v>
      </c>
      <c r="J77" s="23" t="n">
        <f aca="false">IF('TASKS AND ROAD SEGMENT MATRIX'!W77-1&gt;0,'TASKS AND ROAD SEGMENT MATRIX'!W77-1,"-")</f>
        <v>0.471227861711165</v>
      </c>
      <c r="K77" s="23" t="str">
        <f aca="false">IF('TASKS AND ROAD SEGMENT MATRIX'!X77-1&gt;0,'TASKS AND ROAD SEGMENT MATRIX'!X77-1,"-")</f>
        <v>-</v>
      </c>
      <c r="L77" s="23" t="str">
        <f aca="false">IF('TASKS AND ROAD SEGMENT MATRIX'!Y77-1&gt;0,'TASKS AND ROAD SEGMENT MATRIX'!Y77-1,"-")</f>
        <v>-</v>
      </c>
      <c r="M77" s="23" t="str">
        <f aca="false">IF('TASKS AND ROAD SEGMENT MATRIX'!Z77-1&gt;0,'TASKS AND ROAD SEGMENT MATRIX'!Z77-1,"-")</f>
        <v>-</v>
      </c>
      <c r="N77" s="23" t="str">
        <f aca="false">IF('TASKS AND ROAD SEGMENT MATRIX'!AA77-1&gt;0,'TASKS AND ROAD SEGMENT MATRIX'!AA77-1,"-")</f>
        <v>-</v>
      </c>
      <c r="O77" s="23" t="str">
        <f aca="false">IF('TASKS AND ROAD SEGMENT MATRIX'!AB77-1&gt;0,'TASKS AND ROAD SEGMENT MATRIX'!AB77-1,"-")</f>
        <v>-</v>
      </c>
      <c r="P77" s="23" t="n">
        <f aca="false">IF('TASKS AND ROAD SEGMENT MATRIX'!AC77-1&gt;0,'TASKS AND ROAD SEGMENT MATRIX'!AC77-1,"-")</f>
        <v>0.471227861711165</v>
      </c>
      <c r="Q77" s="23" t="str">
        <f aca="false">IF('TASKS AND ROAD SEGMENT MATRIX'!AD77-1&gt;0,'TASKS AND ROAD SEGMENT MATRIX'!AD77-1,"-")</f>
        <v>-</v>
      </c>
      <c r="R77" s="23" t="n">
        <f aca="false">IF('TASKS AND ROAD SEGMENT MATRIX'!AE77-1&gt;0,'TASKS AND ROAD SEGMENT MATRIX'!AE77-1,"-")</f>
        <v>0.471227861711165</v>
      </c>
      <c r="S77" s="23" t="n">
        <f aca="false">IF('TASKS AND ROAD SEGMENT MATRIX'!AF77-1&gt;0,'TASKS AND ROAD SEGMENT MATRIX'!AF77-1,"-")</f>
        <v>0.942455723422329</v>
      </c>
      <c r="T77" s="23" t="n">
        <f aca="false">IF('TASKS AND ROAD SEGMENT MATRIX'!AG77-1&gt;0,'TASKS AND ROAD SEGMENT MATRIX'!AG77-1,"-")</f>
        <v>0.471227861711165</v>
      </c>
      <c r="U77" s="23" t="str">
        <f aca="false">IF('TASKS AND ROAD SEGMENT MATRIX'!AH77-1&gt;0,'TASKS AND ROAD SEGMENT MATRIX'!AH77-1,"-")</f>
        <v>-</v>
      </c>
      <c r="V77" s="23" t="n">
        <f aca="false">IF('TASKS AND ROAD SEGMENT MATRIX'!AI77-1&gt;0,'TASKS AND ROAD SEGMENT MATRIX'!AI77-1,"-")</f>
        <v>0.471227861711165</v>
      </c>
      <c r="W77" s="23" t="n">
        <f aca="false">IF('TASKS AND ROAD SEGMENT MATRIX'!AJ77-1&gt;0,'TASKS AND ROAD SEGMENT MATRIX'!AJ77-1,"-")</f>
        <v>0.471227861711165</v>
      </c>
      <c r="X77" s="23" t="n">
        <f aca="false">IF('TASKS AND ROAD SEGMENT MATRIX'!AK77-1&gt;0,'TASKS AND ROAD SEGMENT MATRIX'!AK77-1,"-")</f>
        <v>0.942455723422329</v>
      </c>
      <c r="Y77" s="23" t="str">
        <f aca="false">IF('TASKS AND ROAD SEGMENT MATRIX'!AL77-1&gt;0,'TASKS AND ROAD SEGMENT MATRIX'!AL77-1,"-")</f>
        <v>-</v>
      </c>
      <c r="Z77" s="23" t="n">
        <f aca="false">IF('TASKS AND ROAD SEGMENT MATRIX'!AM77-1&gt;0,'TASKS AND ROAD SEGMENT MATRIX'!AM77-1,"-")</f>
        <v>0.471227861711165</v>
      </c>
      <c r="AA77" s="23" t="n">
        <f aca="false">IF('TASKS AND ROAD SEGMENT MATRIX'!AN77-1&gt;0,'TASKS AND ROAD SEGMENT MATRIX'!AN77-1,"-")</f>
        <v>0.471227861711165</v>
      </c>
      <c r="AB77" s="23" t="n">
        <f aca="false">IF('TASKS AND ROAD SEGMENT MATRIX'!AO77-1&gt;0,'TASKS AND ROAD SEGMENT MATRIX'!AO77-1,"-")</f>
        <v>0.471227861711165</v>
      </c>
      <c r="AC77" s="23" t="n">
        <f aca="false">IF('TASKS AND ROAD SEGMENT MATRIX'!AP77-1&gt;0,'TASKS AND ROAD SEGMENT MATRIX'!AP77-1,"-")</f>
        <v>0.942455723422329</v>
      </c>
      <c r="AD77" s="23" t="n">
        <f aca="false">IF('TASKS AND ROAD SEGMENT MATRIX'!AQ77-1&gt;0,'TASKS AND ROAD SEGMENT MATRIX'!AQ77-1,"-")</f>
        <v>0.942455723422329</v>
      </c>
      <c r="AE77" s="23" t="n">
        <f aca="false">IF('TASKS AND ROAD SEGMENT MATRIX'!AR77-1&gt;0,'TASKS AND ROAD SEGMENT MATRIX'!AR77-1,"-")</f>
        <v>0.942455723422329</v>
      </c>
      <c r="AF77" s="23" t="n">
        <f aca="false">IF('TASKS AND ROAD SEGMENT MATRIX'!AS77-1&gt;0,'TASKS AND ROAD SEGMENT MATRIX'!AS77-1,"-")</f>
        <v>0.942455723422329</v>
      </c>
      <c r="AG77" s="23" t="n">
        <f aca="false">IF('TASKS AND ROAD SEGMENT MATRIX'!AT77-1&gt;0,'TASKS AND ROAD SEGMENT MATRIX'!AT77-1,"-")</f>
        <v>0.942455723422329</v>
      </c>
      <c r="AH77" s="23" t="str">
        <f aca="false">IF('TASKS AND ROAD SEGMENT MATRIX'!AU77-1&gt;0,'TASKS AND ROAD SEGMENT MATRIX'!AU77-1,"-")</f>
        <v>-</v>
      </c>
      <c r="AI77" s="23" t="str">
        <f aca="false">IF('TASKS AND ROAD SEGMENT MATRIX'!AV77-1&gt;0,'TASKS AND ROAD SEGMENT MATRIX'!AV77-1,"-")</f>
        <v>-</v>
      </c>
      <c r="AJ77" s="23" t="str">
        <f aca="false">IF('TASKS AND ROAD SEGMENT MATRIX'!AW77-1&gt;0,'TASKS AND ROAD SEGMENT MATRIX'!AW77-1,"-")</f>
        <v>-</v>
      </c>
      <c r="AK77" s="23" t="str">
        <f aca="false">IF('TASKS AND ROAD SEGMENT MATRIX'!AX77-1&gt;0,'TASKS AND ROAD SEGMENT MATRIX'!AX77-1,"-")</f>
        <v>-</v>
      </c>
      <c r="AL77" s="23" t="str">
        <f aca="false">IF('TASKS AND ROAD SEGMENT MATRIX'!AY77-1&gt;0,'TASKS AND ROAD SEGMENT MATRIX'!AY77-1,"-")</f>
        <v>-</v>
      </c>
      <c r="AM77" s="23" t="str">
        <f aca="false">IF('TASKS AND ROAD SEGMENT MATRIX'!AZ77-1&gt;0,'TASKS AND ROAD SEGMENT MATRIX'!AZ77-1,"-")</f>
        <v>-</v>
      </c>
      <c r="AN77" s="23" t="str">
        <f aca="false">IF('TASKS AND ROAD SEGMENT MATRIX'!BA77-1&gt;0,'TASKS AND ROAD SEGMENT MATRIX'!BA77-1,"-")</f>
        <v>-</v>
      </c>
      <c r="AO77" s="23" t="str">
        <f aca="false">IF('TASKS AND ROAD SEGMENT MATRIX'!BB77-1&gt;0,'TASKS AND ROAD SEGMENT MATRIX'!BB77-1,"-")</f>
        <v>-</v>
      </c>
      <c r="AP77" s="23" t="str">
        <f aca="false">IF('TASKS AND ROAD SEGMENT MATRIX'!BC77-1&gt;0,'TASKS AND ROAD SEGMENT MATRIX'!BC77-1,"-")</f>
        <v>-</v>
      </c>
      <c r="AQ77" s="23" t="str">
        <f aca="false">IF('TASKS AND ROAD SEGMENT MATRIX'!BD77-1&gt;0,'TASKS AND ROAD SEGMENT MATRIX'!BD77-1,"-")</f>
        <v>-</v>
      </c>
      <c r="AR77" s="23" t="n">
        <f aca="false">IF('TASKS AND ROAD SEGMENT MATRIX'!BE77-1&gt;0,'TASKS AND ROAD SEGMENT MATRIX'!BE77-1,"-")</f>
        <v>0.471227861711165</v>
      </c>
      <c r="AS77" s="23" t="str">
        <f aca="false">IF('TASKS AND ROAD SEGMENT MATRIX'!BF77-1&gt;0,'TASKS AND ROAD SEGMENT MATRIX'!BF77-1,"-")</f>
        <v>-</v>
      </c>
      <c r="AT77" s="23" t="str">
        <f aca="false">IF('TASKS AND ROAD SEGMENT MATRIX'!BG77-1&gt;0,'TASKS AND ROAD SEGMENT MATRIX'!BG77-1,"-")</f>
        <v>-</v>
      </c>
      <c r="AU77" s="23" t="n">
        <f aca="false">IF('TASKS AND ROAD SEGMENT MATRIX'!BH77-1&gt;0,'TASKS AND ROAD SEGMENT MATRIX'!BH77-1,"-")</f>
        <v>0.471227861711165</v>
      </c>
    </row>
    <row r="78" customFormat="false" ht="13.8" hidden="false" customHeight="false" outlineLevel="0" collapsed="false">
      <c r="A78" s="9" t="s">
        <v>81</v>
      </c>
      <c r="B78" s="0" t="s">
        <v>112</v>
      </c>
      <c r="C78" s="23" t="str">
        <f aca="false">IF('TASKS AND ROAD SEGMENT MATRIX'!P78-1&gt;0,'TASKS AND ROAD SEGMENT MATRIX'!P78-1,"-")</f>
        <v>-</v>
      </c>
      <c r="D78" s="23" t="str">
        <f aca="false">IF('TASKS AND ROAD SEGMENT MATRIX'!Q78-1&gt;0,'TASKS AND ROAD SEGMENT MATRIX'!Q78-1,"-")</f>
        <v>-</v>
      </c>
      <c r="E78" s="23" t="str">
        <f aca="false">IF('TASKS AND ROAD SEGMENT MATRIX'!R78-1&gt;0,'TASKS AND ROAD SEGMENT MATRIX'!R78-1,"-")</f>
        <v>-</v>
      </c>
      <c r="F78" s="23" t="str">
        <f aca="false">IF('TASKS AND ROAD SEGMENT MATRIX'!S78-1&gt;0,'TASKS AND ROAD SEGMENT MATRIX'!S78-1,"-")</f>
        <v>-</v>
      </c>
      <c r="G78" s="23" t="str">
        <f aca="false">IF('TASKS AND ROAD SEGMENT MATRIX'!T78-1&gt;0,'TASKS AND ROAD SEGMENT MATRIX'!T78-1,"-")</f>
        <v>-</v>
      </c>
      <c r="H78" s="23" t="str">
        <f aca="false">IF('TASKS AND ROAD SEGMENT MATRIX'!U78-1&gt;0,'TASKS AND ROAD SEGMENT MATRIX'!U78-1,"-")</f>
        <v>-</v>
      </c>
      <c r="I78" s="23" t="n">
        <f aca="false">IF('TASKS AND ROAD SEGMENT MATRIX'!V78-1&gt;0,'TASKS AND ROAD SEGMENT MATRIX'!V78-1,"-")</f>
        <v>0.209983354574433</v>
      </c>
      <c r="J78" s="23" t="n">
        <f aca="false">IF('TASKS AND ROAD SEGMENT MATRIX'!W78-1&gt;0,'TASKS AND ROAD SEGMENT MATRIX'!W78-1,"-")</f>
        <v>0.419966709148865</v>
      </c>
      <c r="K78" s="23" t="str">
        <f aca="false">IF('TASKS AND ROAD SEGMENT MATRIX'!X78-1&gt;0,'TASKS AND ROAD SEGMENT MATRIX'!X78-1,"-")</f>
        <v>-</v>
      </c>
      <c r="L78" s="23" t="str">
        <f aca="false">IF('TASKS AND ROAD SEGMENT MATRIX'!Y78-1&gt;0,'TASKS AND ROAD SEGMENT MATRIX'!Y78-1,"-")</f>
        <v>-</v>
      </c>
      <c r="M78" s="23" t="str">
        <f aca="false">IF('TASKS AND ROAD SEGMENT MATRIX'!Z78-1&gt;0,'TASKS AND ROAD SEGMENT MATRIX'!Z78-1,"-")</f>
        <v>-</v>
      </c>
      <c r="N78" s="23" t="str">
        <f aca="false">IF('TASKS AND ROAD SEGMENT MATRIX'!AA78-1&gt;0,'TASKS AND ROAD SEGMENT MATRIX'!AA78-1,"-")</f>
        <v>-</v>
      </c>
      <c r="O78" s="23" t="str">
        <f aca="false">IF('TASKS AND ROAD SEGMENT MATRIX'!AB78-1&gt;0,'TASKS AND ROAD SEGMENT MATRIX'!AB78-1,"-")</f>
        <v>-</v>
      </c>
      <c r="P78" s="23" t="str">
        <f aca="false">IF('TASKS AND ROAD SEGMENT MATRIX'!AC78-1&gt;0,'TASKS AND ROAD SEGMENT MATRIX'!AC78-1,"-")</f>
        <v>-</v>
      </c>
      <c r="Q78" s="23" t="str">
        <f aca="false">IF('TASKS AND ROAD SEGMENT MATRIX'!AD78-1&gt;0,'TASKS AND ROAD SEGMENT MATRIX'!AD78-1,"-")</f>
        <v>-</v>
      </c>
      <c r="R78" s="23" t="n">
        <f aca="false">IF('TASKS AND ROAD SEGMENT MATRIX'!AE78-1&gt;0,'TASKS AND ROAD SEGMENT MATRIX'!AE78-1,"-")</f>
        <v>0.209983354574433</v>
      </c>
      <c r="S78" s="23" t="n">
        <f aca="false">IF('TASKS AND ROAD SEGMENT MATRIX'!AF78-1&gt;0,'TASKS AND ROAD SEGMENT MATRIX'!AF78-1,"-")</f>
        <v>0.419966709148865</v>
      </c>
      <c r="T78" s="23" t="n">
        <f aca="false">IF('TASKS AND ROAD SEGMENT MATRIX'!AG78-1&gt;0,'TASKS AND ROAD SEGMENT MATRIX'!AG78-1,"-")</f>
        <v>0.209983354574433</v>
      </c>
      <c r="U78" s="23" t="str">
        <f aca="false">IF('TASKS AND ROAD SEGMENT MATRIX'!AH78-1&gt;0,'TASKS AND ROAD SEGMENT MATRIX'!AH78-1,"-")</f>
        <v>-</v>
      </c>
      <c r="V78" s="23" t="n">
        <f aca="false">IF('TASKS AND ROAD SEGMENT MATRIX'!AI78-1&gt;0,'TASKS AND ROAD SEGMENT MATRIX'!AI78-1,"-")</f>
        <v>0.209983354574433</v>
      </c>
      <c r="W78" s="23" t="n">
        <f aca="false">IF('TASKS AND ROAD SEGMENT MATRIX'!AJ78-1&gt;0,'TASKS AND ROAD SEGMENT MATRIX'!AJ78-1,"-")</f>
        <v>0.209983354574433</v>
      </c>
      <c r="X78" s="23" t="n">
        <f aca="false">IF('TASKS AND ROAD SEGMENT MATRIX'!AK78-1&gt;0,'TASKS AND ROAD SEGMENT MATRIX'!AK78-1,"-")</f>
        <v>0.419966709148865</v>
      </c>
      <c r="Y78" s="23" t="str">
        <f aca="false">IF('TASKS AND ROAD SEGMENT MATRIX'!AL78-1&gt;0,'TASKS AND ROAD SEGMENT MATRIX'!AL78-1,"-")</f>
        <v>-</v>
      </c>
      <c r="Z78" s="23" t="str">
        <f aca="false">IF('TASKS AND ROAD SEGMENT MATRIX'!AM78-1&gt;0,'TASKS AND ROAD SEGMENT MATRIX'!AM78-1,"-")</f>
        <v>-</v>
      </c>
      <c r="AA78" s="23" t="str">
        <f aca="false">IF('TASKS AND ROAD SEGMENT MATRIX'!AN78-1&gt;0,'TASKS AND ROAD SEGMENT MATRIX'!AN78-1,"-")</f>
        <v>-</v>
      </c>
      <c r="AB78" s="23" t="str">
        <f aca="false">IF('TASKS AND ROAD SEGMENT MATRIX'!AO78-1&gt;0,'TASKS AND ROAD SEGMENT MATRIX'!AO78-1,"-")</f>
        <v>-</v>
      </c>
      <c r="AC78" s="23" t="n">
        <f aca="false">IF('TASKS AND ROAD SEGMENT MATRIX'!AP78-1&gt;0,'TASKS AND ROAD SEGMENT MATRIX'!AP78-1,"-")</f>
        <v>0.209983354574433</v>
      </c>
      <c r="AD78" s="23" t="n">
        <f aca="false">IF('TASKS AND ROAD SEGMENT MATRIX'!AQ78-1&gt;0,'TASKS AND ROAD SEGMENT MATRIX'!AQ78-1,"-")</f>
        <v>0.209983354574433</v>
      </c>
      <c r="AE78" s="23" t="n">
        <f aca="false">IF('TASKS AND ROAD SEGMENT MATRIX'!AR78-1&gt;0,'TASKS AND ROAD SEGMENT MATRIX'!AR78-1,"-")</f>
        <v>0.209983354574433</v>
      </c>
      <c r="AF78" s="23" t="n">
        <f aca="false">IF('TASKS AND ROAD SEGMENT MATRIX'!AS78-1&gt;0,'TASKS AND ROAD SEGMENT MATRIX'!AS78-1,"-")</f>
        <v>0.419966709148865</v>
      </c>
      <c r="AG78" s="23" t="str">
        <f aca="false">IF('TASKS AND ROAD SEGMENT MATRIX'!AT78-1&gt;0,'TASKS AND ROAD SEGMENT MATRIX'!AT78-1,"-")</f>
        <v>-</v>
      </c>
      <c r="AH78" s="23" t="n">
        <f aca="false">IF('TASKS AND ROAD SEGMENT MATRIX'!AU78-1&gt;0,'TASKS AND ROAD SEGMENT MATRIX'!AU78-1,"-")</f>
        <v>0.209983354574433</v>
      </c>
      <c r="AI78" s="23" t="str">
        <f aca="false">IF('TASKS AND ROAD SEGMENT MATRIX'!AV78-1&gt;0,'TASKS AND ROAD SEGMENT MATRIX'!AV78-1,"-")</f>
        <v>-</v>
      </c>
      <c r="AJ78" s="23" t="str">
        <f aca="false">IF('TASKS AND ROAD SEGMENT MATRIX'!AW78-1&gt;0,'TASKS AND ROAD SEGMENT MATRIX'!AW78-1,"-")</f>
        <v>-</v>
      </c>
      <c r="AK78" s="23" t="str">
        <f aca="false">IF('TASKS AND ROAD SEGMENT MATRIX'!AX78-1&gt;0,'TASKS AND ROAD SEGMENT MATRIX'!AX78-1,"-")</f>
        <v>-</v>
      </c>
      <c r="AL78" s="23" t="str">
        <f aca="false">IF('TASKS AND ROAD SEGMENT MATRIX'!AY78-1&gt;0,'TASKS AND ROAD SEGMENT MATRIX'!AY78-1,"-")</f>
        <v>-</v>
      </c>
      <c r="AM78" s="23" t="str">
        <f aca="false">IF('TASKS AND ROAD SEGMENT MATRIX'!AZ78-1&gt;0,'TASKS AND ROAD SEGMENT MATRIX'!AZ78-1,"-")</f>
        <v>-</v>
      </c>
      <c r="AN78" s="23" t="str">
        <f aca="false">IF('TASKS AND ROAD SEGMENT MATRIX'!BA78-1&gt;0,'TASKS AND ROAD SEGMENT MATRIX'!BA78-1,"-")</f>
        <v>-</v>
      </c>
      <c r="AO78" s="23" t="str">
        <f aca="false">IF('TASKS AND ROAD SEGMENT MATRIX'!BB78-1&gt;0,'TASKS AND ROAD SEGMENT MATRIX'!BB78-1,"-")</f>
        <v>-</v>
      </c>
      <c r="AP78" s="23" t="str">
        <f aca="false">IF('TASKS AND ROAD SEGMENT MATRIX'!BC78-1&gt;0,'TASKS AND ROAD SEGMENT MATRIX'!BC78-1,"-")</f>
        <v>-</v>
      </c>
      <c r="AQ78" s="23" t="n">
        <f aca="false">IF('TASKS AND ROAD SEGMENT MATRIX'!BD78-1&gt;0,'TASKS AND ROAD SEGMENT MATRIX'!BD78-1,"-")</f>
        <v>0.209983354574433</v>
      </c>
      <c r="AR78" s="23" t="n">
        <f aca="false">IF('TASKS AND ROAD SEGMENT MATRIX'!BE78-1&gt;0,'TASKS AND ROAD SEGMENT MATRIX'!BE78-1,"-")</f>
        <v>0.209983354574433</v>
      </c>
      <c r="AS78" s="23" t="str">
        <f aca="false">IF('TASKS AND ROAD SEGMENT MATRIX'!BF78-1&gt;0,'TASKS AND ROAD SEGMENT MATRIX'!BF78-1,"-")</f>
        <v>-</v>
      </c>
      <c r="AT78" s="23" t="str">
        <f aca="false">IF('TASKS AND ROAD SEGMENT MATRIX'!BG78-1&gt;0,'TASKS AND ROAD SEGMENT MATRIX'!BG78-1,"-")</f>
        <v>-</v>
      </c>
      <c r="AU78" s="23" t="str">
        <f aca="false">IF('TASKS AND ROAD SEGMENT MATRIX'!BH78-1&gt;0,'TASKS AND ROAD SEGMENT MATRIX'!BH78-1,"-")</f>
        <v>-</v>
      </c>
    </row>
    <row r="79" customFormat="false" ht="13.8" hidden="false" customHeight="false" outlineLevel="0" collapsed="false">
      <c r="A79" s="9" t="s">
        <v>81</v>
      </c>
      <c r="B79" s="0" t="s">
        <v>115</v>
      </c>
      <c r="C79" s="23" t="str">
        <f aca="false">IF('TASKS AND ROAD SEGMENT MATRIX'!P79-1&gt;0,'TASKS AND ROAD SEGMENT MATRIX'!P79-1,"-")</f>
        <v>-</v>
      </c>
      <c r="D79" s="23" t="str">
        <f aca="false">IF('TASKS AND ROAD SEGMENT MATRIX'!Q79-1&gt;0,'TASKS AND ROAD SEGMENT MATRIX'!Q79-1,"-")</f>
        <v>-</v>
      </c>
      <c r="E79" s="23" t="str">
        <f aca="false">IF('TASKS AND ROAD SEGMENT MATRIX'!R79-1&gt;0,'TASKS AND ROAD SEGMENT MATRIX'!R79-1,"-")</f>
        <v>-</v>
      </c>
      <c r="F79" s="23" t="str">
        <f aca="false">IF('TASKS AND ROAD SEGMENT MATRIX'!S79-1&gt;0,'TASKS AND ROAD SEGMENT MATRIX'!S79-1,"-")</f>
        <v>-</v>
      </c>
      <c r="G79" s="23" t="str">
        <f aca="false">IF('TASKS AND ROAD SEGMENT MATRIX'!T79-1&gt;0,'TASKS AND ROAD SEGMENT MATRIX'!T79-1,"-")</f>
        <v>-</v>
      </c>
      <c r="H79" s="23" t="str">
        <f aca="false">IF('TASKS AND ROAD SEGMENT MATRIX'!U79-1&gt;0,'TASKS AND ROAD SEGMENT MATRIX'!U79-1,"-")</f>
        <v>-</v>
      </c>
      <c r="I79" s="23" t="n">
        <f aca="false">IF('TASKS AND ROAD SEGMENT MATRIX'!V79-1&gt;0,'TASKS AND ROAD SEGMENT MATRIX'!V79-1,"-")</f>
        <v>0.314975031861649</v>
      </c>
      <c r="J79" s="23" t="n">
        <f aca="false">IF('TASKS AND ROAD SEGMENT MATRIX'!W79-1&gt;0,'TASKS AND ROAD SEGMENT MATRIX'!W79-1,"-")</f>
        <v>0.629950063723298</v>
      </c>
      <c r="K79" s="23" t="str">
        <f aca="false">IF('TASKS AND ROAD SEGMENT MATRIX'!X79-1&gt;0,'TASKS AND ROAD SEGMENT MATRIX'!X79-1,"-")</f>
        <v>-</v>
      </c>
      <c r="L79" s="23" t="str">
        <f aca="false">IF('TASKS AND ROAD SEGMENT MATRIX'!Y79-1&gt;0,'TASKS AND ROAD SEGMENT MATRIX'!Y79-1,"-")</f>
        <v>-</v>
      </c>
      <c r="M79" s="23" t="str">
        <f aca="false">IF('TASKS AND ROAD SEGMENT MATRIX'!Z79-1&gt;0,'TASKS AND ROAD SEGMENT MATRIX'!Z79-1,"-")</f>
        <v>-</v>
      </c>
      <c r="N79" s="23" t="str">
        <f aca="false">IF('TASKS AND ROAD SEGMENT MATRIX'!AA79-1&gt;0,'TASKS AND ROAD SEGMENT MATRIX'!AA79-1,"-")</f>
        <v>-</v>
      </c>
      <c r="O79" s="23" t="str">
        <f aca="false">IF('TASKS AND ROAD SEGMENT MATRIX'!AB79-1&gt;0,'TASKS AND ROAD SEGMENT MATRIX'!AB79-1,"-")</f>
        <v>-</v>
      </c>
      <c r="P79" s="23" t="str">
        <f aca="false">IF('TASKS AND ROAD SEGMENT MATRIX'!AC79-1&gt;0,'TASKS AND ROAD SEGMENT MATRIX'!AC79-1,"-")</f>
        <v>-</v>
      </c>
      <c r="Q79" s="23" t="str">
        <f aca="false">IF('TASKS AND ROAD SEGMENT MATRIX'!AD79-1&gt;0,'TASKS AND ROAD SEGMENT MATRIX'!AD79-1,"-")</f>
        <v>-</v>
      </c>
      <c r="R79" s="23" t="n">
        <f aca="false">IF('TASKS AND ROAD SEGMENT MATRIX'!AE79-1&gt;0,'TASKS AND ROAD SEGMENT MATRIX'!AE79-1,"-")</f>
        <v>0.314975031861649</v>
      </c>
      <c r="S79" s="23" t="n">
        <f aca="false">IF('TASKS AND ROAD SEGMENT MATRIX'!AF79-1&gt;0,'TASKS AND ROAD SEGMENT MATRIX'!AF79-1,"-")</f>
        <v>0.629950063723298</v>
      </c>
      <c r="T79" s="23" t="n">
        <f aca="false">IF('TASKS AND ROAD SEGMENT MATRIX'!AG79-1&gt;0,'TASKS AND ROAD SEGMENT MATRIX'!AG79-1,"-")</f>
        <v>0.314975031861649</v>
      </c>
      <c r="U79" s="23" t="str">
        <f aca="false">IF('TASKS AND ROAD SEGMENT MATRIX'!AH79-1&gt;0,'TASKS AND ROAD SEGMENT MATRIX'!AH79-1,"-")</f>
        <v>-</v>
      </c>
      <c r="V79" s="23" t="n">
        <f aca="false">IF('TASKS AND ROAD SEGMENT MATRIX'!AI79-1&gt;0,'TASKS AND ROAD SEGMENT MATRIX'!AI79-1,"-")</f>
        <v>0.314975031861649</v>
      </c>
      <c r="W79" s="23" t="n">
        <f aca="false">IF('TASKS AND ROAD SEGMENT MATRIX'!AJ79-1&gt;0,'TASKS AND ROAD SEGMENT MATRIX'!AJ79-1,"-")</f>
        <v>0.314975031861649</v>
      </c>
      <c r="X79" s="23" t="n">
        <f aca="false">IF('TASKS AND ROAD SEGMENT MATRIX'!AK79-1&gt;0,'TASKS AND ROAD SEGMENT MATRIX'!AK79-1,"-")</f>
        <v>0.629950063723298</v>
      </c>
      <c r="Y79" s="23" t="str">
        <f aca="false">IF('TASKS AND ROAD SEGMENT MATRIX'!AL79-1&gt;0,'TASKS AND ROAD SEGMENT MATRIX'!AL79-1,"-")</f>
        <v>-</v>
      </c>
      <c r="Z79" s="23" t="str">
        <f aca="false">IF('TASKS AND ROAD SEGMENT MATRIX'!AM79-1&gt;0,'TASKS AND ROAD SEGMENT MATRIX'!AM79-1,"-")</f>
        <v>-</v>
      </c>
      <c r="AA79" s="23" t="str">
        <f aca="false">IF('TASKS AND ROAD SEGMENT MATRIX'!AN79-1&gt;0,'TASKS AND ROAD SEGMENT MATRIX'!AN79-1,"-")</f>
        <v>-</v>
      </c>
      <c r="AB79" s="23" t="str">
        <f aca="false">IF('TASKS AND ROAD SEGMENT MATRIX'!AO79-1&gt;0,'TASKS AND ROAD SEGMENT MATRIX'!AO79-1,"-")</f>
        <v>-</v>
      </c>
      <c r="AC79" s="23" t="n">
        <f aca="false">IF('TASKS AND ROAD SEGMENT MATRIX'!AP79-1&gt;0,'TASKS AND ROAD SEGMENT MATRIX'!AP79-1,"-")</f>
        <v>0.314975031861649</v>
      </c>
      <c r="AD79" s="23" t="n">
        <f aca="false">IF('TASKS AND ROAD SEGMENT MATRIX'!AQ79-1&gt;0,'TASKS AND ROAD SEGMENT MATRIX'!AQ79-1,"-")</f>
        <v>0.314975031861649</v>
      </c>
      <c r="AE79" s="23" t="n">
        <f aca="false">IF('TASKS AND ROAD SEGMENT MATRIX'!AR79-1&gt;0,'TASKS AND ROAD SEGMENT MATRIX'!AR79-1,"-")</f>
        <v>0.314975031861649</v>
      </c>
      <c r="AF79" s="23" t="n">
        <f aca="false">IF('TASKS AND ROAD SEGMENT MATRIX'!AS79-1&gt;0,'TASKS AND ROAD SEGMENT MATRIX'!AS79-1,"-")</f>
        <v>0.629950063723298</v>
      </c>
      <c r="AG79" s="23" t="n">
        <f aca="false">IF('TASKS AND ROAD SEGMENT MATRIX'!AT79-1&gt;0,'TASKS AND ROAD SEGMENT MATRIX'!AT79-1,"-")</f>
        <v>0.629950063723298</v>
      </c>
      <c r="AH79" s="23" t="n">
        <f aca="false">IF('TASKS AND ROAD SEGMENT MATRIX'!AU79-1&gt;0,'TASKS AND ROAD SEGMENT MATRIX'!AU79-1,"-")</f>
        <v>0.314975031861649</v>
      </c>
      <c r="AI79" s="23" t="str">
        <f aca="false">IF('TASKS AND ROAD SEGMENT MATRIX'!AV79-1&gt;0,'TASKS AND ROAD SEGMENT MATRIX'!AV79-1,"-")</f>
        <v>-</v>
      </c>
      <c r="AJ79" s="23" t="str">
        <f aca="false">IF('TASKS AND ROAD SEGMENT MATRIX'!AW79-1&gt;0,'TASKS AND ROAD SEGMENT MATRIX'!AW79-1,"-")</f>
        <v>-</v>
      </c>
      <c r="AK79" s="23" t="str">
        <f aca="false">IF('TASKS AND ROAD SEGMENT MATRIX'!AX79-1&gt;0,'TASKS AND ROAD SEGMENT MATRIX'!AX79-1,"-")</f>
        <v>-</v>
      </c>
      <c r="AL79" s="23" t="str">
        <f aca="false">IF('TASKS AND ROAD SEGMENT MATRIX'!AY79-1&gt;0,'TASKS AND ROAD SEGMENT MATRIX'!AY79-1,"-")</f>
        <v>-</v>
      </c>
      <c r="AM79" s="23" t="str">
        <f aca="false">IF('TASKS AND ROAD SEGMENT MATRIX'!AZ79-1&gt;0,'TASKS AND ROAD SEGMENT MATRIX'!AZ79-1,"-")</f>
        <v>-</v>
      </c>
      <c r="AN79" s="23" t="str">
        <f aca="false">IF('TASKS AND ROAD SEGMENT MATRIX'!BA79-1&gt;0,'TASKS AND ROAD SEGMENT MATRIX'!BA79-1,"-")</f>
        <v>-</v>
      </c>
      <c r="AO79" s="23" t="str">
        <f aca="false">IF('TASKS AND ROAD SEGMENT MATRIX'!BB79-1&gt;0,'TASKS AND ROAD SEGMENT MATRIX'!BB79-1,"-")</f>
        <v>-</v>
      </c>
      <c r="AP79" s="23" t="str">
        <f aca="false">IF('TASKS AND ROAD SEGMENT MATRIX'!BC79-1&gt;0,'TASKS AND ROAD SEGMENT MATRIX'!BC79-1,"-")</f>
        <v>-</v>
      </c>
      <c r="AQ79" s="23" t="n">
        <f aca="false">IF('TASKS AND ROAD SEGMENT MATRIX'!BD79-1&gt;0,'TASKS AND ROAD SEGMENT MATRIX'!BD79-1,"-")</f>
        <v>0.314975031861649</v>
      </c>
      <c r="AR79" s="23" t="n">
        <f aca="false">IF('TASKS AND ROAD SEGMENT MATRIX'!BE79-1&gt;0,'TASKS AND ROAD SEGMENT MATRIX'!BE79-1,"-")</f>
        <v>0.314975031861649</v>
      </c>
      <c r="AS79" s="23" t="str">
        <f aca="false">IF('TASKS AND ROAD SEGMENT MATRIX'!BF79-1&gt;0,'TASKS AND ROAD SEGMENT MATRIX'!BF79-1,"-")</f>
        <v>-</v>
      </c>
      <c r="AT79" s="23" t="str">
        <f aca="false">IF('TASKS AND ROAD SEGMENT MATRIX'!BG79-1&gt;0,'TASKS AND ROAD SEGMENT MATRIX'!BG79-1,"-")</f>
        <v>-</v>
      </c>
      <c r="AU79" s="23" t="str">
        <f aca="false">IF('TASKS AND ROAD SEGMENT MATRIX'!BH79-1&gt;0,'TASKS AND ROAD SEGMENT MATRIX'!BH79-1,"-")</f>
        <v>-</v>
      </c>
    </row>
    <row r="80" customFormat="false" ht="13.8" hidden="false" customHeight="false" outlineLevel="0" collapsed="false">
      <c r="A80" s="9" t="s">
        <v>81</v>
      </c>
      <c r="B80" s="0" t="s">
        <v>117</v>
      </c>
      <c r="C80" s="23" t="str">
        <f aca="false">IF('TASKS AND ROAD SEGMENT MATRIX'!P80-1&gt;0,'TASKS AND ROAD SEGMENT MATRIX'!P80-1,"-")</f>
        <v>-</v>
      </c>
      <c r="D80" s="23" t="str">
        <f aca="false">IF('TASKS AND ROAD SEGMENT MATRIX'!Q80-1&gt;0,'TASKS AND ROAD SEGMENT MATRIX'!Q80-1,"-")</f>
        <v>-</v>
      </c>
      <c r="E80" s="23" t="str">
        <f aca="false">IF('TASKS AND ROAD SEGMENT MATRIX'!R80-1&gt;0,'TASKS AND ROAD SEGMENT MATRIX'!R80-1,"-")</f>
        <v>-</v>
      </c>
      <c r="F80" s="23" t="str">
        <f aca="false">IF('TASKS AND ROAD SEGMENT MATRIX'!S80-1&gt;0,'TASKS AND ROAD SEGMENT MATRIX'!S80-1,"-")</f>
        <v>-</v>
      </c>
      <c r="G80" s="23" t="str">
        <f aca="false">IF('TASKS AND ROAD SEGMENT MATRIX'!T80-1&gt;0,'TASKS AND ROAD SEGMENT MATRIX'!T80-1,"-")</f>
        <v>-</v>
      </c>
      <c r="H80" s="23" t="str">
        <f aca="false">IF('TASKS AND ROAD SEGMENT MATRIX'!U80-1&gt;0,'TASKS AND ROAD SEGMENT MATRIX'!U80-1,"-")</f>
        <v>-</v>
      </c>
      <c r="I80" s="23" t="n">
        <f aca="false">IF('TASKS AND ROAD SEGMENT MATRIX'!V80-1&gt;0,'TASKS AND ROAD SEGMENT MATRIX'!V80-1,"-")</f>
        <v>0.262479193218041</v>
      </c>
      <c r="J80" s="23" t="n">
        <f aca="false">IF('TASKS AND ROAD SEGMENT MATRIX'!W80-1&gt;0,'TASKS AND ROAD SEGMENT MATRIX'!W80-1,"-")</f>
        <v>0.524958386436081</v>
      </c>
      <c r="K80" s="23" t="str">
        <f aca="false">IF('TASKS AND ROAD SEGMENT MATRIX'!X80-1&gt;0,'TASKS AND ROAD SEGMENT MATRIX'!X80-1,"-")</f>
        <v>-</v>
      </c>
      <c r="L80" s="23" t="str">
        <f aca="false">IF('TASKS AND ROAD SEGMENT MATRIX'!Y80-1&gt;0,'TASKS AND ROAD SEGMENT MATRIX'!Y80-1,"-")</f>
        <v>-</v>
      </c>
      <c r="M80" s="23" t="str">
        <f aca="false">IF('TASKS AND ROAD SEGMENT MATRIX'!Z80-1&gt;0,'TASKS AND ROAD SEGMENT MATRIX'!Z80-1,"-")</f>
        <v>-</v>
      </c>
      <c r="N80" s="23" t="str">
        <f aca="false">IF('TASKS AND ROAD SEGMENT MATRIX'!AA80-1&gt;0,'TASKS AND ROAD SEGMENT MATRIX'!AA80-1,"-")</f>
        <v>-</v>
      </c>
      <c r="O80" s="23" t="str">
        <f aca="false">IF('TASKS AND ROAD SEGMENT MATRIX'!AB80-1&gt;0,'TASKS AND ROAD SEGMENT MATRIX'!AB80-1,"-")</f>
        <v>-</v>
      </c>
      <c r="P80" s="23" t="str">
        <f aca="false">IF('TASKS AND ROAD SEGMENT MATRIX'!AC80-1&gt;0,'TASKS AND ROAD SEGMENT MATRIX'!AC80-1,"-")</f>
        <v>-</v>
      </c>
      <c r="Q80" s="23" t="str">
        <f aca="false">IF('TASKS AND ROAD SEGMENT MATRIX'!AD80-1&gt;0,'TASKS AND ROAD SEGMENT MATRIX'!AD80-1,"-")</f>
        <v>-</v>
      </c>
      <c r="R80" s="23" t="n">
        <f aca="false">IF('TASKS AND ROAD SEGMENT MATRIX'!AE80-1&gt;0,'TASKS AND ROAD SEGMENT MATRIX'!AE80-1,"-")</f>
        <v>0.262479193218041</v>
      </c>
      <c r="S80" s="23" t="n">
        <f aca="false">IF('TASKS AND ROAD SEGMENT MATRIX'!AF80-1&gt;0,'TASKS AND ROAD SEGMENT MATRIX'!AF80-1,"-")</f>
        <v>0.524958386436081</v>
      </c>
      <c r="T80" s="23" t="n">
        <f aca="false">IF('TASKS AND ROAD SEGMENT MATRIX'!AG80-1&gt;0,'TASKS AND ROAD SEGMENT MATRIX'!AG80-1,"-")</f>
        <v>0.262479193218041</v>
      </c>
      <c r="U80" s="23" t="str">
        <f aca="false">IF('TASKS AND ROAD SEGMENT MATRIX'!AH80-1&gt;0,'TASKS AND ROAD SEGMENT MATRIX'!AH80-1,"-")</f>
        <v>-</v>
      </c>
      <c r="V80" s="23" t="n">
        <f aca="false">IF('TASKS AND ROAD SEGMENT MATRIX'!AI80-1&gt;0,'TASKS AND ROAD SEGMENT MATRIX'!AI80-1,"-")</f>
        <v>0.262479193218041</v>
      </c>
      <c r="W80" s="23" t="n">
        <f aca="false">IF('TASKS AND ROAD SEGMENT MATRIX'!AJ80-1&gt;0,'TASKS AND ROAD SEGMENT MATRIX'!AJ80-1,"-")</f>
        <v>0.262479193218041</v>
      </c>
      <c r="X80" s="23" t="n">
        <f aca="false">IF('TASKS AND ROAD SEGMENT MATRIX'!AK80-1&gt;0,'TASKS AND ROAD SEGMENT MATRIX'!AK80-1,"-")</f>
        <v>0.524958386436081</v>
      </c>
      <c r="Y80" s="23" t="str">
        <f aca="false">IF('TASKS AND ROAD SEGMENT MATRIX'!AL80-1&gt;0,'TASKS AND ROAD SEGMENT MATRIX'!AL80-1,"-")</f>
        <v>-</v>
      </c>
      <c r="Z80" s="23" t="str">
        <f aca="false">IF('TASKS AND ROAD SEGMENT MATRIX'!AM80-1&gt;0,'TASKS AND ROAD SEGMENT MATRIX'!AM80-1,"-")</f>
        <v>-</v>
      </c>
      <c r="AA80" s="23" t="str">
        <f aca="false">IF('TASKS AND ROAD SEGMENT MATRIX'!AN80-1&gt;0,'TASKS AND ROAD SEGMENT MATRIX'!AN80-1,"-")</f>
        <v>-</v>
      </c>
      <c r="AB80" s="23" t="str">
        <f aca="false">IF('TASKS AND ROAD SEGMENT MATRIX'!AO80-1&gt;0,'TASKS AND ROAD SEGMENT MATRIX'!AO80-1,"-")</f>
        <v>-</v>
      </c>
      <c r="AC80" s="23" t="n">
        <f aca="false">IF('TASKS AND ROAD SEGMENT MATRIX'!AP80-1&gt;0,'TASKS AND ROAD SEGMENT MATRIX'!AP80-1,"-")</f>
        <v>0.262479193218041</v>
      </c>
      <c r="AD80" s="23" t="n">
        <f aca="false">IF('TASKS AND ROAD SEGMENT MATRIX'!AQ80-1&gt;0,'TASKS AND ROAD SEGMENT MATRIX'!AQ80-1,"-")</f>
        <v>0.262479193218041</v>
      </c>
      <c r="AE80" s="23" t="n">
        <f aca="false">IF('TASKS AND ROAD SEGMENT MATRIX'!AR80-1&gt;0,'TASKS AND ROAD SEGMENT MATRIX'!AR80-1,"-")</f>
        <v>0.262479193218041</v>
      </c>
      <c r="AF80" s="23" t="n">
        <f aca="false">IF('TASKS AND ROAD SEGMENT MATRIX'!AS80-1&gt;0,'TASKS AND ROAD SEGMENT MATRIX'!AS80-1,"-")</f>
        <v>0.524958386436081</v>
      </c>
      <c r="AG80" s="23" t="n">
        <f aca="false">IF('TASKS AND ROAD SEGMENT MATRIX'!AT80-1&gt;0,'TASKS AND ROAD SEGMENT MATRIX'!AT80-1,"-")</f>
        <v>0.262479193218041</v>
      </c>
      <c r="AH80" s="23" t="n">
        <f aca="false">IF('TASKS AND ROAD SEGMENT MATRIX'!AU80-1&gt;0,'TASKS AND ROAD SEGMENT MATRIX'!AU80-1,"-")</f>
        <v>0.262479193218041</v>
      </c>
      <c r="AI80" s="23" t="str">
        <f aca="false">IF('TASKS AND ROAD SEGMENT MATRIX'!AV80-1&gt;0,'TASKS AND ROAD SEGMENT MATRIX'!AV80-1,"-")</f>
        <v>-</v>
      </c>
      <c r="AJ80" s="23" t="str">
        <f aca="false">IF('TASKS AND ROAD SEGMENT MATRIX'!AW80-1&gt;0,'TASKS AND ROAD SEGMENT MATRIX'!AW80-1,"-")</f>
        <v>-</v>
      </c>
      <c r="AK80" s="23" t="str">
        <f aca="false">IF('TASKS AND ROAD SEGMENT MATRIX'!AX80-1&gt;0,'TASKS AND ROAD SEGMENT MATRIX'!AX80-1,"-")</f>
        <v>-</v>
      </c>
      <c r="AL80" s="23" t="str">
        <f aca="false">IF('TASKS AND ROAD SEGMENT MATRIX'!AY80-1&gt;0,'TASKS AND ROAD SEGMENT MATRIX'!AY80-1,"-")</f>
        <v>-</v>
      </c>
      <c r="AM80" s="23" t="str">
        <f aca="false">IF('TASKS AND ROAD SEGMENT MATRIX'!AZ80-1&gt;0,'TASKS AND ROAD SEGMENT MATRIX'!AZ80-1,"-")</f>
        <v>-</v>
      </c>
      <c r="AN80" s="23" t="str">
        <f aca="false">IF('TASKS AND ROAD SEGMENT MATRIX'!BA80-1&gt;0,'TASKS AND ROAD SEGMENT MATRIX'!BA80-1,"-")</f>
        <v>-</v>
      </c>
      <c r="AO80" s="23" t="str">
        <f aca="false">IF('TASKS AND ROAD SEGMENT MATRIX'!BB80-1&gt;0,'TASKS AND ROAD SEGMENT MATRIX'!BB80-1,"-")</f>
        <v>-</v>
      </c>
      <c r="AP80" s="23" t="str">
        <f aca="false">IF('TASKS AND ROAD SEGMENT MATRIX'!BC80-1&gt;0,'TASKS AND ROAD SEGMENT MATRIX'!BC80-1,"-")</f>
        <v>-</v>
      </c>
      <c r="AQ80" s="23" t="n">
        <f aca="false">IF('TASKS AND ROAD SEGMENT MATRIX'!BD80-1&gt;0,'TASKS AND ROAD SEGMENT MATRIX'!BD80-1,"-")</f>
        <v>0.262479193218041</v>
      </c>
      <c r="AR80" s="23" t="n">
        <f aca="false">IF('TASKS AND ROAD SEGMENT MATRIX'!BE80-1&gt;0,'TASKS AND ROAD SEGMENT MATRIX'!BE80-1,"-")</f>
        <v>0.262479193218041</v>
      </c>
      <c r="AS80" s="23" t="str">
        <f aca="false">IF('TASKS AND ROAD SEGMENT MATRIX'!BF80-1&gt;0,'TASKS AND ROAD SEGMENT MATRIX'!BF80-1,"-")</f>
        <v>-</v>
      </c>
      <c r="AT80" s="23" t="str">
        <f aca="false">IF('TASKS AND ROAD SEGMENT MATRIX'!BG80-1&gt;0,'TASKS AND ROAD SEGMENT MATRIX'!BG80-1,"-")</f>
        <v>-</v>
      </c>
      <c r="AU80" s="23" t="str">
        <f aca="false">IF('TASKS AND ROAD SEGMENT MATRIX'!BH80-1&gt;0,'TASKS AND ROAD SEGMENT MATRIX'!BH80-1,"-")</f>
        <v>-</v>
      </c>
    </row>
    <row r="81" customFormat="false" ht="13.8" hidden="false" customHeight="false" outlineLevel="0" collapsed="false">
      <c r="A81" s="9" t="s">
        <v>81</v>
      </c>
      <c r="B81" s="0" t="s">
        <v>119</v>
      </c>
      <c r="C81" s="23" t="str">
        <f aca="false">IF('TASKS AND ROAD SEGMENT MATRIX'!P81-1&gt;0,'TASKS AND ROAD SEGMENT MATRIX'!P81-1,"-")</f>
        <v>-</v>
      </c>
      <c r="D81" s="23" t="str">
        <f aca="false">IF('TASKS AND ROAD SEGMENT MATRIX'!Q81-1&gt;0,'TASKS AND ROAD SEGMENT MATRIX'!Q81-1,"-")</f>
        <v>-</v>
      </c>
      <c r="E81" s="23" t="str">
        <f aca="false">IF('TASKS AND ROAD SEGMENT MATRIX'!R81-1&gt;0,'TASKS AND ROAD SEGMENT MATRIX'!R81-1,"-")</f>
        <v>-</v>
      </c>
      <c r="F81" s="23" t="str">
        <f aca="false">IF('TASKS AND ROAD SEGMENT MATRIX'!S81-1&gt;0,'TASKS AND ROAD SEGMENT MATRIX'!S81-1,"-")</f>
        <v>-</v>
      </c>
      <c r="G81" s="23" t="str">
        <f aca="false">IF('TASKS AND ROAD SEGMENT MATRIX'!T81-1&gt;0,'TASKS AND ROAD SEGMENT MATRIX'!T81-1,"-")</f>
        <v>-</v>
      </c>
      <c r="H81" s="23" t="str">
        <f aca="false">IF('TASKS AND ROAD SEGMENT MATRIX'!U81-1&gt;0,'TASKS AND ROAD SEGMENT MATRIX'!U81-1,"-")</f>
        <v>-</v>
      </c>
      <c r="I81" s="23" t="n">
        <f aca="false">IF('TASKS AND ROAD SEGMENT MATRIX'!V81-1&gt;0,'TASKS AND ROAD SEGMENT MATRIX'!V81-1,"-")</f>
        <v>0.314975031861649</v>
      </c>
      <c r="J81" s="23" t="n">
        <f aca="false">IF('TASKS AND ROAD SEGMENT MATRIX'!W81-1&gt;0,'TASKS AND ROAD SEGMENT MATRIX'!W81-1,"-")</f>
        <v>0.629950063723298</v>
      </c>
      <c r="K81" s="23" t="str">
        <f aca="false">IF('TASKS AND ROAD SEGMENT MATRIX'!X81-1&gt;0,'TASKS AND ROAD SEGMENT MATRIX'!X81-1,"-")</f>
        <v>-</v>
      </c>
      <c r="L81" s="23" t="str">
        <f aca="false">IF('TASKS AND ROAD SEGMENT MATRIX'!Y81-1&gt;0,'TASKS AND ROAD SEGMENT MATRIX'!Y81-1,"-")</f>
        <v>-</v>
      </c>
      <c r="M81" s="23" t="str">
        <f aca="false">IF('TASKS AND ROAD SEGMENT MATRIX'!Z81-1&gt;0,'TASKS AND ROAD SEGMENT MATRIX'!Z81-1,"-")</f>
        <v>-</v>
      </c>
      <c r="N81" s="23" t="str">
        <f aca="false">IF('TASKS AND ROAD SEGMENT MATRIX'!AA81-1&gt;0,'TASKS AND ROAD SEGMENT MATRIX'!AA81-1,"-")</f>
        <v>-</v>
      </c>
      <c r="O81" s="23" t="str">
        <f aca="false">IF('TASKS AND ROAD SEGMENT MATRIX'!AB81-1&gt;0,'TASKS AND ROAD SEGMENT MATRIX'!AB81-1,"-")</f>
        <v>-</v>
      </c>
      <c r="P81" s="23" t="str">
        <f aca="false">IF('TASKS AND ROAD SEGMENT MATRIX'!AC81-1&gt;0,'TASKS AND ROAD SEGMENT MATRIX'!AC81-1,"-")</f>
        <v>-</v>
      </c>
      <c r="Q81" s="23" t="str">
        <f aca="false">IF('TASKS AND ROAD SEGMENT MATRIX'!AD81-1&gt;0,'TASKS AND ROAD SEGMENT MATRIX'!AD81-1,"-")</f>
        <v>-</v>
      </c>
      <c r="R81" s="23" t="n">
        <f aca="false">IF('TASKS AND ROAD SEGMENT MATRIX'!AE81-1&gt;0,'TASKS AND ROAD SEGMENT MATRIX'!AE81-1,"-")</f>
        <v>0.314975031861649</v>
      </c>
      <c r="S81" s="23" t="n">
        <f aca="false">IF('TASKS AND ROAD SEGMENT MATRIX'!AF81-1&gt;0,'TASKS AND ROAD SEGMENT MATRIX'!AF81-1,"-")</f>
        <v>0.629950063723298</v>
      </c>
      <c r="T81" s="23" t="n">
        <f aca="false">IF('TASKS AND ROAD SEGMENT MATRIX'!AG81-1&gt;0,'TASKS AND ROAD SEGMENT MATRIX'!AG81-1,"-")</f>
        <v>0.314975031861649</v>
      </c>
      <c r="U81" s="23" t="str">
        <f aca="false">IF('TASKS AND ROAD SEGMENT MATRIX'!AH81-1&gt;0,'TASKS AND ROAD SEGMENT MATRIX'!AH81-1,"-")</f>
        <v>-</v>
      </c>
      <c r="V81" s="23" t="n">
        <f aca="false">IF('TASKS AND ROAD SEGMENT MATRIX'!AI81-1&gt;0,'TASKS AND ROAD SEGMENT MATRIX'!AI81-1,"-")</f>
        <v>0.314975031861649</v>
      </c>
      <c r="W81" s="23" t="n">
        <f aca="false">IF('TASKS AND ROAD SEGMENT MATRIX'!AJ81-1&gt;0,'TASKS AND ROAD SEGMENT MATRIX'!AJ81-1,"-")</f>
        <v>0.314975031861649</v>
      </c>
      <c r="X81" s="23" t="n">
        <f aca="false">IF('TASKS AND ROAD SEGMENT MATRIX'!AK81-1&gt;0,'TASKS AND ROAD SEGMENT MATRIX'!AK81-1,"-")</f>
        <v>0.629950063723298</v>
      </c>
      <c r="Y81" s="23" t="str">
        <f aca="false">IF('TASKS AND ROAD SEGMENT MATRIX'!AL81-1&gt;0,'TASKS AND ROAD SEGMENT MATRIX'!AL81-1,"-")</f>
        <v>-</v>
      </c>
      <c r="Z81" s="23" t="str">
        <f aca="false">IF('TASKS AND ROAD SEGMENT MATRIX'!AM81-1&gt;0,'TASKS AND ROAD SEGMENT MATRIX'!AM81-1,"-")</f>
        <v>-</v>
      </c>
      <c r="AA81" s="23" t="str">
        <f aca="false">IF('TASKS AND ROAD SEGMENT MATRIX'!AN81-1&gt;0,'TASKS AND ROAD SEGMENT MATRIX'!AN81-1,"-")</f>
        <v>-</v>
      </c>
      <c r="AB81" s="23" t="str">
        <f aca="false">IF('TASKS AND ROAD SEGMENT MATRIX'!AO81-1&gt;0,'TASKS AND ROAD SEGMENT MATRIX'!AO81-1,"-")</f>
        <v>-</v>
      </c>
      <c r="AC81" s="23" t="n">
        <f aca="false">IF('TASKS AND ROAD SEGMENT MATRIX'!AP81-1&gt;0,'TASKS AND ROAD SEGMENT MATRIX'!AP81-1,"-")</f>
        <v>0.314975031861649</v>
      </c>
      <c r="AD81" s="23" t="n">
        <f aca="false">IF('TASKS AND ROAD SEGMENT MATRIX'!AQ81-1&gt;0,'TASKS AND ROAD SEGMENT MATRIX'!AQ81-1,"-")</f>
        <v>0.314975031861649</v>
      </c>
      <c r="AE81" s="23" t="n">
        <f aca="false">IF('TASKS AND ROAD SEGMENT MATRIX'!AR81-1&gt;0,'TASKS AND ROAD SEGMENT MATRIX'!AR81-1,"-")</f>
        <v>0.314975031861649</v>
      </c>
      <c r="AF81" s="23" t="n">
        <f aca="false">IF('TASKS AND ROAD SEGMENT MATRIX'!AS81-1&gt;0,'TASKS AND ROAD SEGMENT MATRIX'!AS81-1,"-")</f>
        <v>0.629950063723298</v>
      </c>
      <c r="AG81" s="23" t="n">
        <f aca="false">IF('TASKS AND ROAD SEGMENT MATRIX'!AT81-1&gt;0,'TASKS AND ROAD SEGMENT MATRIX'!AT81-1,"-")</f>
        <v>0.629950063723298</v>
      </c>
      <c r="AH81" s="23" t="n">
        <f aca="false">IF('TASKS AND ROAD SEGMENT MATRIX'!AU81-1&gt;0,'TASKS AND ROAD SEGMENT MATRIX'!AU81-1,"-")</f>
        <v>0.314975031861649</v>
      </c>
      <c r="AI81" s="23" t="str">
        <f aca="false">IF('TASKS AND ROAD SEGMENT MATRIX'!AV81-1&gt;0,'TASKS AND ROAD SEGMENT MATRIX'!AV81-1,"-")</f>
        <v>-</v>
      </c>
      <c r="AJ81" s="23" t="str">
        <f aca="false">IF('TASKS AND ROAD SEGMENT MATRIX'!AW81-1&gt;0,'TASKS AND ROAD SEGMENT MATRIX'!AW81-1,"-")</f>
        <v>-</v>
      </c>
      <c r="AK81" s="23" t="str">
        <f aca="false">IF('TASKS AND ROAD SEGMENT MATRIX'!AX81-1&gt;0,'TASKS AND ROAD SEGMENT MATRIX'!AX81-1,"-")</f>
        <v>-</v>
      </c>
      <c r="AL81" s="23" t="str">
        <f aca="false">IF('TASKS AND ROAD SEGMENT MATRIX'!AY81-1&gt;0,'TASKS AND ROAD SEGMENT MATRIX'!AY81-1,"-")</f>
        <v>-</v>
      </c>
      <c r="AM81" s="23" t="str">
        <f aca="false">IF('TASKS AND ROAD SEGMENT MATRIX'!AZ81-1&gt;0,'TASKS AND ROAD SEGMENT MATRIX'!AZ81-1,"-")</f>
        <v>-</v>
      </c>
      <c r="AN81" s="23" t="str">
        <f aca="false">IF('TASKS AND ROAD SEGMENT MATRIX'!BA81-1&gt;0,'TASKS AND ROAD SEGMENT MATRIX'!BA81-1,"-")</f>
        <v>-</v>
      </c>
      <c r="AO81" s="23" t="str">
        <f aca="false">IF('TASKS AND ROAD SEGMENT MATRIX'!BB81-1&gt;0,'TASKS AND ROAD SEGMENT MATRIX'!BB81-1,"-")</f>
        <v>-</v>
      </c>
      <c r="AP81" s="23" t="str">
        <f aca="false">IF('TASKS AND ROAD SEGMENT MATRIX'!BC81-1&gt;0,'TASKS AND ROAD SEGMENT MATRIX'!BC81-1,"-")</f>
        <v>-</v>
      </c>
      <c r="AQ81" s="23" t="n">
        <f aca="false">IF('TASKS AND ROAD SEGMENT MATRIX'!BD81-1&gt;0,'TASKS AND ROAD SEGMENT MATRIX'!BD81-1,"-")</f>
        <v>0.314975031861649</v>
      </c>
      <c r="AR81" s="23" t="n">
        <f aca="false">IF('TASKS AND ROAD SEGMENT MATRIX'!BE81-1&gt;0,'TASKS AND ROAD SEGMENT MATRIX'!BE81-1,"-")</f>
        <v>0.314975031861649</v>
      </c>
      <c r="AS81" s="23" t="str">
        <f aca="false">IF('TASKS AND ROAD SEGMENT MATRIX'!BF81-1&gt;0,'TASKS AND ROAD SEGMENT MATRIX'!BF81-1,"-")</f>
        <v>-</v>
      </c>
      <c r="AT81" s="23" t="str">
        <f aca="false">IF('TASKS AND ROAD SEGMENT MATRIX'!BG81-1&gt;0,'TASKS AND ROAD SEGMENT MATRIX'!BG81-1,"-")</f>
        <v>-</v>
      </c>
      <c r="AU81" s="23" t="str">
        <f aca="false">IF('TASKS AND ROAD SEGMENT MATRIX'!BH81-1&gt;0,'TASKS AND ROAD SEGMENT MATRIX'!BH81-1,"-")</f>
        <v>-</v>
      </c>
    </row>
    <row r="211" customFormat="false" ht="13.8" hidden="false" customHeight="false" outlineLevel="0" collapsed="false">
      <c r="A211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1048576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E26" activeCellId="0" sqref="E26"/>
    </sheetView>
  </sheetViews>
  <sheetFormatPr defaultRowHeight="13.8" zeroHeight="false" outlineLevelRow="0" outlineLevelCol="0"/>
  <cols>
    <col collapsed="false" customWidth="true" hidden="false" outlineLevel="0" max="1" min="1" style="0" width="13.76"/>
    <col collapsed="false" customWidth="true" hidden="false" outlineLevel="0" max="2" min="2" style="0" width="22.23"/>
    <col collapsed="false" customWidth="false" hidden="false" outlineLevel="0" max="17" min="3" style="23" width="11.52"/>
  </cols>
  <sheetData>
    <row r="1" customFormat="false" ht="13.8" hidden="false" customHeight="false" outlineLevel="0" collapsed="false">
      <c r="A1" s="0" t="s">
        <v>98</v>
      </c>
      <c r="B1" s="0" t="s">
        <v>100</v>
      </c>
      <c r="C1" s="24" t="s">
        <v>52</v>
      </c>
      <c r="D1" s="24" t="s">
        <v>53</v>
      </c>
      <c r="E1" s="24" t="s">
        <v>54</v>
      </c>
      <c r="F1" s="24" t="s">
        <v>55</v>
      </c>
      <c r="G1" s="24" t="s">
        <v>56</v>
      </c>
      <c r="H1" s="24" t="s">
        <v>57</v>
      </c>
      <c r="I1" s="24" t="s">
        <v>58</v>
      </c>
      <c r="J1" s="24" t="s">
        <v>59</v>
      </c>
      <c r="K1" s="24" t="s">
        <v>60</v>
      </c>
      <c r="L1" s="24" t="s">
        <v>61</v>
      </c>
      <c r="M1" s="24" t="s">
        <v>62</v>
      </c>
      <c r="N1" s="24" t="s">
        <v>63</v>
      </c>
      <c r="O1" s="24" t="s">
        <v>64</v>
      </c>
      <c r="P1" s="24" t="s">
        <v>65</v>
      </c>
      <c r="Q1" s="24" t="s">
        <v>66</v>
      </c>
    </row>
    <row r="2" customFormat="false" ht="13.8" hidden="false" customHeight="false" outlineLevel="0" collapsed="false">
      <c r="A2" s="11" t="s">
        <v>55</v>
      </c>
      <c r="B2" s="0" t="s">
        <v>139</v>
      </c>
      <c r="C2" s="23" t="n">
        <f aca="false">IF('TASKS AND ROAD SEGMENT MATRIX'!P14-1&gt;0,'TASKS AND ROAD SEGMENT MATRIX'!P14-1,"-")</f>
        <v>0.301510209631625</v>
      </c>
      <c r="D2" s="23" t="n">
        <f aca="false">IF('TASKS AND ROAD SEGMENT MATRIX'!Q14-1&gt;0,'TASKS AND ROAD SEGMENT MATRIX'!Q14-1,"-")</f>
        <v>0.301510209631625</v>
      </c>
      <c r="E2" s="23" t="n">
        <f aca="false">IF('TASKS AND ROAD SEGMENT MATRIX'!R14-1&gt;0,'TASKS AND ROAD SEGMENT MATRIX'!R14-1,"-")</f>
        <v>0.301510209631625</v>
      </c>
      <c r="F2" s="23" t="n">
        <f aca="false">IF('TASKS AND ROAD SEGMENT MATRIX'!S14-1&gt;0,'TASKS AND ROAD SEGMENT MATRIX'!S14-1,"-")</f>
        <v>0.60302041926325</v>
      </c>
      <c r="G2" s="23" t="str">
        <f aca="false">IF('TASKS AND ROAD SEGMENT MATRIX'!T14-1&gt;0,'TASKS AND ROAD SEGMENT MATRIX'!T14-1,"-")</f>
        <v>-</v>
      </c>
      <c r="H2" s="23" t="n">
        <f aca="false">IF('TASKS AND ROAD SEGMENT MATRIX'!U14-1&gt;0,'TASKS AND ROAD SEGMENT MATRIX'!U14-1,"-")</f>
        <v>0.60302041926325</v>
      </c>
      <c r="I2" s="23" t="str">
        <f aca="false">IF('TASKS AND ROAD SEGMENT MATRIX'!V14-1&gt;0,'TASKS AND ROAD SEGMENT MATRIX'!V14-1,"-")</f>
        <v>-</v>
      </c>
      <c r="J2" s="23" t="str">
        <f aca="false">IF('TASKS AND ROAD SEGMENT MATRIX'!W14-1&gt;0,'TASKS AND ROAD SEGMENT MATRIX'!W14-1,"-")</f>
        <v>-</v>
      </c>
      <c r="K2" s="23" t="str">
        <f aca="false">IF('TASKS AND ROAD SEGMENT MATRIX'!X14-1&gt;0,'TASKS AND ROAD SEGMENT MATRIX'!X14-1,"-")</f>
        <v>-</v>
      </c>
      <c r="L2" s="23" t="str">
        <f aca="false">IF('TASKS AND ROAD SEGMENT MATRIX'!Y14-1&gt;0,'TASKS AND ROAD SEGMENT MATRIX'!Y14-1,"-")</f>
        <v>-</v>
      </c>
      <c r="M2" s="23" t="str">
        <f aca="false">IF('TASKS AND ROAD SEGMENT MATRIX'!Z14-1&gt;0,'TASKS AND ROAD SEGMENT MATRIX'!Z14-1,"-")</f>
        <v>-</v>
      </c>
      <c r="N2" s="23" t="str">
        <f aca="false">IF('TASKS AND ROAD SEGMENT MATRIX'!AA14-1&gt;0,'TASKS AND ROAD SEGMENT MATRIX'!AA14-1,"-")</f>
        <v>-</v>
      </c>
      <c r="O2" s="23" t="str">
        <f aca="false">IF('TASKS AND ROAD SEGMENT MATRIX'!AB14-1&gt;0,'TASKS AND ROAD SEGMENT MATRIX'!AB14-1,"-")</f>
        <v>-</v>
      </c>
      <c r="P2" s="23" t="str">
        <f aca="false">IF('TASKS AND ROAD SEGMENT MATRIX'!AC14-1&gt;0,'TASKS AND ROAD SEGMENT MATRIX'!AC14-1,"-")</f>
        <v>-</v>
      </c>
      <c r="Q2" s="23" t="str">
        <f aca="false">IF('TASKS AND ROAD SEGMENT MATRIX'!AD14-1&gt;0,'TASKS AND ROAD SEGMENT MATRIX'!AD14-1,"-")</f>
        <v>-</v>
      </c>
    </row>
    <row r="3" customFormat="false" ht="13.8" hidden="false" customHeight="false" outlineLevel="0" collapsed="false">
      <c r="A3" s="11" t="s">
        <v>55</v>
      </c>
      <c r="B3" s="0" t="s">
        <v>140</v>
      </c>
      <c r="C3" s="23" t="n">
        <f aca="false">IF('TASKS AND ROAD SEGMENT MATRIX'!P15-1&gt;0,'TASKS AND ROAD SEGMENT MATRIX'!P15-1,"-")</f>
        <v>0.452265314447438</v>
      </c>
      <c r="D3" s="23" t="n">
        <f aca="false">IF('TASKS AND ROAD SEGMENT MATRIX'!Q15-1&gt;0,'TASKS AND ROAD SEGMENT MATRIX'!Q15-1,"-")</f>
        <v>0.452265314447438</v>
      </c>
      <c r="E3" s="23" t="n">
        <f aca="false">IF('TASKS AND ROAD SEGMENT MATRIX'!R15-1&gt;0,'TASKS AND ROAD SEGMENT MATRIX'!R15-1,"-")</f>
        <v>0.452265314447438</v>
      </c>
      <c r="F3" s="23" t="n">
        <f aca="false">IF('TASKS AND ROAD SEGMENT MATRIX'!S15-1&gt;0,'TASKS AND ROAD SEGMENT MATRIX'!S15-1,"-")</f>
        <v>0.904530628894875</v>
      </c>
      <c r="G3" s="23" t="n">
        <f aca="false">IF('TASKS AND ROAD SEGMENT MATRIX'!T15-1&gt;0,'TASKS AND ROAD SEGMENT MATRIX'!T15-1,"-")</f>
        <v>0.904530628894875</v>
      </c>
      <c r="H3" s="23" t="n">
        <f aca="false">IF('TASKS AND ROAD SEGMENT MATRIX'!U15-1&gt;0,'TASKS AND ROAD SEGMENT MATRIX'!U15-1,"-")</f>
        <v>0.904530628894875</v>
      </c>
      <c r="I3" s="23" t="str">
        <f aca="false">IF('TASKS AND ROAD SEGMENT MATRIX'!V15-1&gt;0,'TASKS AND ROAD SEGMENT MATRIX'!V15-1,"-")</f>
        <v>-</v>
      </c>
      <c r="J3" s="23" t="str">
        <f aca="false">IF('TASKS AND ROAD SEGMENT MATRIX'!W15-1&gt;0,'TASKS AND ROAD SEGMENT MATRIX'!W15-1,"-")</f>
        <v>-</v>
      </c>
      <c r="K3" s="23" t="str">
        <f aca="false">IF('TASKS AND ROAD SEGMENT MATRIX'!X15-1&gt;0,'TASKS AND ROAD SEGMENT MATRIX'!X15-1,"-")</f>
        <v>-</v>
      </c>
      <c r="L3" s="23" t="str">
        <f aca="false">IF('TASKS AND ROAD SEGMENT MATRIX'!Y15-1&gt;0,'TASKS AND ROAD SEGMENT MATRIX'!Y15-1,"-")</f>
        <v>-</v>
      </c>
      <c r="M3" s="23" t="str">
        <f aca="false">IF('TASKS AND ROAD SEGMENT MATRIX'!Z15-1&gt;0,'TASKS AND ROAD SEGMENT MATRIX'!Z15-1,"-")</f>
        <v>-</v>
      </c>
      <c r="N3" s="23" t="str">
        <f aca="false">IF('TASKS AND ROAD SEGMENT MATRIX'!AA15-1&gt;0,'TASKS AND ROAD SEGMENT MATRIX'!AA15-1,"-")</f>
        <v>-</v>
      </c>
      <c r="O3" s="23" t="str">
        <f aca="false">IF('TASKS AND ROAD SEGMENT MATRIX'!AB15-1&gt;0,'TASKS AND ROAD SEGMENT MATRIX'!AB15-1,"-")</f>
        <v>-</v>
      </c>
      <c r="P3" s="23" t="str">
        <f aca="false">IF('TASKS AND ROAD SEGMENT MATRIX'!AC15-1&gt;0,'TASKS AND ROAD SEGMENT MATRIX'!AC15-1,"-")</f>
        <v>-</v>
      </c>
      <c r="Q3" s="23" t="str">
        <f aca="false">IF('TASKS AND ROAD SEGMENT MATRIX'!AD15-1&gt;0,'TASKS AND ROAD SEGMENT MATRIX'!AD15-1,"-")</f>
        <v>-</v>
      </c>
    </row>
    <row r="4" customFormat="false" ht="13.8" hidden="false" customHeight="false" outlineLevel="0" collapsed="false">
      <c r="A4" s="11" t="s">
        <v>55</v>
      </c>
      <c r="B4" s="0" t="s">
        <v>141</v>
      </c>
      <c r="C4" s="23" t="n">
        <f aca="false">IF('TASKS AND ROAD SEGMENT MATRIX'!P16-1&gt;0,'TASKS AND ROAD SEGMENT MATRIX'!P16-1,"-")</f>
        <v>0.376887762039531</v>
      </c>
      <c r="D4" s="23" t="n">
        <f aca="false">IF('TASKS AND ROAD SEGMENT MATRIX'!Q16-1&gt;0,'TASKS AND ROAD SEGMENT MATRIX'!Q16-1,"-")</f>
        <v>0.376887762039531</v>
      </c>
      <c r="E4" s="23" t="n">
        <f aca="false">IF('TASKS AND ROAD SEGMENT MATRIX'!R16-1&gt;0,'TASKS AND ROAD SEGMENT MATRIX'!R16-1,"-")</f>
        <v>0.376887762039531</v>
      </c>
      <c r="F4" s="23" t="n">
        <f aca="false">IF('TASKS AND ROAD SEGMENT MATRIX'!S16-1&gt;0,'TASKS AND ROAD SEGMENT MATRIX'!S16-1,"-")</f>
        <v>0.753775524079062</v>
      </c>
      <c r="G4" s="23" t="n">
        <f aca="false">IF('TASKS AND ROAD SEGMENT MATRIX'!T16-1&gt;0,'TASKS AND ROAD SEGMENT MATRIX'!T16-1,"-")</f>
        <v>0.376887762039531</v>
      </c>
      <c r="H4" s="23" t="n">
        <f aca="false">IF('TASKS AND ROAD SEGMENT MATRIX'!U16-1&gt;0,'TASKS AND ROAD SEGMENT MATRIX'!U16-1,"-")</f>
        <v>0.753775524079062</v>
      </c>
      <c r="I4" s="23" t="str">
        <f aca="false">IF('TASKS AND ROAD SEGMENT MATRIX'!V16-1&gt;0,'TASKS AND ROAD SEGMENT MATRIX'!V16-1,"-")</f>
        <v>-</v>
      </c>
      <c r="J4" s="23" t="str">
        <f aca="false">IF('TASKS AND ROAD SEGMENT MATRIX'!W16-1&gt;0,'TASKS AND ROAD SEGMENT MATRIX'!W16-1,"-")</f>
        <v>-</v>
      </c>
      <c r="K4" s="23" t="str">
        <f aca="false">IF('TASKS AND ROAD SEGMENT MATRIX'!X16-1&gt;0,'TASKS AND ROAD SEGMENT MATRIX'!X16-1,"-")</f>
        <v>-</v>
      </c>
      <c r="L4" s="23" t="str">
        <f aca="false">IF('TASKS AND ROAD SEGMENT MATRIX'!Y16-1&gt;0,'TASKS AND ROAD SEGMENT MATRIX'!Y16-1,"-")</f>
        <v>-</v>
      </c>
      <c r="M4" s="23" t="str">
        <f aca="false">IF('TASKS AND ROAD SEGMENT MATRIX'!Z16-1&gt;0,'TASKS AND ROAD SEGMENT MATRIX'!Z16-1,"-")</f>
        <v>-</v>
      </c>
      <c r="N4" s="23" t="str">
        <f aca="false">IF('TASKS AND ROAD SEGMENT MATRIX'!AA16-1&gt;0,'TASKS AND ROAD SEGMENT MATRIX'!AA16-1,"-")</f>
        <v>-</v>
      </c>
      <c r="O4" s="23" t="str">
        <f aca="false">IF('TASKS AND ROAD SEGMENT MATRIX'!AB16-1&gt;0,'TASKS AND ROAD SEGMENT MATRIX'!AB16-1,"-")</f>
        <v>-</v>
      </c>
      <c r="P4" s="23" t="str">
        <f aca="false">IF('TASKS AND ROAD SEGMENT MATRIX'!AC16-1&gt;0,'TASKS AND ROAD SEGMENT MATRIX'!AC16-1,"-")</f>
        <v>-</v>
      </c>
      <c r="Q4" s="23" t="str">
        <f aca="false">IF('TASKS AND ROAD SEGMENT MATRIX'!AD16-1&gt;0,'TASKS AND ROAD SEGMENT MATRIX'!AD16-1,"-")</f>
        <v>-</v>
      </c>
    </row>
    <row r="5" customFormat="false" ht="13.8" hidden="false" customHeight="false" outlineLevel="0" collapsed="false">
      <c r="A5" s="11" t="s">
        <v>55</v>
      </c>
      <c r="B5" s="0" t="s">
        <v>142</v>
      </c>
      <c r="C5" s="23" t="n">
        <f aca="false">IF('TASKS AND ROAD SEGMENT MATRIX'!P17-1&gt;0,'TASKS AND ROAD SEGMENT MATRIX'!P17-1,"-")</f>
        <v>0.452265314447438</v>
      </c>
      <c r="D5" s="23" t="n">
        <f aca="false">IF('TASKS AND ROAD SEGMENT MATRIX'!Q17-1&gt;0,'TASKS AND ROAD SEGMENT MATRIX'!Q17-1,"-")</f>
        <v>0.452265314447438</v>
      </c>
      <c r="E5" s="23" t="n">
        <f aca="false">IF('TASKS AND ROAD SEGMENT MATRIX'!R17-1&gt;0,'TASKS AND ROAD SEGMENT MATRIX'!R17-1,"-")</f>
        <v>0.452265314447438</v>
      </c>
      <c r="F5" s="23" t="n">
        <f aca="false">IF('TASKS AND ROAD SEGMENT MATRIX'!S17-1&gt;0,'TASKS AND ROAD SEGMENT MATRIX'!S17-1,"-")</f>
        <v>0.904530628894875</v>
      </c>
      <c r="G5" s="23" t="n">
        <f aca="false">IF('TASKS AND ROAD SEGMENT MATRIX'!T17-1&gt;0,'TASKS AND ROAD SEGMENT MATRIX'!T17-1,"-")</f>
        <v>0.904530628894875</v>
      </c>
      <c r="H5" s="23" t="n">
        <f aca="false">IF('TASKS AND ROAD SEGMENT MATRIX'!U17-1&gt;0,'TASKS AND ROAD SEGMENT MATRIX'!U17-1,"-")</f>
        <v>0.904530628894875</v>
      </c>
      <c r="I5" s="23" t="str">
        <f aca="false">IF('TASKS AND ROAD SEGMENT MATRIX'!V17-1&gt;0,'TASKS AND ROAD SEGMENT MATRIX'!V17-1,"-")</f>
        <v>-</v>
      </c>
      <c r="J5" s="23" t="str">
        <f aca="false">IF('TASKS AND ROAD SEGMENT MATRIX'!W17-1&gt;0,'TASKS AND ROAD SEGMENT MATRIX'!W17-1,"-")</f>
        <v>-</v>
      </c>
      <c r="K5" s="23" t="str">
        <f aca="false">IF('TASKS AND ROAD SEGMENT MATRIX'!X17-1&gt;0,'TASKS AND ROAD SEGMENT MATRIX'!X17-1,"-")</f>
        <v>-</v>
      </c>
      <c r="L5" s="23" t="str">
        <f aca="false">IF('TASKS AND ROAD SEGMENT MATRIX'!Y17-1&gt;0,'TASKS AND ROAD SEGMENT MATRIX'!Y17-1,"-")</f>
        <v>-</v>
      </c>
      <c r="M5" s="23" t="str">
        <f aca="false">IF('TASKS AND ROAD SEGMENT MATRIX'!Z17-1&gt;0,'TASKS AND ROAD SEGMENT MATRIX'!Z17-1,"-")</f>
        <v>-</v>
      </c>
      <c r="N5" s="23" t="str">
        <f aca="false">IF('TASKS AND ROAD SEGMENT MATRIX'!AA17-1&gt;0,'TASKS AND ROAD SEGMENT MATRIX'!AA17-1,"-")</f>
        <v>-</v>
      </c>
      <c r="O5" s="23" t="str">
        <f aca="false">IF('TASKS AND ROAD SEGMENT MATRIX'!AB17-1&gt;0,'TASKS AND ROAD SEGMENT MATRIX'!AB17-1,"-")</f>
        <v>-</v>
      </c>
      <c r="P5" s="23" t="str">
        <f aca="false">IF('TASKS AND ROAD SEGMENT MATRIX'!AC17-1&gt;0,'TASKS AND ROAD SEGMENT MATRIX'!AC17-1,"-")</f>
        <v>-</v>
      </c>
      <c r="Q5" s="23" t="str">
        <f aca="false">IF('TASKS AND ROAD SEGMENT MATRIX'!AD17-1&gt;0,'TASKS AND ROAD SEGMENT MATRIX'!AD17-1,"-")</f>
        <v>-</v>
      </c>
    </row>
    <row r="6" customFormat="false" ht="13.8" hidden="false" customHeight="false" outlineLevel="0" collapsed="false">
      <c r="A6" s="19" t="s">
        <v>67</v>
      </c>
      <c r="B6" s="0" t="s">
        <v>139</v>
      </c>
      <c r="C6" s="23" t="str">
        <f aca="false">IF('TASKS AND ROAD SEGMENT MATRIX'!P22-1&gt;0,'TASKS AND ROAD SEGMENT MATRIX'!P22-1,"-")</f>
        <v>-</v>
      </c>
      <c r="D6" s="23" t="str">
        <f aca="false">IF('TASKS AND ROAD SEGMENT MATRIX'!Q22-1&gt;0,'TASKS AND ROAD SEGMENT MATRIX'!Q22-1,"-")</f>
        <v>-</v>
      </c>
      <c r="E6" s="23" t="str">
        <f aca="false">IF('TASKS AND ROAD SEGMENT MATRIX'!R22-1&gt;0,'TASKS AND ROAD SEGMENT MATRIX'!R22-1,"-")</f>
        <v>-</v>
      </c>
      <c r="F6" s="23" t="str">
        <f aca="false">IF('TASKS AND ROAD SEGMENT MATRIX'!S22-1&gt;0,'TASKS AND ROAD SEGMENT MATRIX'!S22-1,"-")</f>
        <v>-</v>
      </c>
      <c r="G6" s="23" t="str">
        <f aca="false">IF('TASKS AND ROAD SEGMENT MATRIX'!T22-1&gt;0,'TASKS AND ROAD SEGMENT MATRIX'!T22-1,"-")</f>
        <v>-</v>
      </c>
      <c r="H6" s="23" t="str">
        <f aca="false">IF('TASKS AND ROAD SEGMENT MATRIX'!U22-1&gt;0,'TASKS AND ROAD SEGMENT MATRIX'!U22-1,"-")</f>
        <v>-</v>
      </c>
      <c r="I6" s="23" t="n">
        <f aca="false">IF('TASKS AND ROAD SEGMENT MATRIX'!V22-1&gt;0,'TASKS AND ROAD SEGMENT MATRIX'!V22-1,"-")</f>
        <v>0.32997384290268</v>
      </c>
      <c r="J6" s="23" t="n">
        <f aca="false">IF('TASKS AND ROAD SEGMENT MATRIX'!W22-1&gt;0,'TASKS AND ROAD SEGMENT MATRIX'!W22-1,"-")</f>
        <v>0.659947685805359</v>
      </c>
      <c r="K6" s="23" t="str">
        <f aca="false">IF('TASKS AND ROAD SEGMENT MATRIX'!X22-1&gt;0,'TASKS AND ROAD SEGMENT MATRIX'!X22-1,"-")</f>
        <v>-</v>
      </c>
      <c r="L6" s="23" t="n">
        <f aca="false">IF('TASKS AND ROAD SEGMENT MATRIX'!Y22-1&gt;0,'TASKS AND ROAD SEGMENT MATRIX'!Y22-1,"-")</f>
        <v>0.32997384290268</v>
      </c>
      <c r="M6" s="23" t="str">
        <f aca="false">IF('TASKS AND ROAD SEGMENT MATRIX'!Z22-1&gt;0,'TASKS AND ROAD SEGMENT MATRIX'!Z22-1,"-")</f>
        <v>-</v>
      </c>
      <c r="N6" s="23" t="str">
        <f aca="false">IF('TASKS AND ROAD SEGMENT MATRIX'!AA22-1&gt;0,'TASKS AND ROAD SEGMENT MATRIX'!AA22-1,"-")</f>
        <v>-</v>
      </c>
      <c r="O6" s="23" t="str">
        <f aca="false">IF('TASKS AND ROAD SEGMENT MATRIX'!AB22-1&gt;0,'TASKS AND ROAD SEGMENT MATRIX'!AB22-1,"-")</f>
        <v>-</v>
      </c>
      <c r="P6" s="23" t="str">
        <f aca="false">IF('TASKS AND ROAD SEGMENT MATRIX'!AC22-1&gt;0,'TASKS AND ROAD SEGMENT MATRIX'!AC22-1,"-")</f>
        <v>-</v>
      </c>
      <c r="Q6" s="23" t="str">
        <f aca="false">IF('TASKS AND ROAD SEGMENT MATRIX'!AD22-1&gt;0,'TASKS AND ROAD SEGMENT MATRIX'!AD22-1,"-")</f>
        <v>-</v>
      </c>
    </row>
    <row r="7" customFormat="false" ht="13.8" hidden="false" customHeight="false" outlineLevel="0" collapsed="false">
      <c r="A7" s="19" t="s">
        <v>67</v>
      </c>
      <c r="B7" s="0" t="s">
        <v>140</v>
      </c>
      <c r="C7" s="23" t="str">
        <f aca="false">IF('TASKS AND ROAD SEGMENT MATRIX'!P23-1&gt;0,'TASKS AND ROAD SEGMENT MATRIX'!P23-1,"-")</f>
        <v>-</v>
      </c>
      <c r="D7" s="23" t="str">
        <f aca="false">IF('TASKS AND ROAD SEGMENT MATRIX'!Q23-1&gt;0,'TASKS AND ROAD SEGMENT MATRIX'!Q23-1,"-")</f>
        <v>-</v>
      </c>
      <c r="E7" s="23" t="str">
        <f aca="false">IF('TASKS AND ROAD SEGMENT MATRIX'!R23-1&gt;0,'TASKS AND ROAD SEGMENT MATRIX'!R23-1,"-")</f>
        <v>-</v>
      </c>
      <c r="F7" s="23" t="str">
        <f aca="false">IF('TASKS AND ROAD SEGMENT MATRIX'!S23-1&gt;0,'TASKS AND ROAD SEGMENT MATRIX'!S23-1,"-")</f>
        <v>-</v>
      </c>
      <c r="G7" s="23" t="str">
        <f aca="false">IF('TASKS AND ROAD SEGMENT MATRIX'!T23-1&gt;0,'TASKS AND ROAD SEGMENT MATRIX'!T23-1,"-")</f>
        <v>-</v>
      </c>
      <c r="H7" s="23" t="str">
        <f aca="false">IF('TASKS AND ROAD SEGMENT MATRIX'!U23-1&gt;0,'TASKS AND ROAD SEGMENT MATRIX'!U23-1,"-")</f>
        <v>-</v>
      </c>
      <c r="I7" s="23" t="n">
        <f aca="false">IF('TASKS AND ROAD SEGMENT MATRIX'!V23-1&gt;0,'TASKS AND ROAD SEGMENT MATRIX'!V23-1,"-")</f>
        <v>0.49496076435402</v>
      </c>
      <c r="J7" s="23" t="n">
        <f aca="false">IF('TASKS AND ROAD SEGMENT MATRIX'!W23-1&gt;0,'TASKS AND ROAD SEGMENT MATRIX'!W23-1,"-")</f>
        <v>0.989921528708039</v>
      </c>
      <c r="K7" s="23" t="str">
        <f aca="false">IF('TASKS AND ROAD SEGMENT MATRIX'!X23-1&gt;0,'TASKS AND ROAD SEGMENT MATRIX'!X23-1,"-")</f>
        <v>-</v>
      </c>
      <c r="L7" s="23" t="n">
        <f aca="false">IF('TASKS AND ROAD SEGMENT MATRIX'!Y23-1&gt;0,'TASKS AND ROAD SEGMENT MATRIX'!Y23-1,"-")</f>
        <v>0.49496076435402</v>
      </c>
      <c r="M7" s="23" t="str">
        <f aca="false">IF('TASKS AND ROAD SEGMENT MATRIX'!Z23-1&gt;0,'TASKS AND ROAD SEGMENT MATRIX'!Z23-1,"-")</f>
        <v>-</v>
      </c>
      <c r="N7" s="23" t="str">
        <f aca="false">IF('TASKS AND ROAD SEGMENT MATRIX'!AA23-1&gt;0,'TASKS AND ROAD SEGMENT MATRIX'!AA23-1,"-")</f>
        <v>-</v>
      </c>
      <c r="O7" s="23" t="str">
        <f aca="false">IF('TASKS AND ROAD SEGMENT MATRIX'!AB23-1&gt;0,'TASKS AND ROAD SEGMENT MATRIX'!AB23-1,"-")</f>
        <v>-</v>
      </c>
      <c r="P7" s="23" t="str">
        <f aca="false">IF('TASKS AND ROAD SEGMENT MATRIX'!AC23-1&gt;0,'TASKS AND ROAD SEGMENT MATRIX'!AC23-1,"-")</f>
        <v>-</v>
      </c>
      <c r="Q7" s="23" t="str">
        <f aca="false">IF('TASKS AND ROAD SEGMENT MATRIX'!AD23-1&gt;0,'TASKS AND ROAD SEGMENT MATRIX'!AD23-1,"-")</f>
        <v>-</v>
      </c>
    </row>
    <row r="8" customFormat="false" ht="13.8" hidden="false" customHeight="false" outlineLevel="0" collapsed="false">
      <c r="A8" s="19" t="s">
        <v>67</v>
      </c>
      <c r="B8" s="0" t="s">
        <v>141</v>
      </c>
      <c r="C8" s="23" t="str">
        <f aca="false">IF('TASKS AND ROAD SEGMENT MATRIX'!P24-1&gt;0,'TASKS AND ROAD SEGMENT MATRIX'!P24-1,"-")</f>
        <v>-</v>
      </c>
      <c r="D8" s="23" t="str">
        <f aca="false">IF('TASKS AND ROAD SEGMENT MATRIX'!Q24-1&gt;0,'TASKS AND ROAD SEGMENT MATRIX'!Q24-1,"-")</f>
        <v>-</v>
      </c>
      <c r="E8" s="23" t="str">
        <f aca="false">IF('TASKS AND ROAD SEGMENT MATRIX'!R24-1&gt;0,'TASKS AND ROAD SEGMENT MATRIX'!R24-1,"-")</f>
        <v>-</v>
      </c>
      <c r="F8" s="23" t="str">
        <f aca="false">IF('TASKS AND ROAD SEGMENT MATRIX'!S24-1&gt;0,'TASKS AND ROAD SEGMENT MATRIX'!S24-1,"-")</f>
        <v>-</v>
      </c>
      <c r="G8" s="23" t="str">
        <f aca="false">IF('TASKS AND ROAD SEGMENT MATRIX'!T24-1&gt;0,'TASKS AND ROAD SEGMENT MATRIX'!T24-1,"-")</f>
        <v>-</v>
      </c>
      <c r="H8" s="23" t="str">
        <f aca="false">IF('TASKS AND ROAD SEGMENT MATRIX'!U24-1&gt;0,'TASKS AND ROAD SEGMENT MATRIX'!U24-1,"-")</f>
        <v>-</v>
      </c>
      <c r="I8" s="23" t="n">
        <f aca="false">IF('TASKS AND ROAD SEGMENT MATRIX'!V24-1&gt;0,'TASKS AND ROAD SEGMENT MATRIX'!V24-1,"-")</f>
        <v>0.41246730362835</v>
      </c>
      <c r="J8" s="23" t="n">
        <f aca="false">IF('TASKS AND ROAD SEGMENT MATRIX'!W24-1&gt;0,'TASKS AND ROAD SEGMENT MATRIX'!W24-1,"-")</f>
        <v>0.824934607256699</v>
      </c>
      <c r="K8" s="23" t="str">
        <f aca="false">IF('TASKS AND ROAD SEGMENT MATRIX'!X24-1&gt;0,'TASKS AND ROAD SEGMENT MATRIX'!X24-1,"-")</f>
        <v>-</v>
      </c>
      <c r="L8" s="23" t="n">
        <f aca="false">IF('TASKS AND ROAD SEGMENT MATRIX'!Y24-1&gt;0,'TASKS AND ROAD SEGMENT MATRIX'!Y24-1,"-")</f>
        <v>0.41246730362835</v>
      </c>
      <c r="M8" s="23" t="str">
        <f aca="false">IF('TASKS AND ROAD SEGMENT MATRIX'!Z24-1&gt;0,'TASKS AND ROAD SEGMENT MATRIX'!Z24-1,"-")</f>
        <v>-</v>
      </c>
      <c r="N8" s="23" t="str">
        <f aca="false">IF('TASKS AND ROAD SEGMENT MATRIX'!AA24-1&gt;0,'TASKS AND ROAD SEGMENT MATRIX'!AA24-1,"-")</f>
        <v>-</v>
      </c>
      <c r="O8" s="23" t="str">
        <f aca="false">IF('TASKS AND ROAD SEGMENT MATRIX'!AB24-1&gt;0,'TASKS AND ROAD SEGMENT MATRIX'!AB24-1,"-")</f>
        <v>-</v>
      </c>
      <c r="P8" s="23" t="str">
        <f aca="false">IF('TASKS AND ROAD SEGMENT MATRIX'!AC24-1&gt;0,'TASKS AND ROAD SEGMENT MATRIX'!AC24-1,"-")</f>
        <v>-</v>
      </c>
      <c r="Q8" s="23" t="str">
        <f aca="false">IF('TASKS AND ROAD SEGMENT MATRIX'!AD24-1&gt;0,'TASKS AND ROAD SEGMENT MATRIX'!AD24-1,"-")</f>
        <v>-</v>
      </c>
    </row>
    <row r="9" customFormat="false" ht="13.8" hidden="false" customHeight="false" outlineLevel="0" collapsed="false">
      <c r="A9" s="19" t="s">
        <v>67</v>
      </c>
      <c r="B9" s="0" t="s">
        <v>142</v>
      </c>
      <c r="C9" s="23" t="str">
        <f aca="false">IF('TASKS AND ROAD SEGMENT MATRIX'!P25-1&gt;0,'TASKS AND ROAD SEGMENT MATRIX'!P25-1,"-")</f>
        <v>-</v>
      </c>
      <c r="D9" s="23" t="str">
        <f aca="false">IF('TASKS AND ROAD SEGMENT MATRIX'!Q25-1&gt;0,'TASKS AND ROAD SEGMENT MATRIX'!Q25-1,"-")</f>
        <v>-</v>
      </c>
      <c r="E9" s="23" t="str">
        <f aca="false">IF('TASKS AND ROAD SEGMENT MATRIX'!R25-1&gt;0,'TASKS AND ROAD SEGMENT MATRIX'!R25-1,"-")</f>
        <v>-</v>
      </c>
      <c r="F9" s="23" t="str">
        <f aca="false">IF('TASKS AND ROAD SEGMENT MATRIX'!S25-1&gt;0,'TASKS AND ROAD SEGMENT MATRIX'!S25-1,"-")</f>
        <v>-</v>
      </c>
      <c r="G9" s="23" t="str">
        <f aca="false">IF('TASKS AND ROAD SEGMENT MATRIX'!T25-1&gt;0,'TASKS AND ROAD SEGMENT MATRIX'!T25-1,"-")</f>
        <v>-</v>
      </c>
      <c r="H9" s="23" t="str">
        <f aca="false">IF('TASKS AND ROAD SEGMENT MATRIX'!U25-1&gt;0,'TASKS AND ROAD SEGMENT MATRIX'!U25-1,"-")</f>
        <v>-</v>
      </c>
      <c r="I9" s="23" t="n">
        <f aca="false">IF('TASKS AND ROAD SEGMENT MATRIX'!V25-1&gt;0,'TASKS AND ROAD SEGMENT MATRIX'!V25-1,"-")</f>
        <v>0.49496076435402</v>
      </c>
      <c r="J9" s="23" t="n">
        <f aca="false">IF('TASKS AND ROAD SEGMENT MATRIX'!W25-1&gt;0,'TASKS AND ROAD SEGMENT MATRIX'!W25-1,"-")</f>
        <v>0.989921528708039</v>
      </c>
      <c r="K9" s="23" t="str">
        <f aca="false">IF('TASKS AND ROAD SEGMENT MATRIX'!X25-1&gt;0,'TASKS AND ROAD SEGMENT MATRIX'!X25-1,"-")</f>
        <v>-</v>
      </c>
      <c r="L9" s="23" t="n">
        <f aca="false">IF('TASKS AND ROAD SEGMENT MATRIX'!Y25-1&gt;0,'TASKS AND ROAD SEGMENT MATRIX'!Y25-1,"-")</f>
        <v>0.49496076435402</v>
      </c>
      <c r="M9" s="23" t="str">
        <f aca="false">IF('TASKS AND ROAD SEGMENT MATRIX'!Z25-1&gt;0,'TASKS AND ROAD SEGMENT MATRIX'!Z25-1,"-")</f>
        <v>-</v>
      </c>
      <c r="N9" s="23" t="str">
        <f aca="false">IF('TASKS AND ROAD SEGMENT MATRIX'!AA25-1&gt;0,'TASKS AND ROAD SEGMENT MATRIX'!AA25-1,"-")</f>
        <v>-</v>
      </c>
      <c r="O9" s="23" t="str">
        <f aca="false">IF('TASKS AND ROAD SEGMENT MATRIX'!AB25-1&gt;0,'TASKS AND ROAD SEGMENT MATRIX'!AB25-1,"-")</f>
        <v>-</v>
      </c>
      <c r="P9" s="23" t="str">
        <f aca="false">IF('TASKS AND ROAD SEGMENT MATRIX'!AC25-1&gt;0,'TASKS AND ROAD SEGMENT MATRIX'!AC25-1,"-")</f>
        <v>-</v>
      </c>
      <c r="Q9" s="23" t="str">
        <f aca="false">IF('TASKS AND ROAD SEGMENT MATRIX'!AD25-1&gt;0,'TASKS AND ROAD SEGMENT MATRIX'!AD25-1,"-")</f>
        <v>-</v>
      </c>
    </row>
    <row r="10" customFormat="false" ht="13.8" hidden="false" customHeight="false" outlineLevel="0" collapsed="false">
      <c r="A10" s="0" t="s">
        <v>68</v>
      </c>
      <c r="B10" s="0" t="s">
        <v>139</v>
      </c>
      <c r="C10" s="23" t="n">
        <f aca="false">IF('TASKS AND ROAD SEGMENT MATRIX'!P26-1&gt;0,'TASKS AND ROAD SEGMENT MATRIX'!P26-1,"-")</f>
        <v>0.314151907807443</v>
      </c>
      <c r="D10" s="23" t="n">
        <f aca="false">IF('TASKS AND ROAD SEGMENT MATRIX'!Q26-1&gt;0,'TASKS AND ROAD SEGMENT MATRIX'!Q26-1,"-")</f>
        <v>0.314151907807443</v>
      </c>
      <c r="E10" s="23" t="n">
        <f aca="false">IF('TASKS AND ROAD SEGMENT MATRIX'!R26-1&gt;0,'TASKS AND ROAD SEGMENT MATRIX'!R26-1,"-")</f>
        <v>0.314151907807443</v>
      </c>
      <c r="F10" s="23" t="str">
        <f aca="false">IF('TASKS AND ROAD SEGMENT MATRIX'!S26-1&gt;0,'TASKS AND ROAD SEGMENT MATRIX'!S26-1,"-")</f>
        <v>-</v>
      </c>
      <c r="G10" s="23" t="str">
        <f aca="false">IF('TASKS AND ROAD SEGMENT MATRIX'!T26-1&gt;0,'TASKS AND ROAD SEGMENT MATRIX'!T26-1,"-")</f>
        <v>-</v>
      </c>
      <c r="H10" s="23" t="str">
        <f aca="false">IF('TASKS AND ROAD SEGMENT MATRIX'!U26-1&gt;0,'TASKS AND ROAD SEGMENT MATRIX'!U26-1,"-")</f>
        <v>-</v>
      </c>
      <c r="I10" s="23" t="str">
        <f aca="false">IF('TASKS AND ROAD SEGMENT MATRIX'!V26-1&gt;0,'TASKS AND ROAD SEGMENT MATRIX'!V26-1,"-")</f>
        <v>-</v>
      </c>
      <c r="J10" s="23" t="n">
        <f aca="false">IF('TASKS AND ROAD SEGMENT MATRIX'!W26-1&gt;0,'TASKS AND ROAD SEGMENT MATRIX'!W26-1,"-")</f>
        <v>0.314151907807443</v>
      </c>
      <c r="K10" s="23" t="str">
        <f aca="false">IF('TASKS AND ROAD SEGMENT MATRIX'!X26-1&gt;0,'TASKS AND ROAD SEGMENT MATRIX'!X26-1,"-")</f>
        <v>-</v>
      </c>
      <c r="L10" s="23" t="n">
        <f aca="false">IF('TASKS AND ROAD SEGMENT MATRIX'!Y26-1&gt;0,'TASKS AND ROAD SEGMENT MATRIX'!Y26-1,"-")</f>
        <v>0.314151907807443</v>
      </c>
      <c r="M10" s="23" t="str">
        <f aca="false">IF('TASKS AND ROAD SEGMENT MATRIX'!Z26-1&gt;0,'TASKS AND ROAD SEGMENT MATRIX'!Z26-1,"-")</f>
        <v>-</v>
      </c>
      <c r="N10" s="23" t="n">
        <f aca="false">IF('TASKS AND ROAD SEGMENT MATRIX'!AA26-1&gt;0,'TASKS AND ROAD SEGMENT MATRIX'!AA26-1,"-")</f>
        <v>0.314151907807443</v>
      </c>
      <c r="O10" s="23" t="str">
        <f aca="false">IF('TASKS AND ROAD SEGMENT MATRIX'!AB26-1&gt;0,'TASKS AND ROAD SEGMENT MATRIX'!AB26-1,"-")</f>
        <v>-</v>
      </c>
      <c r="P10" s="23" t="str">
        <f aca="false">IF('TASKS AND ROAD SEGMENT MATRIX'!AC26-1&gt;0,'TASKS AND ROAD SEGMENT MATRIX'!AC26-1,"-")</f>
        <v>-</v>
      </c>
      <c r="Q10" s="23" t="str">
        <f aca="false">IF('TASKS AND ROAD SEGMENT MATRIX'!AD26-1&gt;0,'TASKS AND ROAD SEGMENT MATRIX'!AD26-1,"-")</f>
        <v>-</v>
      </c>
    </row>
    <row r="11" customFormat="false" ht="13.8" hidden="false" customHeight="false" outlineLevel="0" collapsed="false">
      <c r="A11" s="0" t="s">
        <v>68</v>
      </c>
      <c r="B11" s="0" t="s">
        <v>140</v>
      </c>
      <c r="C11" s="23" t="n">
        <f aca="false">IF('TASKS AND ROAD SEGMENT MATRIX'!P27-1&gt;0,'TASKS AND ROAD SEGMENT MATRIX'!P27-1,"-")</f>
        <v>0.471227861711165</v>
      </c>
      <c r="D11" s="23" t="n">
        <f aca="false">IF('TASKS AND ROAD SEGMENT MATRIX'!Q27-1&gt;0,'TASKS AND ROAD SEGMENT MATRIX'!Q27-1,"-")</f>
        <v>0.471227861711165</v>
      </c>
      <c r="E11" s="23" t="n">
        <f aca="false">IF('TASKS AND ROAD SEGMENT MATRIX'!R27-1&gt;0,'TASKS AND ROAD SEGMENT MATRIX'!R27-1,"-")</f>
        <v>0.471227861711165</v>
      </c>
      <c r="F11" s="23" t="str">
        <f aca="false">IF('TASKS AND ROAD SEGMENT MATRIX'!S27-1&gt;0,'TASKS AND ROAD SEGMENT MATRIX'!S27-1,"-")</f>
        <v>-</v>
      </c>
      <c r="G11" s="23" t="str">
        <f aca="false">IF('TASKS AND ROAD SEGMENT MATRIX'!T27-1&gt;0,'TASKS AND ROAD SEGMENT MATRIX'!T27-1,"-")</f>
        <v>-</v>
      </c>
      <c r="H11" s="23" t="str">
        <f aca="false">IF('TASKS AND ROAD SEGMENT MATRIX'!U27-1&gt;0,'TASKS AND ROAD SEGMENT MATRIX'!U27-1,"-")</f>
        <v>-</v>
      </c>
      <c r="I11" s="23" t="str">
        <f aca="false">IF('TASKS AND ROAD SEGMENT MATRIX'!V27-1&gt;0,'TASKS AND ROAD SEGMENT MATRIX'!V27-1,"-")</f>
        <v>-</v>
      </c>
      <c r="J11" s="23" t="n">
        <f aca="false">IF('TASKS AND ROAD SEGMENT MATRIX'!W27-1&gt;0,'TASKS AND ROAD SEGMENT MATRIX'!W27-1,"-")</f>
        <v>0.471227861711165</v>
      </c>
      <c r="K11" s="23" t="str">
        <f aca="false">IF('TASKS AND ROAD SEGMENT MATRIX'!X27-1&gt;0,'TASKS AND ROAD SEGMENT MATRIX'!X27-1,"-")</f>
        <v>-</v>
      </c>
      <c r="L11" s="23" t="n">
        <f aca="false">IF('TASKS AND ROAD SEGMENT MATRIX'!Y27-1&gt;0,'TASKS AND ROAD SEGMENT MATRIX'!Y27-1,"-")</f>
        <v>0.471227861711165</v>
      </c>
      <c r="M11" s="23" t="str">
        <f aca="false">IF('TASKS AND ROAD SEGMENT MATRIX'!Z27-1&gt;0,'TASKS AND ROAD SEGMENT MATRIX'!Z27-1,"-")</f>
        <v>-</v>
      </c>
      <c r="N11" s="23" t="n">
        <f aca="false">IF('TASKS AND ROAD SEGMENT MATRIX'!AA27-1&gt;0,'TASKS AND ROAD SEGMENT MATRIX'!AA27-1,"-")</f>
        <v>0.471227861711165</v>
      </c>
      <c r="O11" s="23" t="str">
        <f aca="false">IF('TASKS AND ROAD SEGMENT MATRIX'!AB27-1&gt;0,'TASKS AND ROAD SEGMENT MATRIX'!AB27-1,"-")</f>
        <v>-</v>
      </c>
      <c r="P11" s="23" t="str">
        <f aca="false">IF('TASKS AND ROAD SEGMENT MATRIX'!AC27-1&gt;0,'TASKS AND ROAD SEGMENT MATRIX'!AC27-1,"-")</f>
        <v>-</v>
      </c>
      <c r="Q11" s="23" t="str">
        <f aca="false">IF('TASKS AND ROAD SEGMENT MATRIX'!AD27-1&gt;0,'TASKS AND ROAD SEGMENT MATRIX'!AD27-1,"-")</f>
        <v>-</v>
      </c>
    </row>
    <row r="12" customFormat="false" ht="13.8" hidden="false" customHeight="false" outlineLevel="0" collapsed="false">
      <c r="A12" s="0" t="s">
        <v>68</v>
      </c>
      <c r="B12" s="0" t="s">
        <v>141</v>
      </c>
      <c r="C12" s="23" t="n">
        <f aca="false">IF('TASKS AND ROAD SEGMENT MATRIX'!P28-1&gt;0,'TASKS AND ROAD SEGMENT MATRIX'!P28-1,"-")</f>
        <v>0.392689884759304</v>
      </c>
      <c r="D12" s="23" t="n">
        <f aca="false">IF('TASKS AND ROAD SEGMENT MATRIX'!Q28-1&gt;0,'TASKS AND ROAD SEGMENT MATRIX'!Q28-1,"-")</f>
        <v>0.392689884759304</v>
      </c>
      <c r="E12" s="23" t="n">
        <f aca="false">IF('TASKS AND ROAD SEGMENT MATRIX'!R28-1&gt;0,'TASKS AND ROAD SEGMENT MATRIX'!R28-1,"-")</f>
        <v>0.392689884759304</v>
      </c>
      <c r="F12" s="23" t="str">
        <f aca="false">IF('TASKS AND ROAD SEGMENT MATRIX'!S28-1&gt;0,'TASKS AND ROAD SEGMENT MATRIX'!S28-1,"-")</f>
        <v>-</v>
      </c>
      <c r="G12" s="23" t="str">
        <f aca="false">IF('TASKS AND ROAD SEGMENT MATRIX'!T28-1&gt;0,'TASKS AND ROAD SEGMENT MATRIX'!T28-1,"-")</f>
        <v>-</v>
      </c>
      <c r="H12" s="23" t="str">
        <f aca="false">IF('TASKS AND ROAD SEGMENT MATRIX'!U28-1&gt;0,'TASKS AND ROAD SEGMENT MATRIX'!U28-1,"-")</f>
        <v>-</v>
      </c>
      <c r="I12" s="23" t="str">
        <f aca="false">IF('TASKS AND ROAD SEGMENT MATRIX'!V28-1&gt;0,'TASKS AND ROAD SEGMENT MATRIX'!V28-1,"-")</f>
        <v>-</v>
      </c>
      <c r="J12" s="23" t="n">
        <f aca="false">IF('TASKS AND ROAD SEGMENT MATRIX'!W28-1&gt;0,'TASKS AND ROAD SEGMENT MATRIX'!W28-1,"-")</f>
        <v>0.392689884759304</v>
      </c>
      <c r="K12" s="23" t="str">
        <f aca="false">IF('TASKS AND ROAD SEGMENT MATRIX'!X28-1&gt;0,'TASKS AND ROAD SEGMENT MATRIX'!X28-1,"-")</f>
        <v>-</v>
      </c>
      <c r="L12" s="23" t="n">
        <f aca="false">IF('TASKS AND ROAD SEGMENT MATRIX'!Y28-1&gt;0,'TASKS AND ROAD SEGMENT MATRIX'!Y28-1,"-")</f>
        <v>0.392689884759304</v>
      </c>
      <c r="M12" s="23" t="str">
        <f aca="false">IF('TASKS AND ROAD SEGMENT MATRIX'!Z28-1&gt;0,'TASKS AND ROAD SEGMENT MATRIX'!Z28-1,"-")</f>
        <v>-</v>
      </c>
      <c r="N12" s="23" t="n">
        <f aca="false">IF('TASKS AND ROAD SEGMENT MATRIX'!AA28-1&gt;0,'TASKS AND ROAD SEGMENT MATRIX'!AA28-1,"-")</f>
        <v>0.392689884759304</v>
      </c>
      <c r="O12" s="23" t="str">
        <f aca="false">IF('TASKS AND ROAD SEGMENT MATRIX'!AB28-1&gt;0,'TASKS AND ROAD SEGMENT MATRIX'!AB28-1,"-")</f>
        <v>-</v>
      </c>
      <c r="P12" s="23" t="str">
        <f aca="false">IF('TASKS AND ROAD SEGMENT MATRIX'!AC28-1&gt;0,'TASKS AND ROAD SEGMENT MATRIX'!AC28-1,"-")</f>
        <v>-</v>
      </c>
      <c r="Q12" s="23" t="str">
        <f aca="false">IF('TASKS AND ROAD SEGMENT MATRIX'!AD28-1&gt;0,'TASKS AND ROAD SEGMENT MATRIX'!AD28-1,"-")</f>
        <v>-</v>
      </c>
    </row>
    <row r="13" customFormat="false" ht="13.8" hidden="false" customHeight="false" outlineLevel="0" collapsed="false">
      <c r="A13" s="0" t="s">
        <v>68</v>
      </c>
      <c r="B13" s="0" t="s">
        <v>142</v>
      </c>
      <c r="C13" s="23" t="n">
        <f aca="false">IF('TASKS AND ROAD SEGMENT MATRIX'!P29-1&gt;0,'TASKS AND ROAD SEGMENT MATRIX'!P29-1,"-")</f>
        <v>0.471227861711165</v>
      </c>
      <c r="D13" s="23" t="n">
        <f aca="false">IF('TASKS AND ROAD SEGMENT MATRIX'!Q29-1&gt;0,'TASKS AND ROAD SEGMENT MATRIX'!Q29-1,"-")</f>
        <v>0.471227861711165</v>
      </c>
      <c r="E13" s="23" t="n">
        <f aca="false">IF('TASKS AND ROAD SEGMENT MATRIX'!R29-1&gt;0,'TASKS AND ROAD SEGMENT MATRIX'!R29-1,"-")</f>
        <v>0.471227861711165</v>
      </c>
      <c r="F13" s="23" t="str">
        <f aca="false">IF('TASKS AND ROAD SEGMENT MATRIX'!S29-1&gt;0,'TASKS AND ROAD SEGMENT MATRIX'!S29-1,"-")</f>
        <v>-</v>
      </c>
      <c r="G13" s="23" t="str">
        <f aca="false">IF('TASKS AND ROAD SEGMENT MATRIX'!T29-1&gt;0,'TASKS AND ROAD SEGMENT MATRIX'!T29-1,"-")</f>
        <v>-</v>
      </c>
      <c r="H13" s="23" t="str">
        <f aca="false">IF('TASKS AND ROAD SEGMENT MATRIX'!U29-1&gt;0,'TASKS AND ROAD SEGMENT MATRIX'!U29-1,"-")</f>
        <v>-</v>
      </c>
      <c r="I13" s="23" t="str">
        <f aca="false">IF('TASKS AND ROAD SEGMENT MATRIX'!V29-1&gt;0,'TASKS AND ROAD SEGMENT MATRIX'!V29-1,"-")</f>
        <v>-</v>
      </c>
      <c r="J13" s="23" t="n">
        <f aca="false">IF('TASKS AND ROAD SEGMENT MATRIX'!W29-1&gt;0,'TASKS AND ROAD SEGMENT MATRIX'!W29-1,"-")</f>
        <v>0.471227861711165</v>
      </c>
      <c r="K13" s="23" t="str">
        <f aca="false">IF('TASKS AND ROAD SEGMENT MATRIX'!X29-1&gt;0,'TASKS AND ROAD SEGMENT MATRIX'!X29-1,"-")</f>
        <v>-</v>
      </c>
      <c r="L13" s="23" t="n">
        <f aca="false">IF('TASKS AND ROAD SEGMENT MATRIX'!Y29-1&gt;0,'TASKS AND ROAD SEGMENT MATRIX'!Y29-1,"-")</f>
        <v>0.471227861711165</v>
      </c>
      <c r="M13" s="23" t="str">
        <f aca="false">IF('TASKS AND ROAD SEGMENT MATRIX'!Z29-1&gt;0,'TASKS AND ROAD SEGMENT MATRIX'!Z29-1,"-")</f>
        <v>-</v>
      </c>
      <c r="N13" s="23" t="n">
        <f aca="false">IF('TASKS AND ROAD SEGMENT MATRIX'!AA29-1&gt;0,'TASKS AND ROAD SEGMENT MATRIX'!AA29-1,"-")</f>
        <v>0.471227861711165</v>
      </c>
      <c r="O13" s="23" t="str">
        <f aca="false">IF('TASKS AND ROAD SEGMENT MATRIX'!AB29-1&gt;0,'TASKS AND ROAD SEGMENT MATRIX'!AB29-1,"-")</f>
        <v>-</v>
      </c>
      <c r="P13" s="23" t="str">
        <f aca="false">IF('TASKS AND ROAD SEGMENT MATRIX'!AC29-1&gt;0,'TASKS AND ROAD SEGMENT MATRIX'!AC29-1,"-")</f>
        <v>-</v>
      </c>
      <c r="Q13" s="23" t="str">
        <f aca="false">IF('TASKS AND ROAD SEGMENT MATRIX'!AD29-1&gt;0,'TASKS AND ROAD SEGMENT MATRIX'!AD29-1,"-")</f>
        <v>-</v>
      </c>
    </row>
    <row r="14" customFormat="false" ht="13.8" hidden="false" customHeight="false" outlineLevel="0" collapsed="false">
      <c r="A14" s="9" t="s">
        <v>69</v>
      </c>
      <c r="B14" s="0" t="s">
        <v>139</v>
      </c>
      <c r="C14" s="23" t="str">
        <f aca="false">IF('TASKS AND ROAD SEGMENT MATRIX'!P30-1&gt;0,'TASKS AND ROAD SEGMENT MATRIX'!P30-1,"-")</f>
        <v>-</v>
      </c>
      <c r="D14" s="23" t="str">
        <f aca="false">IF('TASKS AND ROAD SEGMENT MATRIX'!Q30-1&gt;0,'TASKS AND ROAD SEGMENT MATRIX'!Q30-1,"-")</f>
        <v>-</v>
      </c>
      <c r="E14" s="23" t="str">
        <f aca="false">IF('TASKS AND ROAD SEGMENT MATRIX'!R30-1&gt;0,'TASKS AND ROAD SEGMENT MATRIX'!R30-1,"-")</f>
        <v>-</v>
      </c>
      <c r="F14" s="23" t="str">
        <f aca="false">IF('TASKS AND ROAD SEGMENT MATRIX'!S30-1&gt;0,'TASKS AND ROAD SEGMENT MATRIX'!S30-1,"-")</f>
        <v>-</v>
      </c>
      <c r="G14" s="23" t="str">
        <f aca="false">IF('TASKS AND ROAD SEGMENT MATRIX'!T30-1&gt;0,'TASKS AND ROAD SEGMENT MATRIX'!T30-1,"-")</f>
        <v>-</v>
      </c>
      <c r="H14" s="23" t="str">
        <f aca="false">IF('TASKS AND ROAD SEGMENT MATRIX'!U30-1&gt;0,'TASKS AND ROAD SEGMENT MATRIX'!U30-1,"-")</f>
        <v>-</v>
      </c>
      <c r="I14" s="23" t="str">
        <f aca="false">IF('TASKS AND ROAD SEGMENT MATRIX'!V30-1&gt;0,'TASKS AND ROAD SEGMENT MATRIX'!V30-1,"-")</f>
        <v>-</v>
      </c>
      <c r="J14" s="23" t="str">
        <f aca="false">IF('TASKS AND ROAD SEGMENT MATRIX'!W30-1&gt;0,'TASKS AND ROAD SEGMENT MATRIX'!W30-1,"-")</f>
        <v>-</v>
      </c>
      <c r="K14" s="23" t="str">
        <f aca="false">IF('TASKS AND ROAD SEGMENT MATRIX'!X30-1&gt;0,'TASKS AND ROAD SEGMENT MATRIX'!X30-1,"-")</f>
        <v>-</v>
      </c>
      <c r="L14" s="23" t="n">
        <f aca="false">IF('TASKS AND ROAD SEGMENT MATRIX'!Y30-1&gt;0,'TASKS AND ROAD SEGMENT MATRIX'!Y30-1,"-")</f>
        <v>0.209983354574433</v>
      </c>
      <c r="M14" s="23" t="n">
        <f aca="false">IF('TASKS AND ROAD SEGMENT MATRIX'!Z30-1&gt;0,'TASKS AND ROAD SEGMENT MATRIX'!Z30-1,"-")</f>
        <v>0.209983354574433</v>
      </c>
      <c r="N14" s="23" t="n">
        <f aca="false">IF('TASKS AND ROAD SEGMENT MATRIX'!AA30-1&gt;0,'TASKS AND ROAD SEGMENT MATRIX'!AA30-1,"-")</f>
        <v>0.419966709148865</v>
      </c>
      <c r="O14" s="23" t="str">
        <f aca="false">IF('TASKS AND ROAD SEGMENT MATRIX'!AB30-1&gt;0,'TASKS AND ROAD SEGMENT MATRIX'!AB30-1,"-")</f>
        <v>-</v>
      </c>
      <c r="P14" s="23" t="str">
        <f aca="false">IF('TASKS AND ROAD SEGMENT MATRIX'!AC30-1&gt;0,'TASKS AND ROAD SEGMENT MATRIX'!AC30-1,"-")</f>
        <v>-</v>
      </c>
      <c r="Q14" s="23" t="str">
        <f aca="false">IF('TASKS AND ROAD SEGMENT MATRIX'!AD30-1&gt;0,'TASKS AND ROAD SEGMENT MATRIX'!AD30-1,"-")</f>
        <v>-</v>
      </c>
    </row>
    <row r="15" customFormat="false" ht="13.8" hidden="false" customHeight="false" outlineLevel="0" collapsed="false">
      <c r="A15" s="9" t="s">
        <v>69</v>
      </c>
      <c r="B15" s="0" t="s">
        <v>140</v>
      </c>
      <c r="C15" s="23" t="str">
        <f aca="false">IF('TASKS AND ROAD SEGMENT MATRIX'!P31-1&gt;0,'TASKS AND ROAD SEGMENT MATRIX'!P31-1,"-")</f>
        <v>-</v>
      </c>
      <c r="D15" s="23" t="str">
        <f aca="false">IF('TASKS AND ROAD SEGMENT MATRIX'!Q31-1&gt;0,'TASKS AND ROAD SEGMENT MATRIX'!Q31-1,"-")</f>
        <v>-</v>
      </c>
      <c r="E15" s="23" t="str">
        <f aca="false">IF('TASKS AND ROAD SEGMENT MATRIX'!R31-1&gt;0,'TASKS AND ROAD SEGMENT MATRIX'!R31-1,"-")</f>
        <v>-</v>
      </c>
      <c r="F15" s="23" t="str">
        <f aca="false">IF('TASKS AND ROAD SEGMENT MATRIX'!S31-1&gt;0,'TASKS AND ROAD SEGMENT MATRIX'!S31-1,"-")</f>
        <v>-</v>
      </c>
      <c r="G15" s="23" t="str">
        <f aca="false">IF('TASKS AND ROAD SEGMENT MATRIX'!T31-1&gt;0,'TASKS AND ROAD SEGMENT MATRIX'!T31-1,"-")</f>
        <v>-</v>
      </c>
      <c r="H15" s="23" t="str">
        <f aca="false">IF('TASKS AND ROAD SEGMENT MATRIX'!U31-1&gt;0,'TASKS AND ROAD SEGMENT MATRIX'!U31-1,"-")</f>
        <v>-</v>
      </c>
      <c r="I15" s="23" t="str">
        <f aca="false">IF('TASKS AND ROAD SEGMENT MATRIX'!V31-1&gt;0,'TASKS AND ROAD SEGMENT MATRIX'!V31-1,"-")</f>
        <v>-</v>
      </c>
      <c r="J15" s="23" t="str">
        <f aca="false">IF('TASKS AND ROAD SEGMENT MATRIX'!W31-1&gt;0,'TASKS AND ROAD SEGMENT MATRIX'!W31-1,"-")</f>
        <v>-</v>
      </c>
      <c r="K15" s="23" t="str">
        <f aca="false">IF('TASKS AND ROAD SEGMENT MATRIX'!X31-1&gt;0,'TASKS AND ROAD SEGMENT MATRIX'!X31-1,"-")</f>
        <v>-</v>
      </c>
      <c r="L15" s="23" t="n">
        <f aca="false">IF('TASKS AND ROAD SEGMENT MATRIX'!Y31-1&gt;0,'TASKS AND ROAD SEGMENT MATRIX'!Y31-1,"-")</f>
        <v>0.314975031861649</v>
      </c>
      <c r="M15" s="23" t="n">
        <f aca="false">IF('TASKS AND ROAD SEGMENT MATRIX'!Z31-1&gt;0,'TASKS AND ROAD SEGMENT MATRIX'!Z31-1,"-")</f>
        <v>0.314975031861649</v>
      </c>
      <c r="N15" s="23" t="n">
        <f aca="false">IF('TASKS AND ROAD SEGMENT MATRIX'!AA31-1&gt;0,'TASKS AND ROAD SEGMENT MATRIX'!AA31-1,"-")</f>
        <v>0.629950063723298</v>
      </c>
      <c r="O15" s="23" t="str">
        <f aca="false">IF('TASKS AND ROAD SEGMENT MATRIX'!AB31-1&gt;0,'TASKS AND ROAD SEGMENT MATRIX'!AB31-1,"-")</f>
        <v>-</v>
      </c>
      <c r="P15" s="23" t="str">
        <f aca="false">IF('TASKS AND ROAD SEGMENT MATRIX'!AC31-1&gt;0,'TASKS AND ROAD SEGMENT MATRIX'!AC31-1,"-")</f>
        <v>-</v>
      </c>
      <c r="Q15" s="23" t="str">
        <f aca="false">IF('TASKS AND ROAD SEGMENT MATRIX'!AD31-1&gt;0,'TASKS AND ROAD SEGMENT MATRIX'!AD31-1,"-")</f>
        <v>-</v>
      </c>
    </row>
    <row r="16" customFormat="false" ht="13.8" hidden="false" customHeight="false" outlineLevel="0" collapsed="false">
      <c r="A16" s="9" t="s">
        <v>69</v>
      </c>
      <c r="B16" s="0" t="s">
        <v>141</v>
      </c>
      <c r="C16" s="23" t="str">
        <f aca="false">IF('TASKS AND ROAD SEGMENT MATRIX'!P32-1&gt;0,'TASKS AND ROAD SEGMENT MATRIX'!P32-1,"-")</f>
        <v>-</v>
      </c>
      <c r="D16" s="23" t="str">
        <f aca="false">IF('TASKS AND ROAD SEGMENT MATRIX'!Q32-1&gt;0,'TASKS AND ROAD SEGMENT MATRIX'!Q32-1,"-")</f>
        <v>-</v>
      </c>
      <c r="E16" s="23" t="str">
        <f aca="false">IF('TASKS AND ROAD SEGMENT MATRIX'!R32-1&gt;0,'TASKS AND ROAD SEGMENT MATRIX'!R32-1,"-")</f>
        <v>-</v>
      </c>
      <c r="F16" s="23" t="str">
        <f aca="false">IF('TASKS AND ROAD SEGMENT MATRIX'!S32-1&gt;0,'TASKS AND ROAD SEGMENT MATRIX'!S32-1,"-")</f>
        <v>-</v>
      </c>
      <c r="G16" s="23" t="str">
        <f aca="false">IF('TASKS AND ROAD SEGMENT MATRIX'!T32-1&gt;0,'TASKS AND ROAD SEGMENT MATRIX'!T32-1,"-")</f>
        <v>-</v>
      </c>
      <c r="H16" s="23" t="str">
        <f aca="false">IF('TASKS AND ROAD SEGMENT MATRIX'!U32-1&gt;0,'TASKS AND ROAD SEGMENT MATRIX'!U32-1,"-")</f>
        <v>-</v>
      </c>
      <c r="I16" s="23" t="str">
        <f aca="false">IF('TASKS AND ROAD SEGMENT MATRIX'!V32-1&gt;0,'TASKS AND ROAD SEGMENT MATRIX'!V32-1,"-")</f>
        <v>-</v>
      </c>
      <c r="J16" s="23" t="str">
        <f aca="false">IF('TASKS AND ROAD SEGMENT MATRIX'!W32-1&gt;0,'TASKS AND ROAD SEGMENT MATRIX'!W32-1,"-")</f>
        <v>-</v>
      </c>
      <c r="K16" s="23" t="str">
        <f aca="false">IF('TASKS AND ROAD SEGMENT MATRIX'!X32-1&gt;0,'TASKS AND ROAD SEGMENT MATRIX'!X32-1,"-")</f>
        <v>-</v>
      </c>
      <c r="L16" s="23" t="n">
        <f aca="false">IF('TASKS AND ROAD SEGMENT MATRIX'!Y32-1&gt;0,'TASKS AND ROAD SEGMENT MATRIX'!Y32-1,"-")</f>
        <v>0.262479193218041</v>
      </c>
      <c r="M16" s="23" t="n">
        <f aca="false">IF('TASKS AND ROAD SEGMENT MATRIX'!Z32-1&gt;0,'TASKS AND ROAD SEGMENT MATRIX'!Z32-1,"-")</f>
        <v>0.262479193218041</v>
      </c>
      <c r="N16" s="23" t="n">
        <f aca="false">IF('TASKS AND ROAD SEGMENT MATRIX'!AA32-1&gt;0,'TASKS AND ROAD SEGMENT MATRIX'!AA32-1,"-")</f>
        <v>0.524958386436081</v>
      </c>
      <c r="O16" s="23" t="str">
        <f aca="false">IF('TASKS AND ROAD SEGMENT MATRIX'!AB32-1&gt;0,'TASKS AND ROAD SEGMENT MATRIX'!AB32-1,"-")</f>
        <v>-</v>
      </c>
      <c r="P16" s="23" t="str">
        <f aca="false">IF('TASKS AND ROAD SEGMENT MATRIX'!AC32-1&gt;0,'TASKS AND ROAD SEGMENT MATRIX'!AC32-1,"-")</f>
        <v>-</v>
      </c>
      <c r="Q16" s="23" t="str">
        <f aca="false">IF('TASKS AND ROAD SEGMENT MATRIX'!AD32-1&gt;0,'TASKS AND ROAD SEGMENT MATRIX'!AD32-1,"-")</f>
        <v>-</v>
      </c>
    </row>
    <row r="17" customFormat="false" ht="13.8" hidden="false" customHeight="false" outlineLevel="0" collapsed="false">
      <c r="A17" s="9" t="s">
        <v>69</v>
      </c>
      <c r="B17" s="0" t="s">
        <v>142</v>
      </c>
      <c r="C17" s="23" t="str">
        <f aca="false">IF('TASKS AND ROAD SEGMENT MATRIX'!P33-1&gt;0,'TASKS AND ROAD SEGMENT MATRIX'!P33-1,"-")</f>
        <v>-</v>
      </c>
      <c r="D17" s="23" t="str">
        <f aca="false">IF('TASKS AND ROAD SEGMENT MATRIX'!Q33-1&gt;0,'TASKS AND ROAD SEGMENT MATRIX'!Q33-1,"-")</f>
        <v>-</v>
      </c>
      <c r="E17" s="23" t="str">
        <f aca="false">IF('TASKS AND ROAD SEGMENT MATRIX'!R33-1&gt;0,'TASKS AND ROAD SEGMENT MATRIX'!R33-1,"-")</f>
        <v>-</v>
      </c>
      <c r="F17" s="23" t="str">
        <f aca="false">IF('TASKS AND ROAD SEGMENT MATRIX'!S33-1&gt;0,'TASKS AND ROAD SEGMENT MATRIX'!S33-1,"-")</f>
        <v>-</v>
      </c>
      <c r="G17" s="23" t="str">
        <f aca="false">IF('TASKS AND ROAD SEGMENT MATRIX'!T33-1&gt;0,'TASKS AND ROAD SEGMENT MATRIX'!T33-1,"-")</f>
        <v>-</v>
      </c>
      <c r="H17" s="23" t="str">
        <f aca="false">IF('TASKS AND ROAD SEGMENT MATRIX'!U33-1&gt;0,'TASKS AND ROAD SEGMENT MATRIX'!U33-1,"-")</f>
        <v>-</v>
      </c>
      <c r="I17" s="23" t="str">
        <f aca="false">IF('TASKS AND ROAD SEGMENT MATRIX'!V33-1&gt;0,'TASKS AND ROAD SEGMENT MATRIX'!V33-1,"-")</f>
        <v>-</v>
      </c>
      <c r="J17" s="23" t="str">
        <f aca="false">IF('TASKS AND ROAD SEGMENT MATRIX'!W33-1&gt;0,'TASKS AND ROAD SEGMENT MATRIX'!W33-1,"-")</f>
        <v>-</v>
      </c>
      <c r="K17" s="23" t="str">
        <f aca="false">IF('TASKS AND ROAD SEGMENT MATRIX'!X33-1&gt;0,'TASKS AND ROAD SEGMENT MATRIX'!X33-1,"-")</f>
        <v>-</v>
      </c>
      <c r="L17" s="23" t="n">
        <f aca="false">IF('TASKS AND ROAD SEGMENT MATRIX'!Y33-1&gt;0,'TASKS AND ROAD SEGMENT MATRIX'!Y33-1,"-")</f>
        <v>0.314975031861649</v>
      </c>
      <c r="M17" s="23" t="n">
        <f aca="false">IF('TASKS AND ROAD SEGMENT MATRIX'!Z33-1&gt;0,'TASKS AND ROAD SEGMENT MATRIX'!Z33-1,"-")</f>
        <v>0.314975031861649</v>
      </c>
      <c r="N17" s="23" t="n">
        <f aca="false">IF('TASKS AND ROAD SEGMENT MATRIX'!AA33-1&gt;0,'TASKS AND ROAD SEGMENT MATRIX'!AA33-1,"-")</f>
        <v>0.629950063723298</v>
      </c>
      <c r="O17" s="23" t="str">
        <f aca="false">IF('TASKS AND ROAD SEGMENT MATRIX'!AB33-1&gt;0,'TASKS AND ROAD SEGMENT MATRIX'!AB33-1,"-")</f>
        <v>-</v>
      </c>
      <c r="P17" s="23" t="str">
        <f aca="false">IF('TASKS AND ROAD SEGMENT MATRIX'!AC33-1&gt;0,'TASKS AND ROAD SEGMENT MATRIX'!AC33-1,"-")</f>
        <v>-</v>
      </c>
      <c r="Q17" s="23" t="str">
        <f aca="false">IF('TASKS AND ROAD SEGMENT MATRIX'!AD33-1&gt;0,'TASKS AND ROAD SEGMENT MATRIX'!AD33-1,"-")</f>
        <v>-</v>
      </c>
    </row>
    <row r="147" customFormat="false" ht="13.8" hidden="false" customHeight="false" outlineLevel="0" collapsed="false">
      <c r="A147" s="1"/>
    </row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147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A1" activeCellId="0" sqref="A1"/>
    </sheetView>
  </sheetViews>
  <sheetFormatPr defaultRowHeight="13.8" zeroHeight="false" outlineLevelRow="0" outlineLevelCol="0"/>
  <cols>
    <col collapsed="false" customWidth="true" hidden="false" outlineLevel="0" max="1" min="1" style="0" width="13.76"/>
    <col collapsed="false" customWidth="true" hidden="false" outlineLevel="0" max="2" min="2" style="0" width="22.23"/>
    <col collapsed="false" customWidth="false" hidden="false" outlineLevel="0" max="17" min="3" style="23" width="11.52"/>
  </cols>
  <sheetData>
    <row r="1" customFormat="false" ht="13.8" hidden="false" customHeight="false" outlineLevel="0" collapsed="false">
      <c r="A1" s="0" t="s">
        <v>98</v>
      </c>
      <c r="B1" s="0" t="s">
        <v>100</v>
      </c>
      <c r="C1" s="24" t="s">
        <v>67</v>
      </c>
      <c r="D1" s="24" t="s">
        <v>68</v>
      </c>
      <c r="E1" s="24" t="s">
        <v>69</v>
      </c>
      <c r="F1" s="24" t="s">
        <v>70</v>
      </c>
      <c r="G1" s="24" t="s">
        <v>71</v>
      </c>
      <c r="H1" s="24" t="s">
        <v>72</v>
      </c>
      <c r="I1" s="24" t="s">
        <v>73</v>
      </c>
      <c r="J1" s="24" t="s">
        <v>74</v>
      </c>
      <c r="K1" s="24" t="s">
        <v>75</v>
      </c>
      <c r="L1" s="24" t="s">
        <v>76</v>
      </c>
      <c r="M1" s="24" t="s">
        <v>77</v>
      </c>
      <c r="N1" s="24" t="s">
        <v>78</v>
      </c>
      <c r="O1" s="24" t="s">
        <v>79</v>
      </c>
      <c r="P1" s="24" t="s">
        <v>80</v>
      </c>
      <c r="Q1" s="24" t="s">
        <v>81</v>
      </c>
    </row>
    <row r="2" customFormat="false" ht="13.8" hidden="false" customHeight="false" outlineLevel="0" collapsed="false">
      <c r="A2" s="11" t="s">
        <v>55</v>
      </c>
      <c r="B2" s="0" t="s">
        <v>139</v>
      </c>
      <c r="C2" s="23" t="str">
        <f aca="false">IF('TASKS AND ROAD SEGMENT MATRIX'!AE14-1&gt;0,'TASKS AND ROAD SEGMENT MATRIX'!AE14-1,"-")</f>
        <v>-</v>
      </c>
      <c r="D2" s="23" t="str">
        <f aca="false">IF('TASKS AND ROAD SEGMENT MATRIX'!AF14-1&gt;0,'TASKS AND ROAD SEGMENT MATRIX'!AF14-1,"-")</f>
        <v>-</v>
      </c>
      <c r="E2" s="23" t="str">
        <f aca="false">IF('TASKS AND ROAD SEGMENT MATRIX'!AG14-1&gt;0,'TASKS AND ROAD SEGMENT MATRIX'!AG14-1,"-")</f>
        <v>-</v>
      </c>
      <c r="F2" s="23" t="str">
        <f aca="false">IF('TASKS AND ROAD SEGMENT MATRIX'!AH14-1&gt;0,'TASKS AND ROAD SEGMENT MATRIX'!AH14-1,"-")</f>
        <v>-</v>
      </c>
      <c r="G2" s="23" t="str">
        <f aca="false">IF('TASKS AND ROAD SEGMENT MATRIX'!AI14-1&gt;0,'TASKS AND ROAD SEGMENT MATRIX'!AI14-1,"-")</f>
        <v>-</v>
      </c>
      <c r="H2" s="23" t="str">
        <f aca="false">IF('TASKS AND ROAD SEGMENT MATRIX'!AJ14-1&gt;0,'TASKS AND ROAD SEGMENT MATRIX'!AJ14-1,"-")</f>
        <v>-</v>
      </c>
      <c r="I2" s="23" t="str">
        <f aca="false">IF('TASKS AND ROAD SEGMENT MATRIX'!AK14-1&gt;0,'TASKS AND ROAD SEGMENT MATRIX'!AK14-1,"-")</f>
        <v>-</v>
      </c>
      <c r="J2" s="23" t="str">
        <f aca="false">IF('TASKS AND ROAD SEGMENT MATRIX'!AL14-1&gt;0,'TASKS AND ROAD SEGMENT MATRIX'!AL14-1,"-")</f>
        <v>-</v>
      </c>
      <c r="K2" s="23" t="str">
        <f aca="false">IF('TASKS AND ROAD SEGMENT MATRIX'!AM14-1&gt;0,'TASKS AND ROAD SEGMENT MATRIX'!AM14-1,"-")</f>
        <v>-</v>
      </c>
      <c r="L2" s="23" t="str">
        <f aca="false">IF('TASKS AND ROAD SEGMENT MATRIX'!AN14-1&gt;0,'TASKS AND ROAD SEGMENT MATRIX'!AN14-1,"-")</f>
        <v>-</v>
      </c>
      <c r="M2" s="23" t="str">
        <f aca="false">IF('TASKS AND ROAD SEGMENT MATRIX'!AO14-1&gt;0,'TASKS AND ROAD SEGMENT MATRIX'!AO14-1,"-")</f>
        <v>-</v>
      </c>
      <c r="N2" s="23" t="n">
        <f aca="false">IF('TASKS AND ROAD SEGMENT MATRIX'!AP14-1&gt;0,'TASKS AND ROAD SEGMENT MATRIX'!AP14-1,"-")</f>
        <v>0.301510209631625</v>
      </c>
      <c r="O2" s="23" t="str">
        <f aca="false">IF('TASKS AND ROAD SEGMENT MATRIX'!AQ14-1&gt;0,'TASKS AND ROAD SEGMENT MATRIX'!AQ14-1,"-")</f>
        <v>-</v>
      </c>
      <c r="P2" s="23" t="str">
        <f aca="false">IF('TASKS AND ROAD SEGMENT MATRIX'!AR14-1&gt;0,'TASKS AND ROAD SEGMENT MATRIX'!AR14-1,"-")</f>
        <v>-</v>
      </c>
      <c r="Q2" s="23" t="n">
        <f aca="false">IF('TASKS AND ROAD SEGMENT MATRIX'!AS14-1&gt;0,'TASKS AND ROAD SEGMENT MATRIX'!AS14-1,"-")</f>
        <v>0.301510209631625</v>
      </c>
    </row>
    <row r="3" customFormat="false" ht="13.8" hidden="false" customHeight="false" outlineLevel="0" collapsed="false">
      <c r="A3" s="11" t="s">
        <v>55</v>
      </c>
      <c r="B3" s="0" t="s">
        <v>140</v>
      </c>
      <c r="C3" s="23" t="str">
        <f aca="false">IF('TASKS AND ROAD SEGMENT MATRIX'!AE15-1&gt;0,'TASKS AND ROAD SEGMENT MATRIX'!AE15-1,"-")</f>
        <v>-</v>
      </c>
      <c r="D3" s="23" t="str">
        <f aca="false">IF('TASKS AND ROAD SEGMENT MATRIX'!AF15-1&gt;0,'TASKS AND ROAD SEGMENT MATRIX'!AF15-1,"-")</f>
        <v>-</v>
      </c>
      <c r="E3" s="23" t="str">
        <f aca="false">IF('TASKS AND ROAD SEGMENT MATRIX'!AG15-1&gt;0,'TASKS AND ROAD SEGMENT MATRIX'!AG15-1,"-")</f>
        <v>-</v>
      </c>
      <c r="F3" s="23" t="str">
        <f aca="false">IF('TASKS AND ROAD SEGMENT MATRIX'!AH15-1&gt;0,'TASKS AND ROAD SEGMENT MATRIX'!AH15-1,"-")</f>
        <v>-</v>
      </c>
      <c r="G3" s="23" t="str">
        <f aca="false">IF('TASKS AND ROAD SEGMENT MATRIX'!AI15-1&gt;0,'TASKS AND ROAD SEGMENT MATRIX'!AI15-1,"-")</f>
        <v>-</v>
      </c>
      <c r="H3" s="23" t="str">
        <f aca="false">IF('TASKS AND ROAD SEGMENT MATRIX'!AJ15-1&gt;0,'TASKS AND ROAD SEGMENT MATRIX'!AJ15-1,"-")</f>
        <v>-</v>
      </c>
      <c r="I3" s="23" t="str">
        <f aca="false">IF('TASKS AND ROAD SEGMENT MATRIX'!AK15-1&gt;0,'TASKS AND ROAD SEGMENT MATRIX'!AK15-1,"-")</f>
        <v>-</v>
      </c>
      <c r="J3" s="23" t="str">
        <f aca="false">IF('TASKS AND ROAD SEGMENT MATRIX'!AL15-1&gt;0,'TASKS AND ROAD SEGMENT MATRIX'!AL15-1,"-")</f>
        <v>-</v>
      </c>
      <c r="K3" s="23" t="str">
        <f aca="false">IF('TASKS AND ROAD SEGMENT MATRIX'!AM15-1&gt;0,'TASKS AND ROAD SEGMENT MATRIX'!AM15-1,"-")</f>
        <v>-</v>
      </c>
      <c r="L3" s="23" t="str">
        <f aca="false">IF('TASKS AND ROAD SEGMENT MATRIX'!AN15-1&gt;0,'TASKS AND ROAD SEGMENT MATRIX'!AN15-1,"-")</f>
        <v>-</v>
      </c>
      <c r="M3" s="23" t="str">
        <f aca="false">IF('TASKS AND ROAD SEGMENT MATRIX'!AO15-1&gt;0,'TASKS AND ROAD SEGMENT MATRIX'!AO15-1,"-")</f>
        <v>-</v>
      </c>
      <c r="N3" s="23" t="n">
        <f aca="false">IF('TASKS AND ROAD SEGMENT MATRIX'!AP15-1&gt;0,'TASKS AND ROAD SEGMENT MATRIX'!AP15-1,"-")</f>
        <v>0.452265314447438</v>
      </c>
      <c r="O3" s="23" t="str">
        <f aca="false">IF('TASKS AND ROAD SEGMENT MATRIX'!AQ15-1&gt;0,'TASKS AND ROAD SEGMENT MATRIX'!AQ15-1,"-")</f>
        <v>-</v>
      </c>
      <c r="P3" s="23" t="str">
        <f aca="false">IF('TASKS AND ROAD SEGMENT MATRIX'!AR15-1&gt;0,'TASKS AND ROAD SEGMENT MATRIX'!AR15-1,"-")</f>
        <v>-</v>
      </c>
      <c r="Q3" s="23" t="n">
        <f aca="false">IF('TASKS AND ROAD SEGMENT MATRIX'!AS15-1&gt;0,'TASKS AND ROAD SEGMENT MATRIX'!AS15-1,"-")</f>
        <v>0.452265314447438</v>
      </c>
    </row>
    <row r="4" customFormat="false" ht="13.8" hidden="false" customHeight="false" outlineLevel="0" collapsed="false">
      <c r="A4" s="11" t="s">
        <v>55</v>
      </c>
      <c r="B4" s="0" t="s">
        <v>141</v>
      </c>
      <c r="C4" s="23" t="str">
        <f aca="false">IF('TASKS AND ROAD SEGMENT MATRIX'!AE16-1&gt;0,'TASKS AND ROAD SEGMENT MATRIX'!AE16-1,"-")</f>
        <v>-</v>
      </c>
      <c r="D4" s="23" t="str">
        <f aca="false">IF('TASKS AND ROAD SEGMENT MATRIX'!AF16-1&gt;0,'TASKS AND ROAD SEGMENT MATRIX'!AF16-1,"-")</f>
        <v>-</v>
      </c>
      <c r="E4" s="23" t="str">
        <f aca="false">IF('TASKS AND ROAD SEGMENT MATRIX'!AG16-1&gt;0,'TASKS AND ROAD SEGMENT MATRIX'!AG16-1,"-")</f>
        <v>-</v>
      </c>
      <c r="F4" s="23" t="str">
        <f aca="false">IF('TASKS AND ROAD SEGMENT MATRIX'!AH16-1&gt;0,'TASKS AND ROAD SEGMENT MATRIX'!AH16-1,"-")</f>
        <v>-</v>
      </c>
      <c r="G4" s="23" t="str">
        <f aca="false">IF('TASKS AND ROAD SEGMENT MATRIX'!AI16-1&gt;0,'TASKS AND ROAD SEGMENT MATRIX'!AI16-1,"-")</f>
        <v>-</v>
      </c>
      <c r="H4" s="23" t="str">
        <f aca="false">IF('TASKS AND ROAD SEGMENT MATRIX'!AJ16-1&gt;0,'TASKS AND ROAD SEGMENT MATRIX'!AJ16-1,"-")</f>
        <v>-</v>
      </c>
      <c r="I4" s="23" t="str">
        <f aca="false">IF('TASKS AND ROAD SEGMENT MATRIX'!AK16-1&gt;0,'TASKS AND ROAD SEGMENT MATRIX'!AK16-1,"-")</f>
        <v>-</v>
      </c>
      <c r="J4" s="23" t="str">
        <f aca="false">IF('TASKS AND ROAD SEGMENT MATRIX'!AL16-1&gt;0,'TASKS AND ROAD SEGMENT MATRIX'!AL16-1,"-")</f>
        <v>-</v>
      </c>
      <c r="K4" s="23" t="str">
        <f aca="false">IF('TASKS AND ROAD SEGMENT MATRIX'!AM16-1&gt;0,'TASKS AND ROAD SEGMENT MATRIX'!AM16-1,"-")</f>
        <v>-</v>
      </c>
      <c r="L4" s="23" t="str">
        <f aca="false">IF('TASKS AND ROAD SEGMENT MATRIX'!AN16-1&gt;0,'TASKS AND ROAD SEGMENT MATRIX'!AN16-1,"-")</f>
        <v>-</v>
      </c>
      <c r="M4" s="23" t="str">
        <f aca="false">IF('TASKS AND ROAD SEGMENT MATRIX'!AO16-1&gt;0,'TASKS AND ROAD SEGMENT MATRIX'!AO16-1,"-")</f>
        <v>-</v>
      </c>
      <c r="N4" s="23" t="n">
        <f aca="false">IF('TASKS AND ROAD SEGMENT MATRIX'!AP16-1&gt;0,'TASKS AND ROAD SEGMENT MATRIX'!AP16-1,"-")</f>
        <v>0.376887762039531</v>
      </c>
      <c r="O4" s="23" t="str">
        <f aca="false">IF('TASKS AND ROAD SEGMENT MATRIX'!AQ16-1&gt;0,'TASKS AND ROAD SEGMENT MATRIX'!AQ16-1,"-")</f>
        <v>-</v>
      </c>
      <c r="P4" s="23" t="str">
        <f aca="false">IF('TASKS AND ROAD SEGMENT MATRIX'!AR16-1&gt;0,'TASKS AND ROAD SEGMENT MATRIX'!AR16-1,"-")</f>
        <v>-</v>
      </c>
      <c r="Q4" s="23" t="n">
        <f aca="false">IF('TASKS AND ROAD SEGMENT MATRIX'!AS16-1&gt;0,'TASKS AND ROAD SEGMENT MATRIX'!AS16-1,"-")</f>
        <v>0.376887762039531</v>
      </c>
    </row>
    <row r="5" customFormat="false" ht="13.8" hidden="false" customHeight="false" outlineLevel="0" collapsed="false">
      <c r="A5" s="11" t="s">
        <v>55</v>
      </c>
      <c r="B5" s="0" t="s">
        <v>142</v>
      </c>
      <c r="C5" s="23" t="str">
        <f aca="false">IF('TASKS AND ROAD SEGMENT MATRIX'!AE17-1&gt;0,'TASKS AND ROAD SEGMENT MATRIX'!AE17-1,"-")</f>
        <v>-</v>
      </c>
      <c r="D5" s="23" t="str">
        <f aca="false">IF('TASKS AND ROAD SEGMENT MATRIX'!AF17-1&gt;0,'TASKS AND ROAD SEGMENT MATRIX'!AF17-1,"-")</f>
        <v>-</v>
      </c>
      <c r="E5" s="23" t="str">
        <f aca="false">IF('TASKS AND ROAD SEGMENT MATRIX'!AG17-1&gt;0,'TASKS AND ROAD SEGMENT MATRIX'!AG17-1,"-")</f>
        <v>-</v>
      </c>
      <c r="F5" s="23" t="str">
        <f aca="false">IF('TASKS AND ROAD SEGMENT MATRIX'!AH17-1&gt;0,'TASKS AND ROAD SEGMENT MATRIX'!AH17-1,"-")</f>
        <v>-</v>
      </c>
      <c r="G5" s="23" t="str">
        <f aca="false">IF('TASKS AND ROAD SEGMENT MATRIX'!AI17-1&gt;0,'TASKS AND ROAD SEGMENT MATRIX'!AI17-1,"-")</f>
        <v>-</v>
      </c>
      <c r="H5" s="23" t="str">
        <f aca="false">IF('TASKS AND ROAD SEGMENT MATRIX'!AJ17-1&gt;0,'TASKS AND ROAD SEGMENT MATRIX'!AJ17-1,"-")</f>
        <v>-</v>
      </c>
      <c r="I5" s="23" t="str">
        <f aca="false">IF('TASKS AND ROAD SEGMENT MATRIX'!AK17-1&gt;0,'TASKS AND ROAD SEGMENT MATRIX'!AK17-1,"-")</f>
        <v>-</v>
      </c>
      <c r="J5" s="23" t="str">
        <f aca="false">IF('TASKS AND ROAD SEGMENT MATRIX'!AL17-1&gt;0,'TASKS AND ROAD SEGMENT MATRIX'!AL17-1,"-")</f>
        <v>-</v>
      </c>
      <c r="K5" s="23" t="str">
        <f aca="false">IF('TASKS AND ROAD SEGMENT MATRIX'!AM17-1&gt;0,'TASKS AND ROAD SEGMENT MATRIX'!AM17-1,"-")</f>
        <v>-</v>
      </c>
      <c r="L5" s="23" t="str">
        <f aca="false">IF('TASKS AND ROAD SEGMENT MATRIX'!AN17-1&gt;0,'TASKS AND ROAD SEGMENT MATRIX'!AN17-1,"-")</f>
        <v>-</v>
      </c>
      <c r="M5" s="23" t="str">
        <f aca="false">IF('TASKS AND ROAD SEGMENT MATRIX'!AO17-1&gt;0,'TASKS AND ROAD SEGMENT MATRIX'!AO17-1,"-")</f>
        <v>-</v>
      </c>
      <c r="N5" s="23" t="n">
        <f aca="false">IF('TASKS AND ROAD SEGMENT MATRIX'!AP17-1&gt;0,'TASKS AND ROAD SEGMENT MATRIX'!AP17-1,"-")</f>
        <v>0.452265314447438</v>
      </c>
      <c r="O5" s="23" t="str">
        <f aca="false">IF('TASKS AND ROAD SEGMENT MATRIX'!AQ17-1&gt;0,'TASKS AND ROAD SEGMENT MATRIX'!AQ17-1,"-")</f>
        <v>-</v>
      </c>
      <c r="P5" s="23" t="str">
        <f aca="false">IF('TASKS AND ROAD SEGMENT MATRIX'!AR17-1&gt;0,'TASKS AND ROAD SEGMENT MATRIX'!AR17-1,"-")</f>
        <v>-</v>
      </c>
      <c r="Q5" s="23" t="n">
        <f aca="false">IF('TASKS AND ROAD SEGMENT MATRIX'!AS17-1&gt;0,'TASKS AND ROAD SEGMENT MATRIX'!AS17-1,"-")</f>
        <v>0.452265314447438</v>
      </c>
    </row>
    <row r="6" customFormat="false" ht="13.8" hidden="false" customHeight="false" outlineLevel="0" collapsed="false">
      <c r="A6" s="19" t="s">
        <v>67</v>
      </c>
      <c r="B6" s="0" t="s">
        <v>139</v>
      </c>
      <c r="C6" s="23" t="str">
        <f aca="false">IF('TASKS AND ROAD SEGMENT MATRIX'!AE22-1&gt;0,'TASKS AND ROAD SEGMENT MATRIX'!AE22-1,"-")</f>
        <v>-</v>
      </c>
      <c r="D6" s="23" t="str">
        <f aca="false">IF('TASKS AND ROAD SEGMENT MATRIX'!AF22-1&gt;0,'TASKS AND ROAD SEGMENT MATRIX'!AF22-1,"-")</f>
        <v>-</v>
      </c>
      <c r="E6" s="23" t="n">
        <f aca="false">IF('TASKS AND ROAD SEGMENT MATRIX'!AG22-1&gt;0,'TASKS AND ROAD SEGMENT MATRIX'!AG22-1,"-")</f>
        <v>0.659947685805359</v>
      </c>
      <c r="F6" s="23" t="n">
        <f aca="false">IF('TASKS AND ROAD SEGMENT MATRIX'!AH22-1&gt;0,'TASKS AND ROAD SEGMENT MATRIX'!AH22-1,"-")</f>
        <v>0.32997384290268</v>
      </c>
      <c r="G6" s="23" t="n">
        <f aca="false">IF('TASKS AND ROAD SEGMENT MATRIX'!AI22-1&gt;0,'TASKS AND ROAD SEGMENT MATRIX'!AI22-1,"-")</f>
        <v>0.659947685805359</v>
      </c>
      <c r="H6" s="23" t="n">
        <f aca="false">IF('TASKS AND ROAD SEGMENT MATRIX'!AJ22-1&gt;0,'TASKS AND ROAD SEGMENT MATRIX'!AJ22-1,"-")</f>
        <v>0.659947685805359</v>
      </c>
      <c r="I6" s="23" t="n">
        <f aca="false">IF('TASKS AND ROAD SEGMENT MATRIX'!AK22-1&gt;0,'TASKS AND ROAD SEGMENT MATRIX'!AK22-1,"-")</f>
        <v>0.32997384290268</v>
      </c>
      <c r="J6" s="23" t="n">
        <f aca="false">IF('TASKS AND ROAD SEGMENT MATRIX'!AL22-1&gt;0,'TASKS AND ROAD SEGMENT MATRIX'!AL22-1,"-")</f>
        <v>0.32997384290268</v>
      </c>
      <c r="K6" s="23" t="n">
        <f aca="false">IF('TASKS AND ROAD SEGMENT MATRIX'!AM22-1&gt;0,'TASKS AND ROAD SEGMENT MATRIX'!AM22-1,"-")</f>
        <v>0.32997384290268</v>
      </c>
      <c r="L6" s="23" t="str">
        <f aca="false">IF('TASKS AND ROAD SEGMENT MATRIX'!AN22-1&gt;0,'TASKS AND ROAD SEGMENT MATRIX'!AN22-1,"-")</f>
        <v>-</v>
      </c>
      <c r="M6" s="23" t="str">
        <f aca="false">IF('TASKS AND ROAD SEGMENT MATRIX'!AO22-1&gt;0,'TASKS AND ROAD SEGMENT MATRIX'!AO22-1,"-")</f>
        <v>-</v>
      </c>
      <c r="N6" s="23" t="str">
        <f aca="false">IF('TASKS AND ROAD SEGMENT MATRIX'!AP22-1&gt;0,'TASKS AND ROAD SEGMENT MATRIX'!AP22-1,"-")</f>
        <v>-</v>
      </c>
      <c r="O6" s="23" t="str">
        <f aca="false">IF('TASKS AND ROAD SEGMENT MATRIX'!AQ22-1&gt;0,'TASKS AND ROAD SEGMENT MATRIX'!AQ22-1,"-")</f>
        <v>-</v>
      </c>
      <c r="P6" s="23" t="str">
        <f aca="false">IF('TASKS AND ROAD SEGMENT MATRIX'!AR22-1&gt;0,'TASKS AND ROAD SEGMENT MATRIX'!AR22-1,"-")</f>
        <v>-</v>
      </c>
      <c r="Q6" s="23" t="n">
        <f aca="false">IF('TASKS AND ROAD SEGMENT MATRIX'!AS22-1&gt;0,'TASKS AND ROAD SEGMENT MATRIX'!AS22-1,"-")</f>
        <v>0.32997384290268</v>
      </c>
    </row>
    <row r="7" customFormat="false" ht="13.8" hidden="false" customHeight="false" outlineLevel="0" collapsed="false">
      <c r="A7" s="19" t="s">
        <v>67</v>
      </c>
      <c r="B7" s="0" t="s">
        <v>140</v>
      </c>
      <c r="C7" s="23" t="str">
        <f aca="false">IF('TASKS AND ROAD SEGMENT MATRIX'!AE23-1&gt;0,'TASKS AND ROAD SEGMENT MATRIX'!AE23-1,"-")</f>
        <v>-</v>
      </c>
      <c r="D7" s="23" t="n">
        <f aca="false">IF('TASKS AND ROAD SEGMENT MATRIX'!AF23-1&gt;0,'TASKS AND ROAD SEGMENT MATRIX'!AF23-1,"-")</f>
        <v>0.989921528708039</v>
      </c>
      <c r="E7" s="23" t="n">
        <f aca="false">IF('TASKS AND ROAD SEGMENT MATRIX'!AG23-1&gt;0,'TASKS AND ROAD SEGMENT MATRIX'!AG23-1,"-")</f>
        <v>0.989921528708039</v>
      </c>
      <c r="F7" s="23" t="n">
        <f aca="false">IF('TASKS AND ROAD SEGMENT MATRIX'!AH23-1&gt;0,'TASKS AND ROAD SEGMENT MATRIX'!AH23-1,"-")</f>
        <v>0.49496076435402</v>
      </c>
      <c r="G7" s="23" t="n">
        <f aca="false">IF('TASKS AND ROAD SEGMENT MATRIX'!AI23-1&gt;0,'TASKS AND ROAD SEGMENT MATRIX'!AI23-1,"-")</f>
        <v>0.989921528708039</v>
      </c>
      <c r="H7" s="23" t="n">
        <f aca="false">IF('TASKS AND ROAD SEGMENT MATRIX'!AJ23-1&gt;0,'TASKS AND ROAD SEGMENT MATRIX'!AJ23-1,"-")</f>
        <v>0.989921528708039</v>
      </c>
      <c r="I7" s="23" t="n">
        <f aca="false">IF('TASKS AND ROAD SEGMENT MATRIX'!AK23-1&gt;0,'TASKS AND ROAD SEGMENT MATRIX'!AK23-1,"-")</f>
        <v>0.49496076435402</v>
      </c>
      <c r="J7" s="23" t="n">
        <f aca="false">IF('TASKS AND ROAD SEGMENT MATRIX'!AL23-1&gt;0,'TASKS AND ROAD SEGMENT MATRIX'!AL23-1,"-")</f>
        <v>0.49496076435402</v>
      </c>
      <c r="K7" s="23" t="n">
        <f aca="false">IF('TASKS AND ROAD SEGMENT MATRIX'!AM23-1&gt;0,'TASKS AND ROAD SEGMENT MATRIX'!AM23-1,"-")</f>
        <v>0.49496076435402</v>
      </c>
      <c r="L7" s="23" t="str">
        <f aca="false">IF('TASKS AND ROAD SEGMENT MATRIX'!AN23-1&gt;0,'TASKS AND ROAD SEGMENT MATRIX'!AN23-1,"-")</f>
        <v>-</v>
      </c>
      <c r="M7" s="23" t="str">
        <f aca="false">IF('TASKS AND ROAD SEGMENT MATRIX'!AO23-1&gt;0,'TASKS AND ROAD SEGMENT MATRIX'!AO23-1,"-")</f>
        <v>-</v>
      </c>
      <c r="N7" s="23" t="str">
        <f aca="false">IF('TASKS AND ROAD SEGMENT MATRIX'!AP23-1&gt;0,'TASKS AND ROAD SEGMENT MATRIX'!AP23-1,"-")</f>
        <v>-</v>
      </c>
      <c r="O7" s="23" t="str">
        <f aca="false">IF('TASKS AND ROAD SEGMENT MATRIX'!AQ23-1&gt;0,'TASKS AND ROAD SEGMENT MATRIX'!AQ23-1,"-")</f>
        <v>-</v>
      </c>
      <c r="P7" s="23" t="str">
        <f aca="false">IF('TASKS AND ROAD SEGMENT MATRIX'!AR23-1&gt;0,'TASKS AND ROAD SEGMENT MATRIX'!AR23-1,"-")</f>
        <v>-</v>
      </c>
      <c r="Q7" s="23" t="n">
        <f aca="false">IF('TASKS AND ROAD SEGMENT MATRIX'!AS23-1&gt;0,'TASKS AND ROAD SEGMENT MATRIX'!AS23-1,"-")</f>
        <v>0.49496076435402</v>
      </c>
    </row>
    <row r="8" customFormat="false" ht="13.8" hidden="false" customHeight="false" outlineLevel="0" collapsed="false">
      <c r="A8" s="19" t="s">
        <v>67</v>
      </c>
      <c r="B8" s="0" t="s">
        <v>141</v>
      </c>
      <c r="C8" s="23" t="str">
        <f aca="false">IF('TASKS AND ROAD SEGMENT MATRIX'!AE24-1&gt;0,'TASKS AND ROAD SEGMENT MATRIX'!AE24-1,"-")</f>
        <v>-</v>
      </c>
      <c r="D8" s="23" t="n">
        <f aca="false">IF('TASKS AND ROAD SEGMENT MATRIX'!AF24-1&gt;0,'TASKS AND ROAD SEGMENT MATRIX'!AF24-1,"-")</f>
        <v>0.41246730362835</v>
      </c>
      <c r="E8" s="23" t="n">
        <f aca="false">IF('TASKS AND ROAD SEGMENT MATRIX'!AG24-1&gt;0,'TASKS AND ROAD SEGMENT MATRIX'!AG24-1,"-")</f>
        <v>0.824934607256699</v>
      </c>
      <c r="F8" s="23" t="n">
        <f aca="false">IF('TASKS AND ROAD SEGMENT MATRIX'!AH24-1&gt;0,'TASKS AND ROAD SEGMENT MATRIX'!AH24-1,"-")</f>
        <v>0.41246730362835</v>
      </c>
      <c r="G8" s="23" t="n">
        <f aca="false">IF('TASKS AND ROAD SEGMENT MATRIX'!AI24-1&gt;0,'TASKS AND ROAD SEGMENT MATRIX'!AI24-1,"-")</f>
        <v>0.824934607256699</v>
      </c>
      <c r="H8" s="23" t="n">
        <f aca="false">IF('TASKS AND ROAD SEGMENT MATRIX'!AJ24-1&gt;0,'TASKS AND ROAD SEGMENT MATRIX'!AJ24-1,"-")</f>
        <v>0.824934607256699</v>
      </c>
      <c r="I8" s="23" t="n">
        <f aca="false">IF('TASKS AND ROAD SEGMENT MATRIX'!AK24-1&gt;0,'TASKS AND ROAD SEGMENT MATRIX'!AK24-1,"-")</f>
        <v>0.41246730362835</v>
      </c>
      <c r="J8" s="23" t="n">
        <f aca="false">IF('TASKS AND ROAD SEGMENT MATRIX'!AL24-1&gt;0,'TASKS AND ROAD SEGMENT MATRIX'!AL24-1,"-")</f>
        <v>0.41246730362835</v>
      </c>
      <c r="K8" s="23" t="n">
        <f aca="false">IF('TASKS AND ROAD SEGMENT MATRIX'!AM24-1&gt;0,'TASKS AND ROAD SEGMENT MATRIX'!AM24-1,"-")</f>
        <v>0.41246730362835</v>
      </c>
      <c r="L8" s="23" t="str">
        <f aca="false">IF('TASKS AND ROAD SEGMENT MATRIX'!AN24-1&gt;0,'TASKS AND ROAD SEGMENT MATRIX'!AN24-1,"-")</f>
        <v>-</v>
      </c>
      <c r="M8" s="23" t="str">
        <f aca="false">IF('TASKS AND ROAD SEGMENT MATRIX'!AO24-1&gt;0,'TASKS AND ROAD SEGMENT MATRIX'!AO24-1,"-")</f>
        <v>-</v>
      </c>
      <c r="N8" s="23" t="str">
        <f aca="false">IF('TASKS AND ROAD SEGMENT MATRIX'!AP24-1&gt;0,'TASKS AND ROAD SEGMENT MATRIX'!AP24-1,"-")</f>
        <v>-</v>
      </c>
      <c r="O8" s="23" t="str">
        <f aca="false">IF('TASKS AND ROAD SEGMENT MATRIX'!AQ24-1&gt;0,'TASKS AND ROAD SEGMENT MATRIX'!AQ24-1,"-")</f>
        <v>-</v>
      </c>
      <c r="P8" s="23" t="str">
        <f aca="false">IF('TASKS AND ROAD SEGMENT MATRIX'!AR24-1&gt;0,'TASKS AND ROAD SEGMENT MATRIX'!AR24-1,"-")</f>
        <v>-</v>
      </c>
      <c r="Q8" s="23" t="n">
        <f aca="false">IF('TASKS AND ROAD SEGMENT MATRIX'!AS24-1&gt;0,'TASKS AND ROAD SEGMENT MATRIX'!AS24-1,"-")</f>
        <v>0.41246730362835</v>
      </c>
    </row>
    <row r="9" customFormat="false" ht="13.8" hidden="false" customHeight="false" outlineLevel="0" collapsed="false">
      <c r="A9" s="19" t="s">
        <v>67</v>
      </c>
      <c r="B9" s="0" t="s">
        <v>142</v>
      </c>
      <c r="C9" s="23" t="str">
        <f aca="false">IF('TASKS AND ROAD SEGMENT MATRIX'!AE25-1&gt;0,'TASKS AND ROAD SEGMENT MATRIX'!AE25-1,"-")</f>
        <v>-</v>
      </c>
      <c r="D9" s="23" t="n">
        <f aca="false">IF('TASKS AND ROAD SEGMENT MATRIX'!AF25-1&gt;0,'TASKS AND ROAD SEGMENT MATRIX'!AF25-1,"-")</f>
        <v>0.989921528708039</v>
      </c>
      <c r="E9" s="23" t="n">
        <f aca="false">IF('TASKS AND ROAD SEGMENT MATRIX'!AG25-1&gt;0,'TASKS AND ROAD SEGMENT MATRIX'!AG25-1,"-")</f>
        <v>0.989921528708039</v>
      </c>
      <c r="F9" s="23" t="n">
        <f aca="false">IF('TASKS AND ROAD SEGMENT MATRIX'!AH25-1&gt;0,'TASKS AND ROAD SEGMENT MATRIX'!AH25-1,"-")</f>
        <v>0.49496076435402</v>
      </c>
      <c r="G9" s="23" t="n">
        <f aca="false">IF('TASKS AND ROAD SEGMENT MATRIX'!AI25-1&gt;0,'TASKS AND ROAD SEGMENT MATRIX'!AI25-1,"-")</f>
        <v>0.989921528708039</v>
      </c>
      <c r="H9" s="23" t="n">
        <f aca="false">IF('TASKS AND ROAD SEGMENT MATRIX'!AJ25-1&gt;0,'TASKS AND ROAD SEGMENT MATRIX'!AJ25-1,"-")</f>
        <v>0.989921528708039</v>
      </c>
      <c r="I9" s="23" t="n">
        <f aca="false">IF('TASKS AND ROAD SEGMENT MATRIX'!AK25-1&gt;0,'TASKS AND ROAD SEGMENT MATRIX'!AK25-1,"-")</f>
        <v>0.49496076435402</v>
      </c>
      <c r="J9" s="23" t="n">
        <f aca="false">IF('TASKS AND ROAD SEGMENT MATRIX'!AL25-1&gt;0,'TASKS AND ROAD SEGMENT MATRIX'!AL25-1,"-")</f>
        <v>0.49496076435402</v>
      </c>
      <c r="K9" s="23" t="n">
        <f aca="false">IF('TASKS AND ROAD SEGMENT MATRIX'!AM25-1&gt;0,'TASKS AND ROAD SEGMENT MATRIX'!AM25-1,"-")</f>
        <v>0.49496076435402</v>
      </c>
      <c r="L9" s="23" t="str">
        <f aca="false">IF('TASKS AND ROAD SEGMENT MATRIX'!AN25-1&gt;0,'TASKS AND ROAD SEGMENT MATRIX'!AN25-1,"-")</f>
        <v>-</v>
      </c>
      <c r="M9" s="23" t="str">
        <f aca="false">IF('TASKS AND ROAD SEGMENT MATRIX'!AO25-1&gt;0,'TASKS AND ROAD SEGMENT MATRIX'!AO25-1,"-")</f>
        <v>-</v>
      </c>
      <c r="N9" s="23" t="str">
        <f aca="false">IF('TASKS AND ROAD SEGMENT MATRIX'!AP25-1&gt;0,'TASKS AND ROAD SEGMENT MATRIX'!AP25-1,"-")</f>
        <v>-</v>
      </c>
      <c r="O9" s="23" t="str">
        <f aca="false">IF('TASKS AND ROAD SEGMENT MATRIX'!AQ25-1&gt;0,'TASKS AND ROAD SEGMENT MATRIX'!AQ25-1,"-")</f>
        <v>-</v>
      </c>
      <c r="P9" s="23" t="str">
        <f aca="false">IF('TASKS AND ROAD SEGMENT MATRIX'!AR25-1&gt;0,'TASKS AND ROAD SEGMENT MATRIX'!AR25-1,"-")</f>
        <v>-</v>
      </c>
      <c r="Q9" s="23" t="n">
        <f aca="false">IF('TASKS AND ROAD SEGMENT MATRIX'!AS25-1&gt;0,'TASKS AND ROAD SEGMENT MATRIX'!AS25-1,"-")</f>
        <v>0.49496076435402</v>
      </c>
    </row>
    <row r="10" customFormat="false" ht="13.8" hidden="false" customHeight="false" outlineLevel="0" collapsed="false">
      <c r="A10" s="0" t="s">
        <v>68</v>
      </c>
      <c r="B10" s="0" t="s">
        <v>139</v>
      </c>
      <c r="C10" s="23" t="str">
        <f aca="false">IF('TASKS AND ROAD SEGMENT MATRIX'!AE26-1&gt;0,'TASKS AND ROAD SEGMENT MATRIX'!AE26-1,"-")</f>
        <v>-</v>
      </c>
      <c r="D10" s="23" t="n">
        <f aca="false">IF('TASKS AND ROAD SEGMENT MATRIX'!AF26-1&gt;0,'TASKS AND ROAD SEGMENT MATRIX'!AF26-1,"-")</f>
        <v>0.628303815614886</v>
      </c>
      <c r="E10" s="23" t="str">
        <f aca="false">IF('TASKS AND ROAD SEGMENT MATRIX'!AG26-1&gt;0,'TASKS AND ROAD SEGMENT MATRIX'!AG26-1,"-")</f>
        <v>-</v>
      </c>
      <c r="F10" s="23" t="n">
        <f aca="false">IF('TASKS AND ROAD SEGMENT MATRIX'!AH26-1&gt;0,'TASKS AND ROAD SEGMENT MATRIX'!AH26-1,"-")</f>
        <v>0.628303815614886</v>
      </c>
      <c r="G10" s="23" t="n">
        <f aca="false">IF('TASKS AND ROAD SEGMENT MATRIX'!AI26-1&gt;0,'TASKS AND ROAD SEGMENT MATRIX'!AI26-1,"-")</f>
        <v>0.628303815614886</v>
      </c>
      <c r="H10" s="23" t="n">
        <f aca="false">IF('TASKS AND ROAD SEGMENT MATRIX'!AJ26-1&gt;0,'TASKS AND ROAD SEGMENT MATRIX'!AJ26-1,"-")</f>
        <v>0.628303815614886</v>
      </c>
      <c r="I10" s="23" t="n">
        <f aca="false">IF('TASKS AND ROAD SEGMENT MATRIX'!AK26-1&gt;0,'TASKS AND ROAD SEGMENT MATRIX'!AK26-1,"-")</f>
        <v>0.314151907807443</v>
      </c>
      <c r="J10" s="23" t="n">
        <f aca="false">IF('TASKS AND ROAD SEGMENT MATRIX'!AL26-1&gt;0,'TASKS AND ROAD SEGMENT MATRIX'!AL26-1,"-")</f>
        <v>0.628303815614886</v>
      </c>
      <c r="K10" s="23" t="n">
        <f aca="false">IF('TASKS AND ROAD SEGMENT MATRIX'!AM26-1&gt;0,'TASKS AND ROAD SEGMENT MATRIX'!AM26-1,"-")</f>
        <v>0.628303815614886</v>
      </c>
      <c r="L10" s="23" t="n">
        <f aca="false">IF('TASKS AND ROAD SEGMENT MATRIX'!AN26-1&gt;0,'TASKS AND ROAD SEGMENT MATRIX'!AN26-1,"-")</f>
        <v>0.314151907807443</v>
      </c>
      <c r="M10" s="23" t="n">
        <f aca="false">IF('TASKS AND ROAD SEGMENT MATRIX'!AO26-1&gt;0,'TASKS AND ROAD SEGMENT MATRIX'!AO26-1,"-")</f>
        <v>0.314151907807443</v>
      </c>
      <c r="N10" s="23" t="n">
        <f aca="false">IF('TASKS AND ROAD SEGMENT MATRIX'!AP26-1&gt;0,'TASKS AND ROAD SEGMENT MATRIX'!AP26-1,"-")</f>
        <v>0.314151907807443</v>
      </c>
      <c r="O10" s="23" t="str">
        <f aca="false">IF('TASKS AND ROAD SEGMENT MATRIX'!AQ26-1&gt;0,'TASKS AND ROAD SEGMENT MATRIX'!AQ26-1,"-")</f>
        <v>-</v>
      </c>
      <c r="P10" s="23" t="str">
        <f aca="false">IF('TASKS AND ROAD SEGMENT MATRIX'!AR26-1&gt;0,'TASKS AND ROAD SEGMENT MATRIX'!AR26-1,"-")</f>
        <v>-</v>
      </c>
      <c r="Q10" s="23" t="n">
        <f aca="false">IF('TASKS AND ROAD SEGMENT MATRIX'!AS26-1&gt;0,'TASKS AND ROAD SEGMENT MATRIX'!AS26-1,"-")</f>
        <v>0.314151907807443</v>
      </c>
    </row>
    <row r="11" customFormat="false" ht="13.8" hidden="false" customHeight="false" outlineLevel="0" collapsed="false">
      <c r="A11" s="0" t="s">
        <v>68</v>
      </c>
      <c r="B11" s="0" t="s">
        <v>140</v>
      </c>
      <c r="C11" s="23" t="str">
        <f aca="false">IF('TASKS AND ROAD SEGMENT MATRIX'!AE27-1&gt;0,'TASKS AND ROAD SEGMENT MATRIX'!AE27-1,"-")</f>
        <v>-</v>
      </c>
      <c r="D11" s="23" t="n">
        <f aca="false">IF('TASKS AND ROAD SEGMENT MATRIX'!AF27-1&gt;0,'TASKS AND ROAD SEGMENT MATRIX'!AF27-1,"-")</f>
        <v>0.942455723422329</v>
      </c>
      <c r="E11" s="23" t="n">
        <f aca="false">IF('TASKS AND ROAD SEGMENT MATRIX'!AG27-1&gt;0,'TASKS AND ROAD SEGMENT MATRIX'!AG27-1,"-")</f>
        <v>0.942455723422329</v>
      </c>
      <c r="F11" s="23" t="n">
        <f aca="false">IF('TASKS AND ROAD SEGMENT MATRIX'!AH27-1&gt;0,'TASKS AND ROAD SEGMENT MATRIX'!AH27-1,"-")</f>
        <v>0.942455723422329</v>
      </c>
      <c r="G11" s="23" t="n">
        <f aca="false">IF('TASKS AND ROAD SEGMENT MATRIX'!AI27-1&gt;0,'TASKS AND ROAD SEGMENT MATRIX'!AI27-1,"-")</f>
        <v>0.942455723422329</v>
      </c>
      <c r="H11" s="23" t="n">
        <f aca="false">IF('TASKS AND ROAD SEGMENT MATRIX'!AJ27-1&gt;0,'TASKS AND ROAD SEGMENT MATRIX'!AJ27-1,"-")</f>
        <v>0.942455723422329</v>
      </c>
      <c r="I11" s="23" t="n">
        <f aca="false">IF('TASKS AND ROAD SEGMENT MATRIX'!AK27-1&gt;0,'TASKS AND ROAD SEGMENT MATRIX'!AK27-1,"-")</f>
        <v>0.471227861711165</v>
      </c>
      <c r="J11" s="23" t="n">
        <f aca="false">IF('TASKS AND ROAD SEGMENT MATRIX'!AL27-1&gt;0,'TASKS AND ROAD SEGMENT MATRIX'!AL27-1,"-")</f>
        <v>0.942455723422329</v>
      </c>
      <c r="K11" s="23" t="n">
        <f aca="false">IF('TASKS AND ROAD SEGMENT MATRIX'!AM27-1&gt;0,'TASKS AND ROAD SEGMENT MATRIX'!AM27-1,"-")</f>
        <v>0.942455723422329</v>
      </c>
      <c r="L11" s="23" t="n">
        <f aca="false">IF('TASKS AND ROAD SEGMENT MATRIX'!AN27-1&gt;0,'TASKS AND ROAD SEGMENT MATRIX'!AN27-1,"-")</f>
        <v>0.471227861711165</v>
      </c>
      <c r="M11" s="23" t="n">
        <f aca="false">IF('TASKS AND ROAD SEGMENT MATRIX'!AO27-1&gt;0,'TASKS AND ROAD SEGMENT MATRIX'!AO27-1,"-")</f>
        <v>0.471227861711165</v>
      </c>
      <c r="N11" s="23" t="n">
        <f aca="false">IF('TASKS AND ROAD SEGMENT MATRIX'!AP27-1&gt;0,'TASKS AND ROAD SEGMENT MATRIX'!AP27-1,"-")</f>
        <v>0.471227861711165</v>
      </c>
      <c r="O11" s="23" t="str">
        <f aca="false">IF('TASKS AND ROAD SEGMENT MATRIX'!AQ27-1&gt;0,'TASKS AND ROAD SEGMENT MATRIX'!AQ27-1,"-")</f>
        <v>-</v>
      </c>
      <c r="P11" s="23" t="str">
        <f aca="false">IF('TASKS AND ROAD SEGMENT MATRIX'!AR27-1&gt;0,'TASKS AND ROAD SEGMENT MATRIX'!AR27-1,"-")</f>
        <v>-</v>
      </c>
      <c r="Q11" s="23" t="n">
        <f aca="false">IF('TASKS AND ROAD SEGMENT MATRIX'!AS27-1&gt;0,'TASKS AND ROAD SEGMENT MATRIX'!AS27-1,"-")</f>
        <v>0.471227861711165</v>
      </c>
    </row>
    <row r="12" customFormat="false" ht="13.8" hidden="false" customHeight="false" outlineLevel="0" collapsed="false">
      <c r="A12" s="0" t="s">
        <v>68</v>
      </c>
      <c r="B12" s="0" t="s">
        <v>141</v>
      </c>
      <c r="C12" s="23" t="str">
        <f aca="false">IF('TASKS AND ROAD SEGMENT MATRIX'!AE28-1&gt;0,'TASKS AND ROAD SEGMENT MATRIX'!AE28-1,"-")</f>
        <v>-</v>
      </c>
      <c r="D12" s="23" t="n">
        <f aca="false">IF('TASKS AND ROAD SEGMENT MATRIX'!AF28-1&gt;0,'TASKS AND ROAD SEGMENT MATRIX'!AF28-1,"-")</f>
        <v>0.785379769518607</v>
      </c>
      <c r="E12" s="23" t="n">
        <f aca="false">IF('TASKS AND ROAD SEGMENT MATRIX'!AG28-1&gt;0,'TASKS AND ROAD SEGMENT MATRIX'!AG28-1,"-")</f>
        <v>0.392689884759304</v>
      </c>
      <c r="F12" s="23" t="n">
        <f aca="false">IF('TASKS AND ROAD SEGMENT MATRIX'!AH28-1&gt;0,'TASKS AND ROAD SEGMENT MATRIX'!AH28-1,"-")</f>
        <v>0.785379769518607</v>
      </c>
      <c r="G12" s="23" t="n">
        <f aca="false">IF('TASKS AND ROAD SEGMENT MATRIX'!AI28-1&gt;0,'TASKS AND ROAD SEGMENT MATRIX'!AI28-1,"-")</f>
        <v>0.785379769518607</v>
      </c>
      <c r="H12" s="23" t="n">
        <f aca="false">IF('TASKS AND ROAD SEGMENT MATRIX'!AJ28-1&gt;0,'TASKS AND ROAD SEGMENT MATRIX'!AJ28-1,"-")</f>
        <v>0.785379769518607</v>
      </c>
      <c r="I12" s="23" t="n">
        <f aca="false">IF('TASKS AND ROAD SEGMENT MATRIX'!AK28-1&gt;0,'TASKS AND ROAD SEGMENT MATRIX'!AK28-1,"-")</f>
        <v>0.392689884759304</v>
      </c>
      <c r="J12" s="23" t="n">
        <f aca="false">IF('TASKS AND ROAD SEGMENT MATRIX'!AL28-1&gt;0,'TASKS AND ROAD SEGMENT MATRIX'!AL28-1,"-")</f>
        <v>0.785379769518607</v>
      </c>
      <c r="K12" s="23" t="n">
        <f aca="false">IF('TASKS AND ROAD SEGMENT MATRIX'!AM28-1&gt;0,'TASKS AND ROAD SEGMENT MATRIX'!AM28-1,"-")</f>
        <v>0.785379769518607</v>
      </c>
      <c r="L12" s="23" t="n">
        <f aca="false">IF('TASKS AND ROAD SEGMENT MATRIX'!AN28-1&gt;0,'TASKS AND ROAD SEGMENT MATRIX'!AN28-1,"-")</f>
        <v>0.392689884759304</v>
      </c>
      <c r="M12" s="23" t="n">
        <f aca="false">IF('TASKS AND ROAD SEGMENT MATRIX'!AO28-1&gt;0,'TASKS AND ROAD SEGMENT MATRIX'!AO28-1,"-")</f>
        <v>0.392689884759304</v>
      </c>
      <c r="N12" s="23" t="n">
        <f aca="false">IF('TASKS AND ROAD SEGMENT MATRIX'!AP28-1&gt;0,'TASKS AND ROAD SEGMENT MATRIX'!AP28-1,"-")</f>
        <v>0.392689884759304</v>
      </c>
      <c r="O12" s="23" t="str">
        <f aca="false">IF('TASKS AND ROAD SEGMENT MATRIX'!AQ28-1&gt;0,'TASKS AND ROAD SEGMENT MATRIX'!AQ28-1,"-")</f>
        <v>-</v>
      </c>
      <c r="P12" s="23" t="str">
        <f aca="false">IF('TASKS AND ROAD SEGMENT MATRIX'!AR28-1&gt;0,'TASKS AND ROAD SEGMENT MATRIX'!AR28-1,"-")</f>
        <v>-</v>
      </c>
      <c r="Q12" s="23" t="n">
        <f aca="false">IF('TASKS AND ROAD SEGMENT MATRIX'!AS28-1&gt;0,'TASKS AND ROAD SEGMENT MATRIX'!AS28-1,"-")</f>
        <v>0.392689884759304</v>
      </c>
    </row>
    <row r="13" customFormat="false" ht="13.8" hidden="false" customHeight="false" outlineLevel="0" collapsed="false">
      <c r="A13" s="0" t="s">
        <v>68</v>
      </c>
      <c r="B13" s="0" t="s">
        <v>142</v>
      </c>
      <c r="C13" s="23" t="str">
        <f aca="false">IF('TASKS AND ROAD SEGMENT MATRIX'!AE29-1&gt;0,'TASKS AND ROAD SEGMENT MATRIX'!AE29-1,"-")</f>
        <v>-</v>
      </c>
      <c r="D13" s="23" t="n">
        <f aca="false">IF('TASKS AND ROAD SEGMENT MATRIX'!AF29-1&gt;0,'TASKS AND ROAD SEGMENT MATRIX'!AF29-1,"-")</f>
        <v>0.942455723422329</v>
      </c>
      <c r="E13" s="23" t="n">
        <f aca="false">IF('TASKS AND ROAD SEGMENT MATRIX'!AG29-1&gt;0,'TASKS AND ROAD SEGMENT MATRIX'!AG29-1,"-")</f>
        <v>0.942455723422329</v>
      </c>
      <c r="F13" s="23" t="n">
        <f aca="false">IF('TASKS AND ROAD SEGMENT MATRIX'!AH29-1&gt;0,'TASKS AND ROAD SEGMENT MATRIX'!AH29-1,"-")</f>
        <v>0.942455723422329</v>
      </c>
      <c r="G13" s="23" t="n">
        <f aca="false">IF('TASKS AND ROAD SEGMENT MATRIX'!AI29-1&gt;0,'TASKS AND ROAD SEGMENT MATRIX'!AI29-1,"-")</f>
        <v>0.942455723422329</v>
      </c>
      <c r="H13" s="23" t="n">
        <f aca="false">IF('TASKS AND ROAD SEGMENT MATRIX'!AJ29-1&gt;0,'TASKS AND ROAD SEGMENT MATRIX'!AJ29-1,"-")</f>
        <v>0.942455723422329</v>
      </c>
      <c r="I13" s="23" t="n">
        <f aca="false">IF('TASKS AND ROAD SEGMENT MATRIX'!AK29-1&gt;0,'TASKS AND ROAD SEGMENT MATRIX'!AK29-1,"-")</f>
        <v>0.471227861711165</v>
      </c>
      <c r="J13" s="23" t="n">
        <f aca="false">IF('TASKS AND ROAD SEGMENT MATRIX'!AL29-1&gt;0,'TASKS AND ROAD SEGMENT MATRIX'!AL29-1,"-")</f>
        <v>0.942455723422329</v>
      </c>
      <c r="K13" s="23" t="n">
        <f aca="false">IF('TASKS AND ROAD SEGMENT MATRIX'!AM29-1&gt;0,'TASKS AND ROAD SEGMENT MATRIX'!AM29-1,"-")</f>
        <v>0.942455723422329</v>
      </c>
      <c r="L13" s="23" t="n">
        <f aca="false">IF('TASKS AND ROAD SEGMENT MATRIX'!AN29-1&gt;0,'TASKS AND ROAD SEGMENT MATRIX'!AN29-1,"-")</f>
        <v>0.471227861711165</v>
      </c>
      <c r="M13" s="23" t="n">
        <f aca="false">IF('TASKS AND ROAD SEGMENT MATRIX'!AO29-1&gt;0,'TASKS AND ROAD SEGMENT MATRIX'!AO29-1,"-")</f>
        <v>0.471227861711165</v>
      </c>
      <c r="N13" s="23" t="n">
        <f aca="false">IF('TASKS AND ROAD SEGMENT MATRIX'!AP29-1&gt;0,'TASKS AND ROAD SEGMENT MATRIX'!AP29-1,"-")</f>
        <v>0.471227861711165</v>
      </c>
      <c r="O13" s="23" t="str">
        <f aca="false">IF('TASKS AND ROAD SEGMENT MATRIX'!AQ29-1&gt;0,'TASKS AND ROAD SEGMENT MATRIX'!AQ29-1,"-")</f>
        <v>-</v>
      </c>
      <c r="P13" s="23" t="str">
        <f aca="false">IF('TASKS AND ROAD SEGMENT MATRIX'!AR29-1&gt;0,'TASKS AND ROAD SEGMENT MATRIX'!AR29-1,"-")</f>
        <v>-</v>
      </c>
      <c r="Q13" s="23" t="n">
        <f aca="false">IF('TASKS AND ROAD SEGMENT MATRIX'!AS29-1&gt;0,'TASKS AND ROAD SEGMENT MATRIX'!AS29-1,"-")</f>
        <v>0.471227861711165</v>
      </c>
    </row>
    <row r="14" customFormat="false" ht="13.8" hidden="false" customHeight="false" outlineLevel="0" collapsed="false">
      <c r="A14" s="9" t="s">
        <v>69</v>
      </c>
      <c r="B14" s="0" t="s">
        <v>139</v>
      </c>
      <c r="C14" s="23" t="str">
        <f aca="false">IF('TASKS AND ROAD SEGMENT MATRIX'!AE30-1&gt;0,'TASKS AND ROAD SEGMENT MATRIX'!AE30-1,"-")</f>
        <v>-</v>
      </c>
      <c r="D14" s="23" t="n">
        <f aca="false">IF('TASKS AND ROAD SEGMENT MATRIX'!AF30-1&gt;0,'TASKS AND ROAD SEGMENT MATRIX'!AF30-1,"-")</f>
        <v>0.209983354574433</v>
      </c>
      <c r="E14" s="23" t="n">
        <f aca="false">IF('TASKS AND ROAD SEGMENT MATRIX'!AG30-1&gt;0,'TASKS AND ROAD SEGMENT MATRIX'!AG30-1,"-")</f>
        <v>0.419966709148865</v>
      </c>
      <c r="F14" s="23" t="str">
        <f aca="false">IF('TASKS AND ROAD SEGMENT MATRIX'!AH30-1&gt;0,'TASKS AND ROAD SEGMENT MATRIX'!AH30-1,"-")</f>
        <v>-</v>
      </c>
      <c r="G14" s="23" t="n">
        <f aca="false">IF('TASKS AND ROAD SEGMENT MATRIX'!AI30-1&gt;0,'TASKS AND ROAD SEGMENT MATRIX'!AI30-1,"-")</f>
        <v>0.209983354574433</v>
      </c>
      <c r="H14" s="23" t="n">
        <f aca="false">IF('TASKS AND ROAD SEGMENT MATRIX'!AJ30-1&gt;0,'TASKS AND ROAD SEGMENT MATRIX'!AJ30-1,"-")</f>
        <v>0.209983354574433</v>
      </c>
      <c r="I14" s="23" t="str">
        <f aca="false">IF('TASKS AND ROAD SEGMENT MATRIX'!AK30-1&gt;0,'TASKS AND ROAD SEGMENT MATRIX'!AK30-1,"-")</f>
        <v>-</v>
      </c>
      <c r="J14" s="23" t="n">
        <f aca="false">IF('TASKS AND ROAD SEGMENT MATRIX'!AL30-1&gt;0,'TASKS AND ROAD SEGMENT MATRIX'!AL30-1,"-")</f>
        <v>0.419966709148865</v>
      </c>
      <c r="K14" s="23" t="n">
        <f aca="false">IF('TASKS AND ROAD SEGMENT MATRIX'!AM30-1&gt;0,'TASKS AND ROAD SEGMENT MATRIX'!AM30-1,"-")</f>
        <v>0.419966709148865</v>
      </c>
      <c r="L14" s="23" t="n">
        <f aca="false">IF('TASKS AND ROAD SEGMENT MATRIX'!AN30-1&gt;0,'TASKS AND ROAD SEGMENT MATRIX'!AN30-1,"-")</f>
        <v>0.209983354574433</v>
      </c>
      <c r="M14" s="23" t="n">
        <f aca="false">IF('TASKS AND ROAD SEGMENT MATRIX'!AO30-1&gt;0,'TASKS AND ROAD SEGMENT MATRIX'!AO30-1,"-")</f>
        <v>0.209983354574433</v>
      </c>
      <c r="N14" s="23" t="n">
        <f aca="false">IF('TASKS AND ROAD SEGMENT MATRIX'!AP30-1&gt;0,'TASKS AND ROAD SEGMENT MATRIX'!AP30-1,"-")</f>
        <v>0.209983354574433</v>
      </c>
      <c r="O14" s="23" t="str">
        <f aca="false">IF('TASKS AND ROAD SEGMENT MATRIX'!AQ30-1&gt;0,'TASKS AND ROAD SEGMENT MATRIX'!AQ30-1,"-")</f>
        <v>-</v>
      </c>
      <c r="P14" s="23" t="str">
        <f aca="false">IF('TASKS AND ROAD SEGMENT MATRIX'!AR30-1&gt;0,'TASKS AND ROAD SEGMENT MATRIX'!AR30-1,"-")</f>
        <v>-</v>
      </c>
      <c r="Q14" s="23" t="str">
        <f aca="false">IF('TASKS AND ROAD SEGMENT MATRIX'!AS30-1&gt;0,'TASKS AND ROAD SEGMENT MATRIX'!AS30-1,"-")</f>
        <v>-</v>
      </c>
    </row>
    <row r="15" customFormat="false" ht="13.8" hidden="false" customHeight="false" outlineLevel="0" collapsed="false">
      <c r="A15" s="9" t="s">
        <v>69</v>
      </c>
      <c r="B15" s="0" t="s">
        <v>140</v>
      </c>
      <c r="C15" s="23" t="str">
        <f aca="false">IF('TASKS AND ROAD SEGMENT MATRIX'!AE31-1&gt;0,'TASKS AND ROAD SEGMENT MATRIX'!AE31-1,"-")</f>
        <v>-</v>
      </c>
      <c r="D15" s="23" t="n">
        <f aca="false">IF('TASKS AND ROAD SEGMENT MATRIX'!AF31-1&gt;0,'TASKS AND ROAD SEGMENT MATRIX'!AF31-1,"-")</f>
        <v>0.314975031861649</v>
      </c>
      <c r="E15" s="23" t="n">
        <f aca="false">IF('TASKS AND ROAD SEGMENT MATRIX'!AG31-1&gt;0,'TASKS AND ROAD SEGMENT MATRIX'!AG31-1,"-")</f>
        <v>0.629950063723298</v>
      </c>
      <c r="F15" s="23" t="n">
        <f aca="false">IF('TASKS AND ROAD SEGMENT MATRIX'!AH31-1&gt;0,'TASKS AND ROAD SEGMENT MATRIX'!AH31-1,"-")</f>
        <v>0.629950063723298</v>
      </c>
      <c r="G15" s="23" t="n">
        <f aca="false">IF('TASKS AND ROAD SEGMENT MATRIX'!AI31-1&gt;0,'TASKS AND ROAD SEGMENT MATRIX'!AI31-1,"-")</f>
        <v>0.314975031861649</v>
      </c>
      <c r="H15" s="23" t="n">
        <f aca="false">IF('TASKS AND ROAD SEGMENT MATRIX'!AJ31-1&gt;0,'TASKS AND ROAD SEGMENT MATRIX'!AJ31-1,"-")</f>
        <v>0.314975031861649</v>
      </c>
      <c r="I15" s="23" t="str">
        <f aca="false">IF('TASKS AND ROAD SEGMENT MATRIX'!AK31-1&gt;0,'TASKS AND ROAD SEGMENT MATRIX'!AK31-1,"-")</f>
        <v>-</v>
      </c>
      <c r="J15" s="23" t="n">
        <f aca="false">IF('TASKS AND ROAD SEGMENT MATRIX'!AL31-1&gt;0,'TASKS AND ROAD SEGMENT MATRIX'!AL31-1,"-")</f>
        <v>0.629950063723298</v>
      </c>
      <c r="K15" s="23" t="n">
        <f aca="false">IF('TASKS AND ROAD SEGMENT MATRIX'!AM31-1&gt;0,'TASKS AND ROAD SEGMENT MATRIX'!AM31-1,"-")</f>
        <v>0.629950063723298</v>
      </c>
      <c r="L15" s="23" t="n">
        <f aca="false">IF('TASKS AND ROAD SEGMENT MATRIX'!AN31-1&gt;0,'TASKS AND ROAD SEGMENT MATRIX'!AN31-1,"-")</f>
        <v>0.314975031861649</v>
      </c>
      <c r="M15" s="23" t="n">
        <f aca="false">IF('TASKS AND ROAD SEGMENT MATRIX'!AO31-1&gt;0,'TASKS AND ROAD SEGMENT MATRIX'!AO31-1,"-")</f>
        <v>0.314975031861649</v>
      </c>
      <c r="N15" s="23" t="n">
        <f aca="false">IF('TASKS AND ROAD SEGMENT MATRIX'!AP31-1&gt;0,'TASKS AND ROAD SEGMENT MATRIX'!AP31-1,"-")</f>
        <v>0.314975031861649</v>
      </c>
      <c r="O15" s="23" t="str">
        <f aca="false">IF('TASKS AND ROAD SEGMENT MATRIX'!AQ31-1&gt;0,'TASKS AND ROAD SEGMENT MATRIX'!AQ31-1,"-")</f>
        <v>-</v>
      </c>
      <c r="P15" s="23" t="str">
        <f aca="false">IF('TASKS AND ROAD SEGMENT MATRIX'!AR31-1&gt;0,'TASKS AND ROAD SEGMENT MATRIX'!AR31-1,"-")</f>
        <v>-</v>
      </c>
      <c r="Q15" s="23" t="str">
        <f aca="false">IF('TASKS AND ROAD SEGMENT MATRIX'!AS31-1&gt;0,'TASKS AND ROAD SEGMENT MATRIX'!AS31-1,"-")</f>
        <v>-</v>
      </c>
    </row>
    <row r="16" customFormat="false" ht="13.8" hidden="false" customHeight="false" outlineLevel="0" collapsed="false">
      <c r="A16" s="9" t="s">
        <v>69</v>
      </c>
      <c r="B16" s="0" t="s">
        <v>141</v>
      </c>
      <c r="C16" s="23" t="str">
        <f aca="false">IF('TASKS AND ROAD SEGMENT MATRIX'!AE32-1&gt;0,'TASKS AND ROAD SEGMENT MATRIX'!AE32-1,"-")</f>
        <v>-</v>
      </c>
      <c r="D16" s="23" t="n">
        <f aca="false">IF('TASKS AND ROAD SEGMENT MATRIX'!AF32-1&gt;0,'TASKS AND ROAD SEGMENT MATRIX'!AF32-1,"-")</f>
        <v>0.262479193218041</v>
      </c>
      <c r="E16" s="23" t="n">
        <f aca="false">IF('TASKS AND ROAD SEGMENT MATRIX'!AG32-1&gt;0,'TASKS AND ROAD SEGMENT MATRIX'!AG32-1,"-")</f>
        <v>0.524958386436081</v>
      </c>
      <c r="F16" s="23" t="n">
        <f aca="false">IF('TASKS AND ROAD SEGMENT MATRIX'!AH32-1&gt;0,'TASKS AND ROAD SEGMENT MATRIX'!AH32-1,"-")</f>
        <v>0.262479193218041</v>
      </c>
      <c r="G16" s="23" t="n">
        <f aca="false">IF('TASKS AND ROAD SEGMENT MATRIX'!AI32-1&gt;0,'TASKS AND ROAD SEGMENT MATRIX'!AI32-1,"-")</f>
        <v>0.262479193218041</v>
      </c>
      <c r="H16" s="23" t="n">
        <f aca="false">IF('TASKS AND ROAD SEGMENT MATRIX'!AJ32-1&gt;0,'TASKS AND ROAD SEGMENT MATRIX'!AJ32-1,"-")</f>
        <v>0.262479193218041</v>
      </c>
      <c r="I16" s="23" t="str">
        <f aca="false">IF('TASKS AND ROAD SEGMENT MATRIX'!AK32-1&gt;0,'TASKS AND ROAD SEGMENT MATRIX'!AK32-1,"-")</f>
        <v>-</v>
      </c>
      <c r="J16" s="23" t="n">
        <f aca="false">IF('TASKS AND ROAD SEGMENT MATRIX'!AL32-1&gt;0,'TASKS AND ROAD SEGMENT MATRIX'!AL32-1,"-")</f>
        <v>0.524958386436081</v>
      </c>
      <c r="K16" s="23" t="n">
        <f aca="false">IF('TASKS AND ROAD SEGMENT MATRIX'!AM32-1&gt;0,'TASKS AND ROAD SEGMENT MATRIX'!AM32-1,"-")</f>
        <v>0.524958386436081</v>
      </c>
      <c r="L16" s="23" t="n">
        <f aca="false">IF('TASKS AND ROAD SEGMENT MATRIX'!AN32-1&gt;0,'TASKS AND ROAD SEGMENT MATRIX'!AN32-1,"-")</f>
        <v>0.262479193218041</v>
      </c>
      <c r="M16" s="23" t="n">
        <f aca="false">IF('TASKS AND ROAD SEGMENT MATRIX'!AO32-1&gt;0,'TASKS AND ROAD SEGMENT MATRIX'!AO32-1,"-")</f>
        <v>0.262479193218041</v>
      </c>
      <c r="N16" s="23" t="n">
        <f aca="false">IF('TASKS AND ROAD SEGMENT MATRIX'!AP32-1&gt;0,'TASKS AND ROAD SEGMENT MATRIX'!AP32-1,"-")</f>
        <v>0.262479193218041</v>
      </c>
      <c r="O16" s="23" t="str">
        <f aca="false">IF('TASKS AND ROAD SEGMENT MATRIX'!AQ32-1&gt;0,'TASKS AND ROAD SEGMENT MATRIX'!AQ32-1,"-")</f>
        <v>-</v>
      </c>
      <c r="P16" s="23" t="str">
        <f aca="false">IF('TASKS AND ROAD SEGMENT MATRIX'!AR32-1&gt;0,'TASKS AND ROAD SEGMENT MATRIX'!AR32-1,"-")</f>
        <v>-</v>
      </c>
      <c r="Q16" s="23" t="str">
        <f aca="false">IF('TASKS AND ROAD SEGMENT MATRIX'!AS32-1&gt;0,'TASKS AND ROAD SEGMENT MATRIX'!AS32-1,"-")</f>
        <v>-</v>
      </c>
    </row>
    <row r="17" customFormat="false" ht="13.8" hidden="false" customHeight="false" outlineLevel="0" collapsed="false">
      <c r="A17" s="9" t="s">
        <v>69</v>
      </c>
      <c r="B17" s="0" t="s">
        <v>142</v>
      </c>
      <c r="C17" s="23" t="str">
        <f aca="false">IF('TASKS AND ROAD SEGMENT MATRIX'!AE33-1&gt;0,'TASKS AND ROAD SEGMENT MATRIX'!AE33-1,"-")</f>
        <v>-</v>
      </c>
      <c r="D17" s="23" t="n">
        <f aca="false">IF('TASKS AND ROAD SEGMENT MATRIX'!AF33-1&gt;0,'TASKS AND ROAD SEGMENT MATRIX'!AF33-1,"-")</f>
        <v>0.314975031861649</v>
      </c>
      <c r="E17" s="23" t="n">
        <f aca="false">IF('TASKS AND ROAD SEGMENT MATRIX'!AG33-1&gt;0,'TASKS AND ROAD SEGMENT MATRIX'!AG33-1,"-")</f>
        <v>0.629950063723298</v>
      </c>
      <c r="F17" s="23" t="n">
        <f aca="false">IF('TASKS AND ROAD SEGMENT MATRIX'!AH33-1&gt;0,'TASKS AND ROAD SEGMENT MATRIX'!AH33-1,"-")</f>
        <v>0.629950063723298</v>
      </c>
      <c r="G17" s="23" t="n">
        <f aca="false">IF('TASKS AND ROAD SEGMENT MATRIX'!AI33-1&gt;0,'TASKS AND ROAD SEGMENT MATRIX'!AI33-1,"-")</f>
        <v>0.314975031861649</v>
      </c>
      <c r="H17" s="23" t="n">
        <f aca="false">IF('TASKS AND ROAD SEGMENT MATRIX'!AJ33-1&gt;0,'TASKS AND ROAD SEGMENT MATRIX'!AJ33-1,"-")</f>
        <v>0.314975031861649</v>
      </c>
      <c r="I17" s="23" t="str">
        <f aca="false">IF('TASKS AND ROAD SEGMENT MATRIX'!AK33-1&gt;0,'TASKS AND ROAD SEGMENT MATRIX'!AK33-1,"-")</f>
        <v>-</v>
      </c>
      <c r="J17" s="23" t="n">
        <f aca="false">IF('TASKS AND ROAD SEGMENT MATRIX'!AL33-1&gt;0,'TASKS AND ROAD SEGMENT MATRIX'!AL33-1,"-")</f>
        <v>0.629950063723298</v>
      </c>
      <c r="K17" s="23" t="n">
        <f aca="false">IF('TASKS AND ROAD SEGMENT MATRIX'!AM33-1&gt;0,'TASKS AND ROAD SEGMENT MATRIX'!AM33-1,"-")</f>
        <v>0.629950063723298</v>
      </c>
      <c r="L17" s="23" t="n">
        <f aca="false">IF('TASKS AND ROAD SEGMENT MATRIX'!AN33-1&gt;0,'TASKS AND ROAD SEGMENT MATRIX'!AN33-1,"-")</f>
        <v>0.314975031861649</v>
      </c>
      <c r="M17" s="23" t="n">
        <f aca="false">IF('TASKS AND ROAD SEGMENT MATRIX'!AO33-1&gt;0,'TASKS AND ROAD SEGMENT MATRIX'!AO33-1,"-")</f>
        <v>0.314975031861649</v>
      </c>
      <c r="N17" s="23" t="n">
        <f aca="false">IF('TASKS AND ROAD SEGMENT MATRIX'!AP33-1&gt;0,'TASKS AND ROAD SEGMENT MATRIX'!AP33-1,"-")</f>
        <v>0.314975031861649</v>
      </c>
      <c r="O17" s="23" t="str">
        <f aca="false">IF('TASKS AND ROAD SEGMENT MATRIX'!AQ33-1&gt;0,'TASKS AND ROAD SEGMENT MATRIX'!AQ33-1,"-")</f>
        <v>-</v>
      </c>
      <c r="P17" s="23" t="str">
        <f aca="false">IF('TASKS AND ROAD SEGMENT MATRIX'!AR33-1&gt;0,'TASKS AND ROAD SEGMENT MATRIX'!AR33-1,"-")</f>
        <v>-</v>
      </c>
      <c r="Q17" s="23" t="str">
        <f aca="false">IF('TASKS AND ROAD SEGMENT MATRIX'!AS33-1&gt;0,'TASKS AND ROAD SEGMENT MATRIX'!AS33-1,"-")</f>
        <v>-</v>
      </c>
    </row>
    <row r="147" customFormat="false" ht="13.8" hidden="false" customHeight="false" outlineLevel="0" collapsed="false">
      <c r="A147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147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A1" activeCellId="0" sqref="A1"/>
    </sheetView>
  </sheetViews>
  <sheetFormatPr defaultRowHeight="13.8" zeroHeight="false" outlineLevelRow="0" outlineLevelCol="0"/>
  <cols>
    <col collapsed="false" customWidth="true" hidden="false" outlineLevel="0" max="1" min="1" style="0" width="13.76"/>
    <col collapsed="false" customWidth="true" hidden="false" outlineLevel="0" max="2" min="2" style="0" width="22.23"/>
    <col collapsed="false" customWidth="false" hidden="false" outlineLevel="0" max="17" min="3" style="23" width="11.52"/>
  </cols>
  <sheetData>
    <row r="1" customFormat="false" ht="13.8" hidden="false" customHeight="false" outlineLevel="0" collapsed="false">
      <c r="A1" s="0" t="s">
        <v>98</v>
      </c>
      <c r="B1" s="0" t="s">
        <v>100</v>
      </c>
      <c r="C1" s="24" t="s">
        <v>82</v>
      </c>
      <c r="D1" s="24" t="s">
        <v>83</v>
      </c>
      <c r="E1" s="24" t="s">
        <v>84</v>
      </c>
      <c r="F1" s="24" t="s">
        <v>85</v>
      </c>
      <c r="G1" s="24" t="s">
        <v>86</v>
      </c>
      <c r="H1" s="24" t="s">
        <v>87</v>
      </c>
      <c r="I1" s="24" t="s">
        <v>88</v>
      </c>
      <c r="J1" s="24" t="s">
        <v>89</v>
      </c>
      <c r="K1" s="24" t="s">
        <v>90</v>
      </c>
      <c r="L1" s="24" t="s">
        <v>91</v>
      </c>
      <c r="M1" s="24" t="s">
        <v>92</v>
      </c>
      <c r="N1" s="24" t="s">
        <v>93</v>
      </c>
      <c r="O1" s="24" t="s">
        <v>94</v>
      </c>
      <c r="P1" s="24" t="s">
        <v>95</v>
      </c>
      <c r="Q1" s="24" t="s">
        <v>96</v>
      </c>
    </row>
    <row r="2" customFormat="false" ht="13.8" hidden="false" customHeight="false" outlineLevel="0" collapsed="false">
      <c r="A2" s="11" t="s">
        <v>55</v>
      </c>
      <c r="B2" s="0" t="s">
        <v>139</v>
      </c>
      <c r="C2" s="23" t="str">
        <f aca="false">IF('TASKS AND ROAD SEGMENT MATRIX'!AT14-1&gt;0,'TASKS AND ROAD SEGMENT MATRIX'!AT14-1,"-")</f>
        <v>-</v>
      </c>
      <c r="D2" s="23" t="str">
        <f aca="false">IF('TASKS AND ROAD SEGMENT MATRIX'!AU14-1&gt;0,'TASKS AND ROAD SEGMENT MATRIX'!AU14-1,"-")</f>
        <v>-</v>
      </c>
      <c r="E2" s="23" t="str">
        <f aca="false">IF('TASKS AND ROAD SEGMENT MATRIX'!AV14-1&gt;0,'TASKS AND ROAD SEGMENT MATRIX'!AV14-1,"-")</f>
        <v>-</v>
      </c>
      <c r="F2" s="23" t="str">
        <f aca="false">IF('TASKS AND ROAD SEGMENT MATRIX'!AW14-1&gt;0,'TASKS AND ROAD SEGMENT MATRIX'!AW14-1,"-")</f>
        <v>-</v>
      </c>
      <c r="G2" s="23" t="str">
        <f aca="false">IF('TASKS AND ROAD SEGMENT MATRIX'!AX14-1&gt;0,'TASKS AND ROAD SEGMENT MATRIX'!AX14-1,"-")</f>
        <v>-</v>
      </c>
      <c r="H2" s="23" t="str">
        <f aca="false">IF('TASKS AND ROAD SEGMENT MATRIX'!AY14-1&gt;0,'TASKS AND ROAD SEGMENT MATRIX'!AY14-1,"-")</f>
        <v>-</v>
      </c>
      <c r="I2" s="23" t="str">
        <f aca="false">IF('TASKS AND ROAD SEGMENT MATRIX'!AZ14-1&gt;0,'TASKS AND ROAD SEGMENT MATRIX'!AZ14-1,"-")</f>
        <v>-</v>
      </c>
      <c r="J2" s="23" t="str">
        <f aca="false">IF('TASKS AND ROAD SEGMENT MATRIX'!BA14-1&gt;0,'TASKS AND ROAD SEGMENT MATRIX'!BA14-1,"-")</f>
        <v>-</v>
      </c>
      <c r="K2" s="23" t="str">
        <f aca="false">IF('TASKS AND ROAD SEGMENT MATRIX'!BB14-1&gt;0,'TASKS AND ROAD SEGMENT MATRIX'!BB14-1,"-")</f>
        <v>-</v>
      </c>
      <c r="L2" s="23" t="str">
        <f aca="false">IF('TASKS AND ROAD SEGMENT MATRIX'!BC14-1&gt;0,'TASKS AND ROAD SEGMENT MATRIX'!BC14-1,"-")</f>
        <v>-</v>
      </c>
      <c r="M2" s="23" t="str">
        <f aca="false">IF('TASKS AND ROAD SEGMENT MATRIX'!BD14-1&gt;0,'TASKS AND ROAD SEGMENT MATRIX'!BD14-1,"-")</f>
        <v>-</v>
      </c>
      <c r="N2" s="23" t="n">
        <f aca="false">IF('TASKS AND ROAD SEGMENT MATRIX'!BE14-1&gt;0,'TASKS AND ROAD SEGMENT MATRIX'!BE14-1,"-")</f>
        <v>0.301510209631625</v>
      </c>
      <c r="O2" s="23" t="str">
        <f aca="false">IF('TASKS AND ROAD SEGMENT MATRIX'!BF14-1&gt;0,'TASKS AND ROAD SEGMENT MATRIX'!BF14-1,"-")</f>
        <v>-</v>
      </c>
      <c r="P2" s="23" t="n">
        <f aca="false">IF('TASKS AND ROAD SEGMENT MATRIX'!BG14-1&gt;0,'TASKS AND ROAD SEGMENT MATRIX'!BG14-1,"-")</f>
        <v>0.301510209631625</v>
      </c>
      <c r="Q2" s="23" t="n">
        <f aca="false">IF('TASKS AND ROAD SEGMENT MATRIX'!BH14-1&gt;0,'TASKS AND ROAD SEGMENT MATRIX'!BH14-1,"-")</f>
        <v>0.60302041926325</v>
      </c>
    </row>
    <row r="3" customFormat="false" ht="13.8" hidden="false" customHeight="false" outlineLevel="0" collapsed="false">
      <c r="A3" s="11" t="s">
        <v>55</v>
      </c>
      <c r="B3" s="0" t="s">
        <v>140</v>
      </c>
      <c r="C3" s="23" t="str">
        <f aca="false">IF('TASKS AND ROAD SEGMENT MATRIX'!AT15-1&gt;0,'TASKS AND ROAD SEGMENT MATRIX'!AT15-1,"-")</f>
        <v>-</v>
      </c>
      <c r="D3" s="23" t="str">
        <f aca="false">IF('TASKS AND ROAD SEGMENT MATRIX'!AU15-1&gt;0,'TASKS AND ROAD SEGMENT MATRIX'!AU15-1,"-")</f>
        <v>-</v>
      </c>
      <c r="E3" s="23" t="str">
        <f aca="false">IF('TASKS AND ROAD SEGMENT MATRIX'!AV15-1&gt;0,'TASKS AND ROAD SEGMENT MATRIX'!AV15-1,"-")</f>
        <v>-</v>
      </c>
      <c r="F3" s="23" t="str">
        <f aca="false">IF('TASKS AND ROAD SEGMENT MATRIX'!AW15-1&gt;0,'TASKS AND ROAD SEGMENT MATRIX'!AW15-1,"-")</f>
        <v>-</v>
      </c>
      <c r="G3" s="23" t="str">
        <f aca="false">IF('TASKS AND ROAD SEGMENT MATRIX'!AX15-1&gt;0,'TASKS AND ROAD SEGMENT MATRIX'!AX15-1,"-")</f>
        <v>-</v>
      </c>
      <c r="H3" s="23" t="str">
        <f aca="false">IF('TASKS AND ROAD SEGMENT MATRIX'!AY15-1&gt;0,'TASKS AND ROAD SEGMENT MATRIX'!AY15-1,"-")</f>
        <v>-</v>
      </c>
      <c r="I3" s="23" t="str">
        <f aca="false">IF('TASKS AND ROAD SEGMENT MATRIX'!AZ15-1&gt;0,'TASKS AND ROAD SEGMENT MATRIX'!AZ15-1,"-")</f>
        <v>-</v>
      </c>
      <c r="J3" s="23" t="str">
        <f aca="false">IF('TASKS AND ROAD SEGMENT MATRIX'!BA15-1&gt;0,'TASKS AND ROAD SEGMENT MATRIX'!BA15-1,"-")</f>
        <v>-</v>
      </c>
      <c r="K3" s="23" t="str">
        <f aca="false">IF('TASKS AND ROAD SEGMENT MATRIX'!BB15-1&gt;0,'TASKS AND ROAD SEGMENT MATRIX'!BB15-1,"-")</f>
        <v>-</v>
      </c>
      <c r="L3" s="23" t="str">
        <f aca="false">IF('TASKS AND ROAD SEGMENT MATRIX'!BC15-1&gt;0,'TASKS AND ROAD SEGMENT MATRIX'!BC15-1,"-")</f>
        <v>-</v>
      </c>
      <c r="M3" s="23" t="str">
        <f aca="false">IF('TASKS AND ROAD SEGMENT MATRIX'!BD15-1&gt;0,'TASKS AND ROAD SEGMENT MATRIX'!BD15-1,"-")</f>
        <v>-</v>
      </c>
      <c r="N3" s="23" t="n">
        <f aca="false">IF('TASKS AND ROAD SEGMENT MATRIX'!BE15-1&gt;0,'TASKS AND ROAD SEGMENT MATRIX'!BE15-1,"-")</f>
        <v>0.452265314447438</v>
      </c>
      <c r="O3" s="23" t="str">
        <f aca="false">IF('TASKS AND ROAD SEGMENT MATRIX'!BF15-1&gt;0,'TASKS AND ROAD SEGMENT MATRIX'!BF15-1,"-")</f>
        <v>-</v>
      </c>
      <c r="P3" s="23" t="n">
        <f aca="false">IF('TASKS AND ROAD SEGMENT MATRIX'!BG15-1&gt;0,'TASKS AND ROAD SEGMENT MATRIX'!BG15-1,"-")</f>
        <v>0.452265314447438</v>
      </c>
      <c r="Q3" s="23" t="n">
        <f aca="false">IF('TASKS AND ROAD SEGMENT MATRIX'!BH15-1&gt;0,'TASKS AND ROAD SEGMENT MATRIX'!BH15-1,"-")</f>
        <v>0.904530628894875</v>
      </c>
    </row>
    <row r="4" customFormat="false" ht="13.8" hidden="false" customHeight="false" outlineLevel="0" collapsed="false">
      <c r="A4" s="11" t="s">
        <v>55</v>
      </c>
      <c r="B4" s="0" t="s">
        <v>141</v>
      </c>
      <c r="C4" s="23" t="str">
        <f aca="false">IF('TASKS AND ROAD SEGMENT MATRIX'!AT16-1&gt;0,'TASKS AND ROAD SEGMENT MATRIX'!AT16-1,"-")</f>
        <v>-</v>
      </c>
      <c r="D4" s="23" t="str">
        <f aca="false">IF('TASKS AND ROAD SEGMENT MATRIX'!AU16-1&gt;0,'TASKS AND ROAD SEGMENT MATRIX'!AU16-1,"-")</f>
        <v>-</v>
      </c>
      <c r="E4" s="23" t="str">
        <f aca="false">IF('TASKS AND ROAD SEGMENT MATRIX'!AV16-1&gt;0,'TASKS AND ROAD SEGMENT MATRIX'!AV16-1,"-")</f>
        <v>-</v>
      </c>
      <c r="F4" s="23" t="str">
        <f aca="false">IF('TASKS AND ROAD SEGMENT MATRIX'!AW16-1&gt;0,'TASKS AND ROAD SEGMENT MATRIX'!AW16-1,"-")</f>
        <v>-</v>
      </c>
      <c r="G4" s="23" t="str">
        <f aca="false">IF('TASKS AND ROAD SEGMENT MATRIX'!AX16-1&gt;0,'TASKS AND ROAD SEGMENT MATRIX'!AX16-1,"-")</f>
        <v>-</v>
      </c>
      <c r="H4" s="23" t="str">
        <f aca="false">IF('TASKS AND ROAD SEGMENT MATRIX'!AY16-1&gt;0,'TASKS AND ROAD SEGMENT MATRIX'!AY16-1,"-")</f>
        <v>-</v>
      </c>
      <c r="I4" s="23" t="str">
        <f aca="false">IF('TASKS AND ROAD SEGMENT MATRIX'!AZ16-1&gt;0,'TASKS AND ROAD SEGMENT MATRIX'!AZ16-1,"-")</f>
        <v>-</v>
      </c>
      <c r="J4" s="23" t="str">
        <f aca="false">IF('TASKS AND ROAD SEGMENT MATRIX'!BA16-1&gt;0,'TASKS AND ROAD SEGMENT MATRIX'!BA16-1,"-")</f>
        <v>-</v>
      </c>
      <c r="K4" s="23" t="str">
        <f aca="false">IF('TASKS AND ROAD SEGMENT MATRIX'!BB16-1&gt;0,'TASKS AND ROAD SEGMENT MATRIX'!BB16-1,"-")</f>
        <v>-</v>
      </c>
      <c r="L4" s="23" t="str">
        <f aca="false">IF('TASKS AND ROAD SEGMENT MATRIX'!BC16-1&gt;0,'TASKS AND ROAD SEGMENT MATRIX'!BC16-1,"-")</f>
        <v>-</v>
      </c>
      <c r="M4" s="23" t="str">
        <f aca="false">IF('TASKS AND ROAD SEGMENT MATRIX'!BD16-1&gt;0,'TASKS AND ROAD SEGMENT MATRIX'!BD16-1,"-")</f>
        <v>-</v>
      </c>
      <c r="N4" s="23" t="n">
        <f aca="false">IF('TASKS AND ROAD SEGMENT MATRIX'!BE16-1&gt;0,'TASKS AND ROAD SEGMENT MATRIX'!BE16-1,"-")</f>
        <v>0.376887762039531</v>
      </c>
      <c r="O4" s="23" t="str">
        <f aca="false">IF('TASKS AND ROAD SEGMENT MATRIX'!BF16-1&gt;0,'TASKS AND ROAD SEGMENT MATRIX'!BF16-1,"-")</f>
        <v>-</v>
      </c>
      <c r="P4" s="23" t="n">
        <f aca="false">IF('TASKS AND ROAD SEGMENT MATRIX'!BG16-1&gt;0,'TASKS AND ROAD SEGMENT MATRIX'!BG16-1,"-")</f>
        <v>0.376887762039531</v>
      </c>
      <c r="Q4" s="23" t="n">
        <f aca="false">IF('TASKS AND ROAD SEGMENT MATRIX'!BH16-1&gt;0,'TASKS AND ROAD SEGMENT MATRIX'!BH16-1,"-")</f>
        <v>0.753775524079062</v>
      </c>
    </row>
    <row r="5" customFormat="false" ht="13.8" hidden="false" customHeight="false" outlineLevel="0" collapsed="false">
      <c r="A5" s="11" t="s">
        <v>55</v>
      </c>
      <c r="B5" s="0" t="s">
        <v>142</v>
      </c>
      <c r="C5" s="23" t="str">
        <f aca="false">IF('TASKS AND ROAD SEGMENT MATRIX'!AT17-1&gt;0,'TASKS AND ROAD SEGMENT MATRIX'!AT17-1,"-")</f>
        <v>-</v>
      </c>
      <c r="D5" s="23" t="str">
        <f aca="false">IF('TASKS AND ROAD SEGMENT MATRIX'!AU17-1&gt;0,'TASKS AND ROAD SEGMENT MATRIX'!AU17-1,"-")</f>
        <v>-</v>
      </c>
      <c r="E5" s="23" t="str">
        <f aca="false">IF('TASKS AND ROAD SEGMENT MATRIX'!AV17-1&gt;0,'TASKS AND ROAD SEGMENT MATRIX'!AV17-1,"-")</f>
        <v>-</v>
      </c>
      <c r="F5" s="23" t="str">
        <f aca="false">IF('TASKS AND ROAD SEGMENT MATRIX'!AW17-1&gt;0,'TASKS AND ROAD SEGMENT MATRIX'!AW17-1,"-")</f>
        <v>-</v>
      </c>
      <c r="G5" s="23" t="str">
        <f aca="false">IF('TASKS AND ROAD SEGMENT MATRIX'!AX17-1&gt;0,'TASKS AND ROAD SEGMENT MATRIX'!AX17-1,"-")</f>
        <v>-</v>
      </c>
      <c r="H5" s="23" t="str">
        <f aca="false">IF('TASKS AND ROAD SEGMENT MATRIX'!AY17-1&gt;0,'TASKS AND ROAD SEGMENT MATRIX'!AY17-1,"-")</f>
        <v>-</v>
      </c>
      <c r="I5" s="23" t="str">
        <f aca="false">IF('TASKS AND ROAD SEGMENT MATRIX'!AZ17-1&gt;0,'TASKS AND ROAD SEGMENT MATRIX'!AZ17-1,"-")</f>
        <v>-</v>
      </c>
      <c r="J5" s="23" t="str">
        <f aca="false">IF('TASKS AND ROAD SEGMENT MATRIX'!BA17-1&gt;0,'TASKS AND ROAD SEGMENT MATRIX'!BA17-1,"-")</f>
        <v>-</v>
      </c>
      <c r="K5" s="23" t="str">
        <f aca="false">IF('TASKS AND ROAD SEGMENT MATRIX'!BB17-1&gt;0,'TASKS AND ROAD SEGMENT MATRIX'!BB17-1,"-")</f>
        <v>-</v>
      </c>
      <c r="L5" s="23" t="str">
        <f aca="false">IF('TASKS AND ROAD SEGMENT MATRIX'!BC17-1&gt;0,'TASKS AND ROAD SEGMENT MATRIX'!BC17-1,"-")</f>
        <v>-</v>
      </c>
      <c r="M5" s="23" t="str">
        <f aca="false">IF('TASKS AND ROAD SEGMENT MATRIX'!BD17-1&gt;0,'TASKS AND ROAD SEGMENT MATRIX'!BD17-1,"-")</f>
        <v>-</v>
      </c>
      <c r="N5" s="23" t="n">
        <f aca="false">IF('TASKS AND ROAD SEGMENT MATRIX'!BE17-1&gt;0,'TASKS AND ROAD SEGMENT MATRIX'!BE17-1,"-")</f>
        <v>0.452265314447438</v>
      </c>
      <c r="O5" s="23" t="str">
        <f aca="false">IF('TASKS AND ROAD SEGMENT MATRIX'!BF17-1&gt;0,'TASKS AND ROAD SEGMENT MATRIX'!BF17-1,"-")</f>
        <v>-</v>
      </c>
      <c r="P5" s="23" t="n">
        <f aca="false">IF('TASKS AND ROAD SEGMENT MATRIX'!BG17-1&gt;0,'TASKS AND ROAD SEGMENT MATRIX'!BG17-1,"-")</f>
        <v>0.452265314447438</v>
      </c>
      <c r="Q5" s="23" t="n">
        <f aca="false">IF('TASKS AND ROAD SEGMENT MATRIX'!BH17-1&gt;0,'TASKS AND ROAD SEGMENT MATRIX'!BH17-1,"-")</f>
        <v>0.904530628894875</v>
      </c>
    </row>
    <row r="6" customFormat="false" ht="13.8" hidden="false" customHeight="false" outlineLevel="0" collapsed="false">
      <c r="A6" s="19" t="s">
        <v>67</v>
      </c>
      <c r="B6" s="0" t="s">
        <v>139</v>
      </c>
      <c r="C6" s="23" t="n">
        <f aca="false">IF('TASKS AND ROAD SEGMENT MATRIX'!AT22-1&gt;0,'TASKS AND ROAD SEGMENT MATRIX'!AT22-1,"-")</f>
        <v>0.32997384290268</v>
      </c>
      <c r="D6" s="23" t="n">
        <f aca="false">IF('TASKS AND ROAD SEGMENT MATRIX'!AU22-1&gt;0,'TASKS AND ROAD SEGMENT MATRIX'!AU22-1,"-")</f>
        <v>0.32997384290268</v>
      </c>
      <c r="E6" s="23" t="str">
        <f aca="false">IF('TASKS AND ROAD SEGMENT MATRIX'!AV22-1&gt;0,'TASKS AND ROAD SEGMENT MATRIX'!AV22-1,"-")</f>
        <v>-</v>
      </c>
      <c r="F6" s="23" t="str">
        <f aca="false">IF('TASKS AND ROAD SEGMENT MATRIX'!AW22-1&gt;0,'TASKS AND ROAD SEGMENT MATRIX'!AW22-1,"-")</f>
        <v>-</v>
      </c>
      <c r="G6" s="23" t="str">
        <f aca="false">IF('TASKS AND ROAD SEGMENT MATRIX'!AX22-1&gt;0,'TASKS AND ROAD SEGMENT MATRIX'!AX22-1,"-")</f>
        <v>-</v>
      </c>
      <c r="H6" s="23" t="str">
        <f aca="false">IF('TASKS AND ROAD SEGMENT MATRIX'!AY22-1&gt;0,'TASKS AND ROAD SEGMENT MATRIX'!AY22-1,"-")</f>
        <v>-</v>
      </c>
      <c r="I6" s="23" t="str">
        <f aca="false">IF('TASKS AND ROAD SEGMENT MATRIX'!AZ22-1&gt;0,'TASKS AND ROAD SEGMENT MATRIX'!AZ22-1,"-")</f>
        <v>-</v>
      </c>
      <c r="J6" s="23" t="str">
        <f aca="false">IF('TASKS AND ROAD SEGMENT MATRIX'!BA22-1&gt;0,'TASKS AND ROAD SEGMENT MATRIX'!BA22-1,"-")</f>
        <v>-</v>
      </c>
      <c r="K6" s="23" t="str">
        <f aca="false">IF('TASKS AND ROAD SEGMENT MATRIX'!BB22-1&gt;0,'TASKS AND ROAD SEGMENT MATRIX'!BB22-1,"-")</f>
        <v>-</v>
      </c>
      <c r="L6" s="23" t="str">
        <f aca="false">IF('TASKS AND ROAD SEGMENT MATRIX'!BC22-1&gt;0,'TASKS AND ROAD SEGMENT MATRIX'!BC22-1,"-")</f>
        <v>-</v>
      </c>
      <c r="M6" s="23" t="n">
        <f aca="false">IF('TASKS AND ROAD SEGMENT MATRIX'!BD22-1&gt;0,'TASKS AND ROAD SEGMENT MATRIX'!BD22-1,"-")</f>
        <v>0.32997384290268</v>
      </c>
      <c r="N6" s="23" t="n">
        <f aca="false">IF('TASKS AND ROAD SEGMENT MATRIX'!BE22-1&gt;0,'TASKS AND ROAD SEGMENT MATRIX'!BE22-1,"-")</f>
        <v>0.32997384290268</v>
      </c>
      <c r="O6" s="23" t="n">
        <f aca="false">IF('TASKS AND ROAD SEGMENT MATRIX'!BF22-1&gt;0,'TASKS AND ROAD SEGMENT MATRIX'!BF22-1,"-")</f>
        <v>0.32997384290268</v>
      </c>
      <c r="P6" s="23" t="str">
        <f aca="false">IF('TASKS AND ROAD SEGMENT MATRIX'!BG22-1&gt;0,'TASKS AND ROAD SEGMENT MATRIX'!BG22-1,"-")</f>
        <v>-</v>
      </c>
      <c r="Q6" s="23" t="str">
        <f aca="false">IF('TASKS AND ROAD SEGMENT MATRIX'!BH22-1&gt;0,'TASKS AND ROAD SEGMENT MATRIX'!BH22-1,"-")</f>
        <v>-</v>
      </c>
    </row>
    <row r="7" customFormat="false" ht="13.8" hidden="false" customHeight="false" outlineLevel="0" collapsed="false">
      <c r="A7" s="19" t="s">
        <v>67</v>
      </c>
      <c r="B7" s="0" t="s">
        <v>140</v>
      </c>
      <c r="C7" s="23" t="n">
        <f aca="false">IF('TASKS AND ROAD SEGMENT MATRIX'!AT23-1&gt;0,'TASKS AND ROAD SEGMENT MATRIX'!AT23-1,"-")</f>
        <v>0.49496076435402</v>
      </c>
      <c r="D7" s="23" t="n">
        <f aca="false">IF('TASKS AND ROAD SEGMENT MATRIX'!AU23-1&gt;0,'TASKS AND ROAD SEGMENT MATRIX'!AU23-1,"-")</f>
        <v>0.49496076435402</v>
      </c>
      <c r="E7" s="23" t="str">
        <f aca="false">IF('TASKS AND ROAD SEGMENT MATRIX'!AV23-1&gt;0,'TASKS AND ROAD SEGMENT MATRIX'!AV23-1,"-")</f>
        <v>-</v>
      </c>
      <c r="F7" s="23" t="str">
        <f aca="false">IF('TASKS AND ROAD SEGMENT MATRIX'!AW23-1&gt;0,'TASKS AND ROAD SEGMENT MATRIX'!AW23-1,"-")</f>
        <v>-</v>
      </c>
      <c r="G7" s="23" t="str">
        <f aca="false">IF('TASKS AND ROAD SEGMENT MATRIX'!AX23-1&gt;0,'TASKS AND ROAD SEGMENT MATRIX'!AX23-1,"-")</f>
        <v>-</v>
      </c>
      <c r="H7" s="23" t="str">
        <f aca="false">IF('TASKS AND ROAD SEGMENT MATRIX'!AY23-1&gt;0,'TASKS AND ROAD SEGMENT MATRIX'!AY23-1,"-")</f>
        <v>-</v>
      </c>
      <c r="I7" s="23" t="str">
        <f aca="false">IF('TASKS AND ROAD SEGMENT MATRIX'!AZ23-1&gt;0,'TASKS AND ROAD SEGMENT MATRIX'!AZ23-1,"-")</f>
        <v>-</v>
      </c>
      <c r="J7" s="23" t="str">
        <f aca="false">IF('TASKS AND ROAD SEGMENT MATRIX'!BA23-1&gt;0,'TASKS AND ROAD SEGMENT MATRIX'!BA23-1,"-")</f>
        <v>-</v>
      </c>
      <c r="K7" s="23" t="str">
        <f aca="false">IF('TASKS AND ROAD SEGMENT MATRIX'!BB23-1&gt;0,'TASKS AND ROAD SEGMENT MATRIX'!BB23-1,"-")</f>
        <v>-</v>
      </c>
      <c r="L7" s="23" t="str">
        <f aca="false">IF('TASKS AND ROAD SEGMENT MATRIX'!BC23-1&gt;0,'TASKS AND ROAD SEGMENT MATRIX'!BC23-1,"-")</f>
        <v>-</v>
      </c>
      <c r="M7" s="23" t="n">
        <f aca="false">IF('TASKS AND ROAD SEGMENT MATRIX'!BD23-1&gt;0,'TASKS AND ROAD SEGMENT MATRIX'!BD23-1,"-")</f>
        <v>0.49496076435402</v>
      </c>
      <c r="N7" s="23" t="n">
        <f aca="false">IF('TASKS AND ROAD SEGMENT MATRIX'!BE23-1&gt;0,'TASKS AND ROAD SEGMENT MATRIX'!BE23-1,"-")</f>
        <v>0.49496076435402</v>
      </c>
      <c r="O7" s="23" t="n">
        <f aca="false">IF('TASKS AND ROAD SEGMENT MATRIX'!BF23-1&gt;0,'TASKS AND ROAD SEGMENT MATRIX'!BF23-1,"-")</f>
        <v>0.49496076435402</v>
      </c>
      <c r="P7" s="23" t="str">
        <f aca="false">IF('TASKS AND ROAD SEGMENT MATRIX'!BG23-1&gt;0,'TASKS AND ROAD SEGMENT MATRIX'!BG23-1,"-")</f>
        <v>-</v>
      </c>
      <c r="Q7" s="23" t="str">
        <f aca="false">IF('TASKS AND ROAD SEGMENT MATRIX'!BH23-1&gt;0,'TASKS AND ROAD SEGMENT MATRIX'!BH23-1,"-")</f>
        <v>-</v>
      </c>
    </row>
    <row r="8" customFormat="false" ht="13.8" hidden="false" customHeight="false" outlineLevel="0" collapsed="false">
      <c r="A8" s="19" t="s">
        <v>67</v>
      </c>
      <c r="B8" s="0" t="s">
        <v>141</v>
      </c>
      <c r="C8" s="23" t="n">
        <f aca="false">IF('TASKS AND ROAD SEGMENT MATRIX'!AT24-1&gt;0,'TASKS AND ROAD SEGMENT MATRIX'!AT24-1,"-")</f>
        <v>0.41246730362835</v>
      </c>
      <c r="D8" s="23" t="n">
        <f aca="false">IF('TASKS AND ROAD SEGMENT MATRIX'!AU24-1&gt;0,'TASKS AND ROAD SEGMENT MATRIX'!AU24-1,"-")</f>
        <v>0.41246730362835</v>
      </c>
      <c r="E8" s="23" t="str">
        <f aca="false">IF('TASKS AND ROAD SEGMENT MATRIX'!AV24-1&gt;0,'TASKS AND ROAD SEGMENT MATRIX'!AV24-1,"-")</f>
        <v>-</v>
      </c>
      <c r="F8" s="23" t="str">
        <f aca="false">IF('TASKS AND ROAD SEGMENT MATRIX'!AW24-1&gt;0,'TASKS AND ROAD SEGMENT MATRIX'!AW24-1,"-")</f>
        <v>-</v>
      </c>
      <c r="G8" s="23" t="str">
        <f aca="false">IF('TASKS AND ROAD SEGMENT MATRIX'!AX24-1&gt;0,'TASKS AND ROAD SEGMENT MATRIX'!AX24-1,"-")</f>
        <v>-</v>
      </c>
      <c r="H8" s="23" t="str">
        <f aca="false">IF('TASKS AND ROAD SEGMENT MATRIX'!AY24-1&gt;0,'TASKS AND ROAD SEGMENT MATRIX'!AY24-1,"-")</f>
        <v>-</v>
      </c>
      <c r="I8" s="23" t="str">
        <f aca="false">IF('TASKS AND ROAD SEGMENT MATRIX'!AZ24-1&gt;0,'TASKS AND ROAD SEGMENT MATRIX'!AZ24-1,"-")</f>
        <v>-</v>
      </c>
      <c r="J8" s="23" t="str">
        <f aca="false">IF('TASKS AND ROAD SEGMENT MATRIX'!BA24-1&gt;0,'TASKS AND ROAD SEGMENT MATRIX'!BA24-1,"-")</f>
        <v>-</v>
      </c>
      <c r="K8" s="23" t="str">
        <f aca="false">IF('TASKS AND ROAD SEGMENT MATRIX'!BB24-1&gt;0,'TASKS AND ROAD SEGMENT MATRIX'!BB24-1,"-")</f>
        <v>-</v>
      </c>
      <c r="L8" s="23" t="str">
        <f aca="false">IF('TASKS AND ROAD SEGMENT MATRIX'!BC24-1&gt;0,'TASKS AND ROAD SEGMENT MATRIX'!BC24-1,"-")</f>
        <v>-</v>
      </c>
      <c r="M8" s="23" t="n">
        <f aca="false">IF('TASKS AND ROAD SEGMENT MATRIX'!BD24-1&gt;0,'TASKS AND ROAD SEGMENT MATRIX'!BD24-1,"-")</f>
        <v>0.41246730362835</v>
      </c>
      <c r="N8" s="23" t="n">
        <f aca="false">IF('TASKS AND ROAD SEGMENT MATRIX'!BE24-1&gt;0,'TASKS AND ROAD SEGMENT MATRIX'!BE24-1,"-")</f>
        <v>0.41246730362835</v>
      </c>
      <c r="O8" s="23" t="n">
        <f aca="false">IF('TASKS AND ROAD SEGMENT MATRIX'!BF24-1&gt;0,'TASKS AND ROAD SEGMENT MATRIX'!BF24-1,"-")</f>
        <v>0.41246730362835</v>
      </c>
      <c r="P8" s="23" t="str">
        <f aca="false">IF('TASKS AND ROAD SEGMENT MATRIX'!BG24-1&gt;0,'TASKS AND ROAD SEGMENT MATRIX'!BG24-1,"-")</f>
        <v>-</v>
      </c>
      <c r="Q8" s="23" t="str">
        <f aca="false">IF('TASKS AND ROAD SEGMENT MATRIX'!BH24-1&gt;0,'TASKS AND ROAD SEGMENT MATRIX'!BH24-1,"-")</f>
        <v>-</v>
      </c>
    </row>
    <row r="9" customFormat="false" ht="13.8" hidden="false" customHeight="false" outlineLevel="0" collapsed="false">
      <c r="A9" s="19" t="s">
        <v>67</v>
      </c>
      <c r="B9" s="0" t="s">
        <v>142</v>
      </c>
      <c r="C9" s="23" t="n">
        <f aca="false">IF('TASKS AND ROAD SEGMENT MATRIX'!AT25-1&gt;0,'TASKS AND ROAD SEGMENT MATRIX'!AT25-1,"-")</f>
        <v>0.49496076435402</v>
      </c>
      <c r="D9" s="23" t="n">
        <f aca="false">IF('TASKS AND ROAD SEGMENT MATRIX'!AU25-1&gt;0,'TASKS AND ROAD SEGMENT MATRIX'!AU25-1,"-")</f>
        <v>0.49496076435402</v>
      </c>
      <c r="E9" s="23" t="str">
        <f aca="false">IF('TASKS AND ROAD SEGMENT MATRIX'!AV25-1&gt;0,'TASKS AND ROAD SEGMENT MATRIX'!AV25-1,"-")</f>
        <v>-</v>
      </c>
      <c r="F9" s="23" t="str">
        <f aca="false">IF('TASKS AND ROAD SEGMENT MATRIX'!AW25-1&gt;0,'TASKS AND ROAD SEGMENT MATRIX'!AW25-1,"-")</f>
        <v>-</v>
      </c>
      <c r="G9" s="23" t="str">
        <f aca="false">IF('TASKS AND ROAD SEGMENT MATRIX'!AX25-1&gt;0,'TASKS AND ROAD SEGMENT MATRIX'!AX25-1,"-")</f>
        <v>-</v>
      </c>
      <c r="H9" s="23" t="str">
        <f aca="false">IF('TASKS AND ROAD SEGMENT MATRIX'!AY25-1&gt;0,'TASKS AND ROAD SEGMENT MATRIX'!AY25-1,"-")</f>
        <v>-</v>
      </c>
      <c r="I9" s="23" t="str">
        <f aca="false">IF('TASKS AND ROAD SEGMENT MATRIX'!AZ25-1&gt;0,'TASKS AND ROAD SEGMENT MATRIX'!AZ25-1,"-")</f>
        <v>-</v>
      </c>
      <c r="J9" s="23" t="str">
        <f aca="false">IF('TASKS AND ROAD SEGMENT MATRIX'!BA25-1&gt;0,'TASKS AND ROAD SEGMENT MATRIX'!BA25-1,"-")</f>
        <v>-</v>
      </c>
      <c r="K9" s="23" t="str">
        <f aca="false">IF('TASKS AND ROAD SEGMENT MATRIX'!BB25-1&gt;0,'TASKS AND ROAD SEGMENT MATRIX'!BB25-1,"-")</f>
        <v>-</v>
      </c>
      <c r="L9" s="23" t="str">
        <f aca="false">IF('TASKS AND ROAD SEGMENT MATRIX'!BC25-1&gt;0,'TASKS AND ROAD SEGMENT MATRIX'!BC25-1,"-")</f>
        <v>-</v>
      </c>
      <c r="M9" s="23" t="n">
        <f aca="false">IF('TASKS AND ROAD SEGMENT MATRIX'!BD25-1&gt;0,'TASKS AND ROAD SEGMENT MATRIX'!BD25-1,"-")</f>
        <v>0.49496076435402</v>
      </c>
      <c r="N9" s="23" t="n">
        <f aca="false">IF('TASKS AND ROAD SEGMENT MATRIX'!BE25-1&gt;0,'TASKS AND ROAD SEGMENT MATRIX'!BE25-1,"-")</f>
        <v>0.49496076435402</v>
      </c>
      <c r="O9" s="23" t="n">
        <f aca="false">IF('TASKS AND ROAD SEGMENT MATRIX'!BF25-1&gt;0,'TASKS AND ROAD SEGMENT MATRIX'!BF25-1,"-")</f>
        <v>0.49496076435402</v>
      </c>
      <c r="P9" s="23" t="str">
        <f aca="false">IF('TASKS AND ROAD SEGMENT MATRIX'!BG25-1&gt;0,'TASKS AND ROAD SEGMENT MATRIX'!BG25-1,"-")</f>
        <v>-</v>
      </c>
      <c r="Q9" s="23" t="str">
        <f aca="false">IF('TASKS AND ROAD SEGMENT MATRIX'!BH25-1&gt;0,'TASKS AND ROAD SEGMENT MATRIX'!BH25-1,"-")</f>
        <v>-</v>
      </c>
    </row>
    <row r="10" customFormat="false" ht="13.8" hidden="false" customHeight="false" outlineLevel="0" collapsed="false">
      <c r="A10" s="0" t="s">
        <v>68</v>
      </c>
      <c r="B10" s="0" t="s">
        <v>139</v>
      </c>
      <c r="C10" s="23" t="n">
        <f aca="false">IF('TASKS AND ROAD SEGMENT MATRIX'!AT26-1&gt;0,'TASKS AND ROAD SEGMENT MATRIX'!AT26-1,"-")</f>
        <v>0.314151907807443</v>
      </c>
      <c r="D10" s="23" t="str">
        <f aca="false">IF('TASKS AND ROAD SEGMENT MATRIX'!AU26-1&gt;0,'TASKS AND ROAD SEGMENT MATRIX'!AU26-1,"-")</f>
        <v>-</v>
      </c>
      <c r="E10" s="23" t="str">
        <f aca="false">IF('TASKS AND ROAD SEGMENT MATRIX'!AV26-1&gt;0,'TASKS AND ROAD SEGMENT MATRIX'!AV26-1,"-")</f>
        <v>-</v>
      </c>
      <c r="F10" s="23" t="str">
        <f aca="false">IF('TASKS AND ROAD SEGMENT MATRIX'!AW26-1&gt;0,'TASKS AND ROAD SEGMENT MATRIX'!AW26-1,"-")</f>
        <v>-</v>
      </c>
      <c r="G10" s="23" t="str">
        <f aca="false">IF('TASKS AND ROAD SEGMENT MATRIX'!AX26-1&gt;0,'TASKS AND ROAD SEGMENT MATRIX'!AX26-1,"-")</f>
        <v>-</v>
      </c>
      <c r="H10" s="23" t="str">
        <f aca="false">IF('TASKS AND ROAD SEGMENT MATRIX'!AY26-1&gt;0,'TASKS AND ROAD SEGMENT MATRIX'!AY26-1,"-")</f>
        <v>-</v>
      </c>
      <c r="I10" s="23" t="str">
        <f aca="false">IF('TASKS AND ROAD SEGMENT MATRIX'!AZ26-1&gt;0,'TASKS AND ROAD SEGMENT MATRIX'!AZ26-1,"-")</f>
        <v>-</v>
      </c>
      <c r="J10" s="23" t="str">
        <f aca="false">IF('TASKS AND ROAD SEGMENT MATRIX'!BA26-1&gt;0,'TASKS AND ROAD SEGMENT MATRIX'!BA26-1,"-")</f>
        <v>-</v>
      </c>
      <c r="K10" s="23" t="str">
        <f aca="false">IF('TASKS AND ROAD SEGMENT MATRIX'!BB26-1&gt;0,'TASKS AND ROAD SEGMENT MATRIX'!BB26-1,"-")</f>
        <v>-</v>
      </c>
      <c r="L10" s="23" t="str">
        <f aca="false">IF('TASKS AND ROAD SEGMENT MATRIX'!BC26-1&gt;0,'TASKS AND ROAD SEGMENT MATRIX'!BC26-1,"-")</f>
        <v>-</v>
      </c>
      <c r="M10" s="23" t="str">
        <f aca="false">IF('TASKS AND ROAD SEGMENT MATRIX'!BD26-1&gt;0,'TASKS AND ROAD SEGMENT MATRIX'!BD26-1,"-")</f>
        <v>-</v>
      </c>
      <c r="N10" s="23" t="n">
        <f aca="false">IF('TASKS AND ROAD SEGMENT MATRIX'!BE26-1&gt;0,'TASKS AND ROAD SEGMENT MATRIX'!BE26-1,"-")</f>
        <v>0.314151907807443</v>
      </c>
      <c r="O10" s="23" t="n">
        <f aca="false">IF('TASKS AND ROAD SEGMENT MATRIX'!BF26-1&gt;0,'TASKS AND ROAD SEGMENT MATRIX'!BF26-1,"-")</f>
        <v>0.628303815614886</v>
      </c>
      <c r="P10" s="23" t="n">
        <f aca="false">IF('TASKS AND ROAD SEGMENT MATRIX'!BG26-1&gt;0,'TASKS AND ROAD SEGMENT MATRIX'!BG26-1,"-")</f>
        <v>0.314151907807443</v>
      </c>
      <c r="Q10" s="23" t="str">
        <f aca="false">IF('TASKS AND ROAD SEGMENT MATRIX'!BH26-1&gt;0,'TASKS AND ROAD SEGMENT MATRIX'!BH26-1,"-")</f>
        <v>-</v>
      </c>
    </row>
    <row r="11" customFormat="false" ht="13.8" hidden="false" customHeight="false" outlineLevel="0" collapsed="false">
      <c r="A11" s="0" t="s">
        <v>68</v>
      </c>
      <c r="B11" s="0" t="s">
        <v>140</v>
      </c>
      <c r="C11" s="23" t="n">
        <f aca="false">IF('TASKS AND ROAD SEGMENT MATRIX'!AT27-1&gt;0,'TASKS AND ROAD SEGMENT MATRIX'!AT27-1,"-")</f>
        <v>0.471227861711165</v>
      </c>
      <c r="D11" s="23" t="str">
        <f aca="false">IF('TASKS AND ROAD SEGMENT MATRIX'!AU27-1&gt;0,'TASKS AND ROAD SEGMENT MATRIX'!AU27-1,"-")</f>
        <v>-</v>
      </c>
      <c r="E11" s="23" t="str">
        <f aca="false">IF('TASKS AND ROAD SEGMENT MATRIX'!AV27-1&gt;0,'TASKS AND ROAD SEGMENT MATRIX'!AV27-1,"-")</f>
        <v>-</v>
      </c>
      <c r="F11" s="23" t="str">
        <f aca="false">IF('TASKS AND ROAD SEGMENT MATRIX'!AW27-1&gt;0,'TASKS AND ROAD SEGMENT MATRIX'!AW27-1,"-")</f>
        <v>-</v>
      </c>
      <c r="G11" s="23" t="str">
        <f aca="false">IF('TASKS AND ROAD SEGMENT MATRIX'!AX27-1&gt;0,'TASKS AND ROAD SEGMENT MATRIX'!AX27-1,"-")</f>
        <v>-</v>
      </c>
      <c r="H11" s="23" t="str">
        <f aca="false">IF('TASKS AND ROAD SEGMENT MATRIX'!AY27-1&gt;0,'TASKS AND ROAD SEGMENT MATRIX'!AY27-1,"-")</f>
        <v>-</v>
      </c>
      <c r="I11" s="23" t="str">
        <f aca="false">IF('TASKS AND ROAD SEGMENT MATRIX'!AZ27-1&gt;0,'TASKS AND ROAD SEGMENT MATRIX'!AZ27-1,"-")</f>
        <v>-</v>
      </c>
      <c r="J11" s="23" t="str">
        <f aca="false">IF('TASKS AND ROAD SEGMENT MATRIX'!BA27-1&gt;0,'TASKS AND ROAD SEGMENT MATRIX'!BA27-1,"-")</f>
        <v>-</v>
      </c>
      <c r="K11" s="23" t="str">
        <f aca="false">IF('TASKS AND ROAD SEGMENT MATRIX'!BB27-1&gt;0,'TASKS AND ROAD SEGMENT MATRIX'!BB27-1,"-")</f>
        <v>-</v>
      </c>
      <c r="L11" s="23" t="str">
        <f aca="false">IF('TASKS AND ROAD SEGMENT MATRIX'!BC27-1&gt;0,'TASKS AND ROAD SEGMENT MATRIX'!BC27-1,"-")</f>
        <v>-</v>
      </c>
      <c r="M11" s="23" t="str">
        <f aca="false">IF('TASKS AND ROAD SEGMENT MATRIX'!BD27-1&gt;0,'TASKS AND ROAD SEGMENT MATRIX'!BD27-1,"-")</f>
        <v>-</v>
      </c>
      <c r="N11" s="23" t="n">
        <f aca="false">IF('TASKS AND ROAD SEGMENT MATRIX'!BE27-1&gt;0,'TASKS AND ROAD SEGMENT MATRIX'!BE27-1,"-")</f>
        <v>0.471227861711165</v>
      </c>
      <c r="O11" s="23" t="n">
        <f aca="false">IF('TASKS AND ROAD SEGMENT MATRIX'!BF27-1&gt;0,'TASKS AND ROAD SEGMENT MATRIX'!BF27-1,"-")</f>
        <v>0.942455723422329</v>
      </c>
      <c r="P11" s="23" t="n">
        <f aca="false">IF('TASKS AND ROAD SEGMENT MATRIX'!BG27-1&gt;0,'TASKS AND ROAD SEGMENT MATRIX'!BG27-1,"-")</f>
        <v>0.471227861711165</v>
      </c>
      <c r="Q11" s="23" t="str">
        <f aca="false">IF('TASKS AND ROAD SEGMENT MATRIX'!BH27-1&gt;0,'TASKS AND ROAD SEGMENT MATRIX'!BH27-1,"-")</f>
        <v>-</v>
      </c>
    </row>
    <row r="12" customFormat="false" ht="13.8" hidden="false" customHeight="false" outlineLevel="0" collapsed="false">
      <c r="A12" s="0" t="s">
        <v>68</v>
      </c>
      <c r="B12" s="0" t="s">
        <v>141</v>
      </c>
      <c r="C12" s="23" t="n">
        <f aca="false">IF('TASKS AND ROAD SEGMENT MATRIX'!AT28-1&gt;0,'TASKS AND ROAD SEGMENT MATRIX'!AT28-1,"-")</f>
        <v>0.392689884759304</v>
      </c>
      <c r="D12" s="23" t="str">
        <f aca="false">IF('TASKS AND ROAD SEGMENT MATRIX'!AU28-1&gt;0,'TASKS AND ROAD SEGMENT MATRIX'!AU28-1,"-")</f>
        <v>-</v>
      </c>
      <c r="E12" s="23" t="str">
        <f aca="false">IF('TASKS AND ROAD SEGMENT MATRIX'!AV28-1&gt;0,'TASKS AND ROAD SEGMENT MATRIX'!AV28-1,"-")</f>
        <v>-</v>
      </c>
      <c r="F12" s="23" t="str">
        <f aca="false">IF('TASKS AND ROAD SEGMENT MATRIX'!AW28-1&gt;0,'TASKS AND ROAD SEGMENT MATRIX'!AW28-1,"-")</f>
        <v>-</v>
      </c>
      <c r="G12" s="23" t="str">
        <f aca="false">IF('TASKS AND ROAD SEGMENT MATRIX'!AX28-1&gt;0,'TASKS AND ROAD SEGMENT MATRIX'!AX28-1,"-")</f>
        <v>-</v>
      </c>
      <c r="H12" s="23" t="str">
        <f aca="false">IF('TASKS AND ROAD SEGMENT MATRIX'!AY28-1&gt;0,'TASKS AND ROAD SEGMENT MATRIX'!AY28-1,"-")</f>
        <v>-</v>
      </c>
      <c r="I12" s="23" t="str">
        <f aca="false">IF('TASKS AND ROAD SEGMENT MATRIX'!AZ28-1&gt;0,'TASKS AND ROAD SEGMENT MATRIX'!AZ28-1,"-")</f>
        <v>-</v>
      </c>
      <c r="J12" s="23" t="str">
        <f aca="false">IF('TASKS AND ROAD SEGMENT MATRIX'!BA28-1&gt;0,'TASKS AND ROAD SEGMENT MATRIX'!BA28-1,"-")</f>
        <v>-</v>
      </c>
      <c r="K12" s="23" t="str">
        <f aca="false">IF('TASKS AND ROAD SEGMENT MATRIX'!BB28-1&gt;0,'TASKS AND ROAD SEGMENT MATRIX'!BB28-1,"-")</f>
        <v>-</v>
      </c>
      <c r="L12" s="23" t="str">
        <f aca="false">IF('TASKS AND ROAD SEGMENT MATRIX'!BC28-1&gt;0,'TASKS AND ROAD SEGMENT MATRIX'!BC28-1,"-")</f>
        <v>-</v>
      </c>
      <c r="M12" s="23" t="str">
        <f aca="false">IF('TASKS AND ROAD SEGMENT MATRIX'!BD28-1&gt;0,'TASKS AND ROAD SEGMENT MATRIX'!BD28-1,"-")</f>
        <v>-</v>
      </c>
      <c r="N12" s="23" t="n">
        <f aca="false">IF('TASKS AND ROAD SEGMENT MATRIX'!BE28-1&gt;0,'TASKS AND ROAD SEGMENT MATRIX'!BE28-1,"-")</f>
        <v>0.392689884759304</v>
      </c>
      <c r="O12" s="23" t="n">
        <f aca="false">IF('TASKS AND ROAD SEGMENT MATRIX'!BF28-1&gt;0,'TASKS AND ROAD SEGMENT MATRIX'!BF28-1,"-")</f>
        <v>0.785379769518607</v>
      </c>
      <c r="P12" s="23" t="n">
        <f aca="false">IF('TASKS AND ROAD SEGMENT MATRIX'!BG28-1&gt;0,'TASKS AND ROAD SEGMENT MATRIX'!BG28-1,"-")</f>
        <v>0.392689884759304</v>
      </c>
      <c r="Q12" s="23" t="str">
        <f aca="false">IF('TASKS AND ROAD SEGMENT MATRIX'!BH28-1&gt;0,'TASKS AND ROAD SEGMENT MATRIX'!BH28-1,"-")</f>
        <v>-</v>
      </c>
    </row>
    <row r="13" customFormat="false" ht="13.8" hidden="false" customHeight="false" outlineLevel="0" collapsed="false">
      <c r="A13" s="0" t="s">
        <v>68</v>
      </c>
      <c r="B13" s="0" t="s">
        <v>142</v>
      </c>
      <c r="C13" s="23" t="n">
        <f aca="false">IF('TASKS AND ROAD SEGMENT MATRIX'!AT29-1&gt;0,'TASKS AND ROAD SEGMENT MATRIX'!AT29-1,"-")</f>
        <v>0.471227861711165</v>
      </c>
      <c r="D13" s="23" t="str">
        <f aca="false">IF('TASKS AND ROAD SEGMENT MATRIX'!AU29-1&gt;0,'TASKS AND ROAD SEGMENT MATRIX'!AU29-1,"-")</f>
        <v>-</v>
      </c>
      <c r="E13" s="23" t="str">
        <f aca="false">IF('TASKS AND ROAD SEGMENT MATRIX'!AV29-1&gt;0,'TASKS AND ROAD SEGMENT MATRIX'!AV29-1,"-")</f>
        <v>-</v>
      </c>
      <c r="F13" s="23" t="str">
        <f aca="false">IF('TASKS AND ROAD SEGMENT MATRIX'!AW29-1&gt;0,'TASKS AND ROAD SEGMENT MATRIX'!AW29-1,"-")</f>
        <v>-</v>
      </c>
      <c r="G13" s="23" t="str">
        <f aca="false">IF('TASKS AND ROAD SEGMENT MATRIX'!AX29-1&gt;0,'TASKS AND ROAD SEGMENT MATRIX'!AX29-1,"-")</f>
        <v>-</v>
      </c>
      <c r="H13" s="23" t="str">
        <f aca="false">IF('TASKS AND ROAD SEGMENT MATRIX'!AY29-1&gt;0,'TASKS AND ROAD SEGMENT MATRIX'!AY29-1,"-")</f>
        <v>-</v>
      </c>
      <c r="I13" s="23" t="str">
        <f aca="false">IF('TASKS AND ROAD SEGMENT MATRIX'!AZ29-1&gt;0,'TASKS AND ROAD SEGMENT MATRIX'!AZ29-1,"-")</f>
        <v>-</v>
      </c>
      <c r="J13" s="23" t="str">
        <f aca="false">IF('TASKS AND ROAD SEGMENT MATRIX'!BA29-1&gt;0,'TASKS AND ROAD SEGMENT MATRIX'!BA29-1,"-")</f>
        <v>-</v>
      </c>
      <c r="K13" s="23" t="str">
        <f aca="false">IF('TASKS AND ROAD SEGMENT MATRIX'!BB29-1&gt;0,'TASKS AND ROAD SEGMENT MATRIX'!BB29-1,"-")</f>
        <v>-</v>
      </c>
      <c r="L13" s="23" t="str">
        <f aca="false">IF('TASKS AND ROAD SEGMENT MATRIX'!BC29-1&gt;0,'TASKS AND ROAD SEGMENT MATRIX'!BC29-1,"-")</f>
        <v>-</v>
      </c>
      <c r="M13" s="23" t="str">
        <f aca="false">IF('TASKS AND ROAD SEGMENT MATRIX'!BD29-1&gt;0,'TASKS AND ROAD SEGMENT MATRIX'!BD29-1,"-")</f>
        <v>-</v>
      </c>
      <c r="N13" s="23" t="n">
        <f aca="false">IF('TASKS AND ROAD SEGMENT MATRIX'!BE29-1&gt;0,'TASKS AND ROAD SEGMENT MATRIX'!BE29-1,"-")</f>
        <v>0.471227861711165</v>
      </c>
      <c r="O13" s="23" t="n">
        <f aca="false">IF('TASKS AND ROAD SEGMENT MATRIX'!BF29-1&gt;0,'TASKS AND ROAD SEGMENT MATRIX'!BF29-1,"-")</f>
        <v>0.942455723422329</v>
      </c>
      <c r="P13" s="23" t="n">
        <f aca="false">IF('TASKS AND ROAD SEGMENT MATRIX'!BG29-1&gt;0,'TASKS AND ROAD SEGMENT MATRIX'!BG29-1,"-")</f>
        <v>0.471227861711165</v>
      </c>
      <c r="Q13" s="23" t="str">
        <f aca="false">IF('TASKS AND ROAD SEGMENT MATRIX'!BH29-1&gt;0,'TASKS AND ROAD SEGMENT MATRIX'!BH29-1,"-")</f>
        <v>-</v>
      </c>
    </row>
    <row r="14" customFormat="false" ht="13.8" hidden="false" customHeight="false" outlineLevel="0" collapsed="false">
      <c r="A14" s="9" t="s">
        <v>69</v>
      </c>
      <c r="B14" s="0" t="s">
        <v>139</v>
      </c>
      <c r="C14" s="23" t="str">
        <f aca="false">IF('TASKS AND ROAD SEGMENT MATRIX'!AT30-1&gt;0,'TASKS AND ROAD SEGMENT MATRIX'!AT30-1,"-")</f>
        <v>-</v>
      </c>
      <c r="D14" s="23" t="str">
        <f aca="false">IF('TASKS AND ROAD SEGMENT MATRIX'!AU30-1&gt;0,'TASKS AND ROAD SEGMENT MATRIX'!AU30-1,"-")</f>
        <v>-</v>
      </c>
      <c r="E14" s="23" t="str">
        <f aca="false">IF('TASKS AND ROAD SEGMENT MATRIX'!AV30-1&gt;0,'TASKS AND ROAD SEGMENT MATRIX'!AV30-1,"-")</f>
        <v>-</v>
      </c>
      <c r="F14" s="23" t="str">
        <f aca="false">IF('TASKS AND ROAD SEGMENT MATRIX'!AW30-1&gt;0,'TASKS AND ROAD SEGMENT MATRIX'!AW30-1,"-")</f>
        <v>-</v>
      </c>
      <c r="G14" s="23" t="n">
        <f aca="false">IF('TASKS AND ROAD SEGMENT MATRIX'!AX30-1&gt;0,'TASKS AND ROAD SEGMENT MATRIX'!AX30-1,"-")</f>
        <v>0.209983354574433</v>
      </c>
      <c r="H14" s="23" t="n">
        <f aca="false">IF('TASKS AND ROAD SEGMENT MATRIX'!AY30-1&gt;0,'TASKS AND ROAD SEGMENT MATRIX'!AY30-1,"-")</f>
        <v>0.209983354574433</v>
      </c>
      <c r="I14" s="23" t="str">
        <f aca="false">IF('TASKS AND ROAD SEGMENT MATRIX'!AZ30-1&gt;0,'TASKS AND ROAD SEGMENT MATRIX'!AZ30-1,"-")</f>
        <v>-</v>
      </c>
      <c r="J14" s="23" t="str">
        <f aca="false">IF('TASKS AND ROAD SEGMENT MATRIX'!BA30-1&gt;0,'TASKS AND ROAD SEGMENT MATRIX'!BA30-1,"-")</f>
        <v>-</v>
      </c>
      <c r="K14" s="23" t="str">
        <f aca="false">IF('TASKS AND ROAD SEGMENT MATRIX'!BB30-1&gt;0,'TASKS AND ROAD SEGMENT MATRIX'!BB30-1,"-")</f>
        <v>-</v>
      </c>
      <c r="L14" s="23" t="str">
        <f aca="false">IF('TASKS AND ROAD SEGMENT MATRIX'!BC30-1&gt;0,'TASKS AND ROAD SEGMENT MATRIX'!BC30-1,"-")</f>
        <v>-</v>
      </c>
      <c r="M14" s="23" t="str">
        <f aca="false">IF('TASKS AND ROAD SEGMENT MATRIX'!BD30-1&gt;0,'TASKS AND ROAD SEGMENT MATRIX'!BD30-1,"-")</f>
        <v>-</v>
      </c>
      <c r="N14" s="23" t="str">
        <f aca="false">IF('TASKS AND ROAD SEGMENT MATRIX'!BE30-1&gt;0,'TASKS AND ROAD SEGMENT MATRIX'!BE30-1,"-")</f>
        <v>-</v>
      </c>
      <c r="O14" s="23" t="n">
        <f aca="false">IF('TASKS AND ROAD SEGMENT MATRIX'!BF30-1&gt;0,'TASKS AND ROAD SEGMENT MATRIX'!BF30-1,"-")</f>
        <v>0.209983354574433</v>
      </c>
      <c r="P14" s="23" t="n">
        <f aca="false">IF('TASKS AND ROAD SEGMENT MATRIX'!BG30-1&gt;0,'TASKS AND ROAD SEGMENT MATRIX'!BG30-1,"-")</f>
        <v>0.209983354574433</v>
      </c>
      <c r="Q14" s="23" t="str">
        <f aca="false">IF('TASKS AND ROAD SEGMENT MATRIX'!BH30-1&gt;0,'TASKS AND ROAD SEGMENT MATRIX'!BH30-1,"-")</f>
        <v>-</v>
      </c>
    </row>
    <row r="15" customFormat="false" ht="13.8" hidden="false" customHeight="false" outlineLevel="0" collapsed="false">
      <c r="A15" s="9" t="s">
        <v>69</v>
      </c>
      <c r="B15" s="0" t="s">
        <v>140</v>
      </c>
      <c r="C15" s="23" t="str">
        <f aca="false">IF('TASKS AND ROAD SEGMENT MATRIX'!AT31-1&gt;0,'TASKS AND ROAD SEGMENT MATRIX'!AT31-1,"-")</f>
        <v>-</v>
      </c>
      <c r="D15" s="23" t="str">
        <f aca="false">IF('TASKS AND ROAD SEGMENT MATRIX'!AU31-1&gt;0,'TASKS AND ROAD SEGMENT MATRIX'!AU31-1,"-")</f>
        <v>-</v>
      </c>
      <c r="E15" s="23" t="str">
        <f aca="false">IF('TASKS AND ROAD SEGMENT MATRIX'!AV31-1&gt;0,'TASKS AND ROAD SEGMENT MATRIX'!AV31-1,"-")</f>
        <v>-</v>
      </c>
      <c r="F15" s="23" t="str">
        <f aca="false">IF('TASKS AND ROAD SEGMENT MATRIX'!AW31-1&gt;0,'TASKS AND ROAD SEGMENT MATRIX'!AW31-1,"-")</f>
        <v>-</v>
      </c>
      <c r="G15" s="23" t="n">
        <f aca="false">IF('TASKS AND ROAD SEGMENT MATRIX'!AX31-1&gt;0,'TASKS AND ROAD SEGMENT MATRIX'!AX31-1,"-")</f>
        <v>0.314975031861649</v>
      </c>
      <c r="H15" s="23" t="n">
        <f aca="false">IF('TASKS AND ROAD SEGMENT MATRIX'!AY31-1&gt;0,'TASKS AND ROAD SEGMENT MATRIX'!AY31-1,"-")</f>
        <v>0.314975031861649</v>
      </c>
      <c r="I15" s="23" t="str">
        <f aca="false">IF('TASKS AND ROAD SEGMENT MATRIX'!AZ31-1&gt;0,'TASKS AND ROAD SEGMENT MATRIX'!AZ31-1,"-")</f>
        <v>-</v>
      </c>
      <c r="J15" s="23" t="str">
        <f aca="false">IF('TASKS AND ROAD SEGMENT MATRIX'!BA31-1&gt;0,'TASKS AND ROAD SEGMENT MATRIX'!BA31-1,"-")</f>
        <v>-</v>
      </c>
      <c r="K15" s="23" t="str">
        <f aca="false">IF('TASKS AND ROAD SEGMENT MATRIX'!BB31-1&gt;0,'TASKS AND ROAD SEGMENT MATRIX'!BB31-1,"-")</f>
        <v>-</v>
      </c>
      <c r="L15" s="23" t="str">
        <f aca="false">IF('TASKS AND ROAD SEGMENT MATRIX'!BC31-1&gt;0,'TASKS AND ROAD SEGMENT MATRIX'!BC31-1,"-")</f>
        <v>-</v>
      </c>
      <c r="M15" s="23" t="str">
        <f aca="false">IF('TASKS AND ROAD SEGMENT MATRIX'!BD31-1&gt;0,'TASKS AND ROAD SEGMENT MATRIX'!BD31-1,"-")</f>
        <v>-</v>
      </c>
      <c r="N15" s="23" t="str">
        <f aca="false">IF('TASKS AND ROAD SEGMENT MATRIX'!BE31-1&gt;0,'TASKS AND ROAD SEGMENT MATRIX'!BE31-1,"-")</f>
        <v>-</v>
      </c>
      <c r="O15" s="23" t="n">
        <f aca="false">IF('TASKS AND ROAD SEGMENT MATRIX'!BF31-1&gt;0,'TASKS AND ROAD SEGMENT MATRIX'!BF31-1,"-")</f>
        <v>0.314975031861649</v>
      </c>
      <c r="P15" s="23" t="n">
        <f aca="false">IF('TASKS AND ROAD SEGMENT MATRIX'!BG31-1&gt;0,'TASKS AND ROAD SEGMENT MATRIX'!BG31-1,"-")</f>
        <v>0.314975031861649</v>
      </c>
      <c r="Q15" s="23" t="str">
        <f aca="false">IF('TASKS AND ROAD SEGMENT MATRIX'!BH31-1&gt;0,'TASKS AND ROAD SEGMENT MATRIX'!BH31-1,"-")</f>
        <v>-</v>
      </c>
    </row>
    <row r="16" customFormat="false" ht="13.8" hidden="false" customHeight="false" outlineLevel="0" collapsed="false">
      <c r="A16" s="9" t="s">
        <v>69</v>
      </c>
      <c r="B16" s="0" t="s">
        <v>141</v>
      </c>
      <c r="C16" s="23" t="str">
        <f aca="false">IF('TASKS AND ROAD SEGMENT MATRIX'!AT32-1&gt;0,'TASKS AND ROAD SEGMENT MATRIX'!AT32-1,"-")</f>
        <v>-</v>
      </c>
      <c r="D16" s="23" t="str">
        <f aca="false">IF('TASKS AND ROAD SEGMENT MATRIX'!AU32-1&gt;0,'TASKS AND ROAD SEGMENT MATRIX'!AU32-1,"-")</f>
        <v>-</v>
      </c>
      <c r="E16" s="23" t="str">
        <f aca="false">IF('TASKS AND ROAD SEGMENT MATRIX'!AV32-1&gt;0,'TASKS AND ROAD SEGMENT MATRIX'!AV32-1,"-")</f>
        <v>-</v>
      </c>
      <c r="F16" s="23" t="str">
        <f aca="false">IF('TASKS AND ROAD SEGMENT MATRIX'!AW32-1&gt;0,'TASKS AND ROAD SEGMENT MATRIX'!AW32-1,"-")</f>
        <v>-</v>
      </c>
      <c r="G16" s="23" t="n">
        <f aca="false">IF('TASKS AND ROAD SEGMENT MATRIX'!AX32-1&gt;0,'TASKS AND ROAD SEGMENT MATRIX'!AX32-1,"-")</f>
        <v>0.262479193218041</v>
      </c>
      <c r="H16" s="23" t="n">
        <f aca="false">IF('TASKS AND ROAD SEGMENT MATRIX'!AY32-1&gt;0,'TASKS AND ROAD SEGMENT MATRIX'!AY32-1,"-")</f>
        <v>0.262479193218041</v>
      </c>
      <c r="I16" s="23" t="str">
        <f aca="false">IF('TASKS AND ROAD SEGMENT MATRIX'!AZ32-1&gt;0,'TASKS AND ROAD SEGMENT MATRIX'!AZ32-1,"-")</f>
        <v>-</v>
      </c>
      <c r="J16" s="23" t="str">
        <f aca="false">IF('TASKS AND ROAD SEGMENT MATRIX'!BA32-1&gt;0,'TASKS AND ROAD SEGMENT MATRIX'!BA32-1,"-")</f>
        <v>-</v>
      </c>
      <c r="K16" s="23" t="str">
        <f aca="false">IF('TASKS AND ROAD SEGMENT MATRIX'!BB32-1&gt;0,'TASKS AND ROAD SEGMENT MATRIX'!BB32-1,"-")</f>
        <v>-</v>
      </c>
      <c r="L16" s="23" t="str">
        <f aca="false">IF('TASKS AND ROAD SEGMENT MATRIX'!BC32-1&gt;0,'TASKS AND ROAD SEGMENT MATRIX'!BC32-1,"-")</f>
        <v>-</v>
      </c>
      <c r="M16" s="23" t="str">
        <f aca="false">IF('TASKS AND ROAD SEGMENT MATRIX'!BD32-1&gt;0,'TASKS AND ROAD SEGMENT MATRIX'!BD32-1,"-")</f>
        <v>-</v>
      </c>
      <c r="N16" s="23" t="str">
        <f aca="false">IF('TASKS AND ROAD SEGMENT MATRIX'!BE32-1&gt;0,'TASKS AND ROAD SEGMENT MATRIX'!BE32-1,"-")</f>
        <v>-</v>
      </c>
      <c r="O16" s="23" t="n">
        <f aca="false">IF('TASKS AND ROAD SEGMENT MATRIX'!BF32-1&gt;0,'TASKS AND ROAD SEGMENT MATRIX'!BF32-1,"-")</f>
        <v>0.262479193218041</v>
      </c>
      <c r="P16" s="23" t="n">
        <f aca="false">IF('TASKS AND ROAD SEGMENT MATRIX'!BG32-1&gt;0,'TASKS AND ROAD SEGMENT MATRIX'!BG32-1,"-")</f>
        <v>0.262479193218041</v>
      </c>
      <c r="Q16" s="23" t="str">
        <f aca="false">IF('TASKS AND ROAD SEGMENT MATRIX'!BH32-1&gt;0,'TASKS AND ROAD SEGMENT MATRIX'!BH32-1,"-")</f>
        <v>-</v>
      </c>
    </row>
    <row r="17" customFormat="false" ht="13.8" hidden="false" customHeight="false" outlineLevel="0" collapsed="false">
      <c r="A17" s="9" t="s">
        <v>69</v>
      </c>
      <c r="B17" s="0" t="s">
        <v>142</v>
      </c>
      <c r="C17" s="23" t="str">
        <f aca="false">IF('TASKS AND ROAD SEGMENT MATRIX'!AT33-1&gt;0,'TASKS AND ROAD SEGMENT MATRIX'!AT33-1,"-")</f>
        <v>-</v>
      </c>
      <c r="D17" s="23" t="str">
        <f aca="false">IF('TASKS AND ROAD SEGMENT MATRIX'!AU33-1&gt;0,'TASKS AND ROAD SEGMENT MATRIX'!AU33-1,"-")</f>
        <v>-</v>
      </c>
      <c r="E17" s="23" t="str">
        <f aca="false">IF('TASKS AND ROAD SEGMENT MATRIX'!AV33-1&gt;0,'TASKS AND ROAD SEGMENT MATRIX'!AV33-1,"-")</f>
        <v>-</v>
      </c>
      <c r="F17" s="23" t="str">
        <f aca="false">IF('TASKS AND ROAD SEGMENT MATRIX'!AW33-1&gt;0,'TASKS AND ROAD SEGMENT MATRIX'!AW33-1,"-")</f>
        <v>-</v>
      </c>
      <c r="G17" s="23" t="n">
        <f aca="false">IF('TASKS AND ROAD SEGMENT MATRIX'!AX33-1&gt;0,'TASKS AND ROAD SEGMENT MATRIX'!AX33-1,"-")</f>
        <v>0.314975031861649</v>
      </c>
      <c r="H17" s="23" t="n">
        <f aca="false">IF('TASKS AND ROAD SEGMENT MATRIX'!AY33-1&gt;0,'TASKS AND ROAD SEGMENT MATRIX'!AY33-1,"-")</f>
        <v>0.314975031861649</v>
      </c>
      <c r="I17" s="23" t="str">
        <f aca="false">IF('TASKS AND ROAD SEGMENT MATRIX'!AZ33-1&gt;0,'TASKS AND ROAD SEGMENT MATRIX'!AZ33-1,"-")</f>
        <v>-</v>
      </c>
      <c r="J17" s="23" t="str">
        <f aca="false">IF('TASKS AND ROAD SEGMENT MATRIX'!BA33-1&gt;0,'TASKS AND ROAD SEGMENT MATRIX'!BA33-1,"-")</f>
        <v>-</v>
      </c>
      <c r="K17" s="23" t="str">
        <f aca="false">IF('TASKS AND ROAD SEGMENT MATRIX'!BB33-1&gt;0,'TASKS AND ROAD SEGMENT MATRIX'!BB33-1,"-")</f>
        <v>-</v>
      </c>
      <c r="L17" s="23" t="str">
        <f aca="false">IF('TASKS AND ROAD SEGMENT MATRIX'!BC33-1&gt;0,'TASKS AND ROAD SEGMENT MATRIX'!BC33-1,"-")</f>
        <v>-</v>
      </c>
      <c r="M17" s="23" t="str">
        <f aca="false">IF('TASKS AND ROAD SEGMENT MATRIX'!BD33-1&gt;0,'TASKS AND ROAD SEGMENT MATRIX'!BD33-1,"-")</f>
        <v>-</v>
      </c>
      <c r="N17" s="23" t="str">
        <f aca="false">IF('TASKS AND ROAD SEGMENT MATRIX'!BE33-1&gt;0,'TASKS AND ROAD SEGMENT MATRIX'!BE33-1,"-")</f>
        <v>-</v>
      </c>
      <c r="O17" s="23" t="n">
        <f aca="false">IF('TASKS AND ROAD SEGMENT MATRIX'!BF33-1&gt;0,'TASKS AND ROAD SEGMENT MATRIX'!BF33-1,"-")</f>
        <v>0.314975031861649</v>
      </c>
      <c r="P17" s="23" t="n">
        <f aca="false">IF('TASKS AND ROAD SEGMENT MATRIX'!BG33-1&gt;0,'TASKS AND ROAD SEGMENT MATRIX'!BG33-1,"-")</f>
        <v>0.314975031861649</v>
      </c>
      <c r="Q17" s="23" t="str">
        <f aca="false">IF('TASKS AND ROAD SEGMENT MATRIX'!BH33-1&gt;0,'TASKS AND ROAD SEGMENT MATRIX'!BH33-1,"-")</f>
        <v>-</v>
      </c>
    </row>
    <row r="147" customFormat="false" ht="13.8" hidden="false" customHeight="false" outlineLevel="0" collapsed="false">
      <c r="A147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LibreOffice/6.1.4.2$Windows_X86_64 LibreOffice_project/9d0f32d1f0b509096fd65e0d4bec26ddd1938fd3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2013-04-26T00:09:57Z</dcterms:created>
  <dc:creator>Schraven</dc:creator>
  <dc:description/>
  <dc:language>en-GB</dc:language>
  <cp:lastModifiedBy>Joris Scharpff</cp:lastModifiedBy>
  <dcterms:modified xsi:type="dcterms:W3CDTF">2019-06-07T14:01:22Z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