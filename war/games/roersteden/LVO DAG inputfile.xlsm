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15180" yWindow="300" windowWidth="4020" windowHeight="9975" activeTab="1"/>
  </bookViews>
  <sheets>
    <sheet name="TTL NORMAL" sheetId="3" r:id="rId1"/>
    <sheet name="TASKS AND ROAD SEGMENT MATRIX" sheetId="1" r:id="rId2"/>
    <sheet name="PORTFOLIO" sheetId="4" r:id="rId3"/>
    <sheet name="Kosten herbekend" sheetId="5" r:id="rId4"/>
  </sheets>
  <calcPr calcId="145621"/>
</workbook>
</file>

<file path=xl/calcChain.xml><?xml version="1.0" encoding="utf-8"?>
<calcChain xmlns="http://schemas.openxmlformats.org/spreadsheetml/2006/main">
  <c r="N3" i="1" l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2" i="1"/>
  <c r="BD83" i="1" l="1"/>
  <c r="BE83" i="1"/>
  <c r="BF83" i="1"/>
  <c r="BG83" i="1"/>
  <c r="BH83" i="1"/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2" i="1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1" i="5"/>
  <c r="E2" i="1" l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D6" i="4" l="1"/>
  <c r="D5" i="4"/>
  <c r="D4" i="4"/>
  <c r="D3" i="4"/>
  <c r="D2" i="4"/>
  <c r="K3" i="1" l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2" i="1"/>
  <c r="B3" i="3" l="1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2" i="3"/>
</calcChain>
</file>

<file path=xl/sharedStrings.xml><?xml version="1.0" encoding="utf-8"?>
<sst xmlns="http://schemas.openxmlformats.org/spreadsheetml/2006/main" count="497" uniqueCount="139">
  <si>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</si>
  <si>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</si>
  <si>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</si>
  <si>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</si>
  <si>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</si>
  <si>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</si>
  <si>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</si>
  <si>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</si>
  <si>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</si>
  <si>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</si>
  <si>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</si>
  <si>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</si>
  <si>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</si>
  <si>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</si>
  <si>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</si>
  <si>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</si>
  <si>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</si>
  <si>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</si>
  <si>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Week 19</t>
  </si>
  <si>
    <t>Week 20</t>
  </si>
  <si>
    <t>Week 21</t>
  </si>
  <si>
    <t>Week 22</t>
  </si>
  <si>
    <t>Week 23</t>
  </si>
  <si>
    <t>Week 24</t>
  </si>
  <si>
    <t>Week 25</t>
  </si>
  <si>
    <t>Week 26</t>
  </si>
  <si>
    <t>Week 27</t>
  </si>
  <si>
    <t>Week 28</t>
  </si>
  <si>
    <t>Week 29</t>
  </si>
  <si>
    <t>Week 30</t>
  </si>
  <si>
    <t>Week 31</t>
  </si>
  <si>
    <t>Week 32</t>
  </si>
  <si>
    <t>Week 33</t>
  </si>
  <si>
    <t>Week 34</t>
  </si>
  <si>
    <t>Week 35</t>
  </si>
  <si>
    <t>Week 36</t>
  </si>
  <si>
    <t>Week 37</t>
  </si>
  <si>
    <t>Week 38</t>
  </si>
  <si>
    <t>Week 39</t>
  </si>
  <si>
    <t>Week 40</t>
  </si>
  <si>
    <t>Week 41</t>
  </si>
  <si>
    <t>Week 42</t>
  </si>
  <si>
    <t>Week 43</t>
  </si>
  <si>
    <t>Week 44</t>
  </si>
  <si>
    <t>Week 45</t>
  </si>
  <si>
    <t>Week 46</t>
  </si>
  <si>
    <t>Week 47</t>
  </si>
  <si>
    <t>Week 48</t>
  </si>
  <si>
    <t>Week 49</t>
  </si>
  <si>
    <t>Week 50</t>
  </si>
  <si>
    <t>Week 51</t>
  </si>
  <si>
    <t>Week 52</t>
  </si>
  <si>
    <t>B1-A</t>
  </si>
  <si>
    <t>B1-B</t>
  </si>
  <si>
    <t>B1-C</t>
  </si>
  <si>
    <t>B1-D</t>
  </si>
  <si>
    <t>B1-E</t>
  </si>
  <si>
    <t>B2-A</t>
  </si>
  <si>
    <t>B2-B</t>
  </si>
  <si>
    <t>B3-A</t>
  </si>
  <si>
    <t>B3-B</t>
  </si>
  <si>
    <t>B4-A</t>
  </si>
  <si>
    <t>B4-B</t>
  </si>
  <si>
    <t>B5-A</t>
  </si>
  <si>
    <t>B5-B</t>
  </si>
  <si>
    <t>B6-A</t>
  </si>
  <si>
    <t>B6-B</t>
  </si>
  <si>
    <t>B11-A</t>
  </si>
  <si>
    <t>B11-B</t>
  </si>
  <si>
    <t>B11-C</t>
  </si>
  <si>
    <t>B12-A</t>
  </si>
  <si>
    <t>B12-B</t>
  </si>
  <si>
    <t>B12-C</t>
  </si>
  <si>
    <t>B13-A</t>
  </si>
  <si>
    <t>B13-B</t>
  </si>
  <si>
    <t>B13-C</t>
  </si>
  <si>
    <t>B14-A</t>
  </si>
  <si>
    <t>B14-B</t>
  </si>
  <si>
    <t>B14-C</t>
  </si>
  <si>
    <t>B15-A</t>
  </si>
  <si>
    <t>B15-B</t>
  </si>
  <si>
    <t>B15-C</t>
  </si>
  <si>
    <t>B21-A</t>
  </si>
  <si>
    <t>B21-B</t>
  </si>
  <si>
    <t>B22-A</t>
  </si>
  <si>
    <t>B22-B</t>
  </si>
  <si>
    <t>B23-A</t>
  </si>
  <si>
    <t>B23-B</t>
  </si>
  <si>
    <t>B24-A</t>
  </si>
  <si>
    <t>B24-B</t>
  </si>
  <si>
    <t>B25-A</t>
  </si>
  <si>
    <t>B25-B</t>
  </si>
  <si>
    <t>M1-A</t>
  </si>
  <si>
    <t>M2-A</t>
  </si>
  <si>
    <t>M3-A</t>
  </si>
  <si>
    <t>M4-A</t>
  </si>
  <si>
    <t>M5-A</t>
  </si>
  <si>
    <t>UITLOOP</t>
  </si>
  <si>
    <t>DUUR</t>
  </si>
  <si>
    <t>KOSTEN</t>
  </si>
  <si>
    <t>VVU GEMIDDELDE PER WEEK</t>
  </si>
  <si>
    <t>NETWERKDEEL</t>
  </si>
  <si>
    <t>ALTERNATIEF</t>
  </si>
  <si>
    <t>PROJECT NO</t>
  </si>
  <si>
    <t>ALTERNATIEF NO</t>
  </si>
  <si>
    <t>BEGROTING</t>
  </si>
  <si>
    <t>MINDER HINDER</t>
  </si>
  <si>
    <t>GOEDKOPER</t>
  </si>
  <si>
    <t>BEPERKTE RISICO'S</t>
  </si>
  <si>
    <t>SNELLER KLAAR</t>
  </si>
  <si>
    <t>OPBRENGST</t>
  </si>
  <si>
    <t>PROJECT VEROORZAAKT</t>
  </si>
  <si>
    <t>GROTE HINDER</t>
  </si>
  <si>
    <t>MATIGE HINDER</t>
  </si>
  <si>
    <t>ERNSTIGE HINDER</t>
  </si>
  <si>
    <t>UITLOOPKANS</t>
  </si>
  <si>
    <t>ALTERNATIEFOMSCHRIJVING</t>
  </si>
  <si>
    <t>PROJECTOMSCHRIJVING</t>
  </si>
  <si>
    <t>Portfolio nummer</t>
  </si>
  <si>
    <t>Naam</t>
  </si>
  <si>
    <t>Roze</t>
  </si>
  <si>
    <t>Blauw</t>
  </si>
  <si>
    <t>Wit</t>
  </si>
  <si>
    <t>Zwart</t>
  </si>
  <si>
    <t>Rood</t>
  </si>
  <si>
    <t>Welkomsttekst</t>
  </si>
  <si>
    <t>Taaknummers</t>
  </si>
  <si>
    <t>Kleur</t>
  </si>
  <si>
    <t>#FFAEC9</t>
  </si>
  <si>
    <t>#99D9EA</t>
  </si>
  <si>
    <t>#646464</t>
  </si>
  <si>
    <t>#ED1C24</t>
  </si>
  <si>
    <t>Welkom bij de Regio Roersteden! U bent partner van het grootschalige onderhoudsprogramma 'Netwerk op zijn Best' waarin u samen met uw netwerkpartners wordt gevraagd om de best mogelijke doorstroming  te realiseren bij het afronden van uw werkzaamheden.</t>
  </si>
  <si>
    <t>#D1D1D1</t>
  </si>
  <si>
    <t>BOETE (voor een project niet inplannen; ze krijgen geen omzet + betalen ze voor het niet leveren volgens afspraak)</t>
  </si>
  <si>
    <t xml:space="preserve">OMSCHRIJVING VAN DIT ALTERNATIEF: - De gebruiker staat centraal. - Werkzaamheden beperken de hinder voor de weggebruiker. - Het project duurt langer dan andere projecten.  </t>
  </si>
  <si>
    <t>OMSCHRIJVING VAN ALTERNATIEF: - U bespaart op materiaal, materieel en manschappen. - U behaalt een hoge opbrengst. - Verkeersmaatregelen en projectbeheersing zijn weg bezuinigd.</t>
  </si>
  <si>
    <t>OMSCHRIJVING VAN ALTERNATIEF: - Sterke projectbeheersing voorkomt ongewenst herwerk. - Er is geen risico op uitloop.</t>
  </si>
  <si>
    <t>OMSCHRIJVING VAN ALTERNATIEF: -U draait overuren om de weg snel open te stellen. - U krijgt een lichte besparing op de totale kosten - U bent korter aanwezigheid op de weg.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</si>
</sst>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$-409]#,##0.00"/>
    <numFmt numFmtId="165" formatCode="0.0"/>
    <numFmt numFmtId="166" formatCode="[$€-2]\ #,##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3">
    <xf numFmtId="0" fontId="0" fillId="0" borderId="0" xfId="0"/>
    <xf numFmtId="0" fontId="0" fillId="0" borderId="0" xfId="0" applyNumberFormat="1"/>
    <xf numFmtId="1" fontId="0" fillId="0" borderId="0" xfId="0" applyNumberFormat="1"/>
    <xf numFmtId="164" fontId="0" fillId="0" borderId="0" xfId="0" applyNumberFormat="1"/>
    <xf numFmtId="165" fontId="0" fillId="0" borderId="0" xfId="0" applyNumberFormat="1"/>
    <xf numFmtId="3" fontId="0" fillId="0" borderId="0" xfId="0" applyNumberFormat="1"/>
    <xf numFmtId="0" fontId="0" fillId="2" borderId="0" xfId="0" applyFill="1"/>
    <xf numFmtId="1" fontId="0" fillId="2" borderId="0" xfId="0" applyNumberFormat="1" applyFill="1"/>
    <xf numFmtId="165" fontId="0" fillId="2" borderId="0" xfId="0" applyNumberFormat="1" applyFill="1"/>
    <xf numFmtId="166" fontId="0" fillId="0" borderId="0" xfId="0" applyNumberFormat="1"/>
    <xf numFmtId="0" fontId="0" fillId="2" borderId="0" xfId="0" applyNumberFormat="1" applyFill="1"/>
    <xf numFmtId="9" fontId="0" fillId="0" borderId="0" xfId="1" applyFont="1"/>
    <xf numFmtId="0" fontId="0" fillId="0" borderId="0" xfId="0" applyAlignment="1">
      <alignment vertical="center"/>
    </xf>
    <xf numFmtId="0" fontId="0" fillId="3" borderId="0" xfId="0" applyFill="1"/>
    <xf numFmtId="164" fontId="0" fillId="3" borderId="0" xfId="0" applyNumberFormat="1" applyFill="1"/>
    <xf numFmtId="0" fontId="0" fillId="3" borderId="0" xfId="0" applyNumberFormat="1" applyFill="1"/>
    <xf numFmtId="10" fontId="0" fillId="0" borderId="0" xfId="0" applyNumberFormat="1"/>
    <xf numFmtId="166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NumberFormat="1" applyFill="1"/>
    <xf numFmtId="0" fontId="0" fillId="4" borderId="0" xfId="0" applyNumberFormat="1" applyFill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'TTL NORMAL'!$A$2:$B$2</c:f>
              <c:strCache>
                <c:ptCount val="1"/>
                <c:pt idx="0">
                  <c:v>B1-A 13267</c:v>
                </c:pt>
              </c:strCache>
            </c:strRef>
          </c:tx>
          <c:marker>
            <c:symbol val="none"/>
          </c:marker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NORMAL'!$C$2:$BB$2</c:f>
              <c:numCache>
                <c:formatCode>0</c:formatCode>
                <c:ptCount val="52"/>
                <c:pt idx="0">
                  <c:v>9640.4902034290644</c:v>
                </c:pt>
                <c:pt idx="1">
                  <c:v>9640.4902034290644</c:v>
                </c:pt>
                <c:pt idx="2">
                  <c:v>9640.4902034290644</c:v>
                </c:pt>
                <c:pt idx="3">
                  <c:v>9640.4902034290644</c:v>
                </c:pt>
                <c:pt idx="4">
                  <c:v>11148.49984418892</c:v>
                </c:pt>
                <c:pt idx="5">
                  <c:v>11148.49984418892</c:v>
                </c:pt>
                <c:pt idx="6">
                  <c:v>11148.49984418892</c:v>
                </c:pt>
                <c:pt idx="7">
                  <c:v>11148.49984418892</c:v>
                </c:pt>
                <c:pt idx="8">
                  <c:v>14649.236510238579</c:v>
                </c:pt>
                <c:pt idx="9">
                  <c:v>14649.236510238579</c:v>
                </c:pt>
                <c:pt idx="10">
                  <c:v>14649.236510238579</c:v>
                </c:pt>
                <c:pt idx="11">
                  <c:v>14649.236510238579</c:v>
                </c:pt>
                <c:pt idx="12">
                  <c:v>15133.953894768534</c:v>
                </c:pt>
                <c:pt idx="13">
                  <c:v>15133.953894768534</c:v>
                </c:pt>
                <c:pt idx="14">
                  <c:v>15133.953894768534</c:v>
                </c:pt>
                <c:pt idx="15">
                  <c:v>15133.953894768534</c:v>
                </c:pt>
                <c:pt idx="16">
                  <c:v>15133.953894768534</c:v>
                </c:pt>
                <c:pt idx="17">
                  <c:v>8886.4853830491393</c:v>
                </c:pt>
                <c:pt idx="18">
                  <c:v>8886.4853830491393</c:v>
                </c:pt>
                <c:pt idx="19">
                  <c:v>8886.4853830491393</c:v>
                </c:pt>
                <c:pt idx="20">
                  <c:v>8886.4853830491393</c:v>
                </c:pt>
                <c:pt idx="21">
                  <c:v>15080.096407598536</c:v>
                </c:pt>
                <c:pt idx="22">
                  <c:v>15080.096407598536</c:v>
                </c:pt>
                <c:pt idx="23">
                  <c:v>15080.096407598536</c:v>
                </c:pt>
                <c:pt idx="24">
                  <c:v>15080.096407598536</c:v>
                </c:pt>
                <c:pt idx="25">
                  <c:v>15080.096407598536</c:v>
                </c:pt>
                <c:pt idx="26">
                  <c:v>8347.9105113491914</c:v>
                </c:pt>
                <c:pt idx="27">
                  <c:v>8347.9105113491914</c:v>
                </c:pt>
                <c:pt idx="28">
                  <c:v>8347.9105113491914</c:v>
                </c:pt>
                <c:pt idx="29">
                  <c:v>8347.9105113491914</c:v>
                </c:pt>
                <c:pt idx="30">
                  <c:v>8347.9105113491914</c:v>
                </c:pt>
                <c:pt idx="31">
                  <c:v>8132.4805626692123</c:v>
                </c:pt>
                <c:pt idx="32">
                  <c:v>8132.4805626692123</c:v>
                </c:pt>
                <c:pt idx="33">
                  <c:v>8132.4805626692123</c:v>
                </c:pt>
                <c:pt idx="34">
                  <c:v>8132.4805626692123</c:v>
                </c:pt>
                <c:pt idx="35">
                  <c:v>15564.813792128491</c:v>
                </c:pt>
                <c:pt idx="36">
                  <c:v>15564.813792128491</c:v>
                </c:pt>
                <c:pt idx="37">
                  <c:v>15564.813792128491</c:v>
                </c:pt>
                <c:pt idx="38">
                  <c:v>15564.813792128491</c:v>
                </c:pt>
                <c:pt idx="39">
                  <c:v>15564.813792128491</c:v>
                </c:pt>
                <c:pt idx="40">
                  <c:v>14326.091587218611</c:v>
                </c:pt>
                <c:pt idx="41">
                  <c:v>14326.091587218611</c:v>
                </c:pt>
                <c:pt idx="42">
                  <c:v>14326.091587218611</c:v>
                </c:pt>
                <c:pt idx="43">
                  <c:v>14326.091587218611</c:v>
                </c:pt>
                <c:pt idx="44">
                  <c:v>19173.265432518143</c:v>
                </c:pt>
                <c:pt idx="45">
                  <c:v>19173.265432518143</c:v>
                </c:pt>
                <c:pt idx="46">
                  <c:v>19173.265432518143</c:v>
                </c:pt>
                <c:pt idx="47">
                  <c:v>19173.265432518143</c:v>
                </c:pt>
                <c:pt idx="48">
                  <c:v>18850.120509498171</c:v>
                </c:pt>
                <c:pt idx="49">
                  <c:v>18850.120509498171</c:v>
                </c:pt>
                <c:pt idx="50">
                  <c:v>18850.120509498171</c:v>
                </c:pt>
                <c:pt idx="51">
                  <c:v>18850.120509498171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'TTL NORMAL'!$A$3:$B$3</c:f>
              <c:strCache>
                <c:ptCount val="1"/>
                <c:pt idx="0">
                  <c:v>B1-B 13267</c:v>
                </c:pt>
              </c:strCache>
            </c:strRef>
          </c:tx>
          <c:marker>
            <c:symbol val="none"/>
          </c:marker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NORMAL'!$C$3:$BB$3</c:f>
              <c:numCache>
                <c:formatCode>0</c:formatCode>
                <c:ptCount val="52"/>
                <c:pt idx="0">
                  <c:v>9640.4902034290644</c:v>
                </c:pt>
                <c:pt idx="1">
                  <c:v>9640.4902034290644</c:v>
                </c:pt>
                <c:pt idx="2">
                  <c:v>9640.4902034290644</c:v>
                </c:pt>
                <c:pt idx="3">
                  <c:v>9640.4902034290644</c:v>
                </c:pt>
                <c:pt idx="4">
                  <c:v>11148.49984418892</c:v>
                </c:pt>
                <c:pt idx="5">
                  <c:v>11148.49984418892</c:v>
                </c:pt>
                <c:pt idx="6">
                  <c:v>11148.49984418892</c:v>
                </c:pt>
                <c:pt idx="7">
                  <c:v>11148.49984418892</c:v>
                </c:pt>
                <c:pt idx="8">
                  <c:v>14649.236510238579</c:v>
                </c:pt>
                <c:pt idx="9">
                  <c:v>14649.236510238579</c:v>
                </c:pt>
                <c:pt idx="10">
                  <c:v>14649.236510238579</c:v>
                </c:pt>
                <c:pt idx="11">
                  <c:v>14649.236510238579</c:v>
                </c:pt>
                <c:pt idx="12">
                  <c:v>15133.953894768534</c:v>
                </c:pt>
                <c:pt idx="13">
                  <c:v>15133.953894768534</c:v>
                </c:pt>
                <c:pt idx="14">
                  <c:v>15133.953894768534</c:v>
                </c:pt>
                <c:pt idx="15">
                  <c:v>15133.953894768534</c:v>
                </c:pt>
                <c:pt idx="16">
                  <c:v>15133.953894768534</c:v>
                </c:pt>
                <c:pt idx="17">
                  <c:v>8886.4853830491393</c:v>
                </c:pt>
                <c:pt idx="18">
                  <c:v>8886.4853830491393</c:v>
                </c:pt>
                <c:pt idx="19">
                  <c:v>8886.4853830491393</c:v>
                </c:pt>
                <c:pt idx="20">
                  <c:v>8886.4853830491393</c:v>
                </c:pt>
                <c:pt idx="21">
                  <c:v>15080.096407598536</c:v>
                </c:pt>
                <c:pt idx="22">
                  <c:v>15080.096407598536</c:v>
                </c:pt>
                <c:pt idx="23">
                  <c:v>15080.096407598536</c:v>
                </c:pt>
                <c:pt idx="24">
                  <c:v>15080.096407598536</c:v>
                </c:pt>
                <c:pt idx="25">
                  <c:v>15080.096407598536</c:v>
                </c:pt>
                <c:pt idx="26">
                  <c:v>8347.9105113491914</c:v>
                </c:pt>
                <c:pt idx="27">
                  <c:v>8347.9105113491914</c:v>
                </c:pt>
                <c:pt idx="28">
                  <c:v>8347.9105113491914</c:v>
                </c:pt>
                <c:pt idx="29">
                  <c:v>8347.9105113491914</c:v>
                </c:pt>
                <c:pt idx="30">
                  <c:v>8347.9105113491914</c:v>
                </c:pt>
                <c:pt idx="31">
                  <c:v>8132.4805626692123</c:v>
                </c:pt>
                <c:pt idx="32">
                  <c:v>8132.4805626692123</c:v>
                </c:pt>
                <c:pt idx="33">
                  <c:v>8132.4805626692123</c:v>
                </c:pt>
                <c:pt idx="34">
                  <c:v>8132.4805626692123</c:v>
                </c:pt>
                <c:pt idx="35">
                  <c:v>15564.813792128491</c:v>
                </c:pt>
                <c:pt idx="36">
                  <c:v>15564.813792128491</c:v>
                </c:pt>
                <c:pt idx="37">
                  <c:v>15564.813792128491</c:v>
                </c:pt>
                <c:pt idx="38">
                  <c:v>15564.813792128491</c:v>
                </c:pt>
                <c:pt idx="39">
                  <c:v>15564.813792128491</c:v>
                </c:pt>
                <c:pt idx="40">
                  <c:v>14326.091587218611</c:v>
                </c:pt>
                <c:pt idx="41">
                  <c:v>14326.091587218611</c:v>
                </c:pt>
                <c:pt idx="42">
                  <c:v>14326.091587218611</c:v>
                </c:pt>
                <c:pt idx="43">
                  <c:v>14326.091587218611</c:v>
                </c:pt>
                <c:pt idx="44">
                  <c:v>19173.265432518143</c:v>
                </c:pt>
                <c:pt idx="45">
                  <c:v>19173.265432518143</c:v>
                </c:pt>
                <c:pt idx="46">
                  <c:v>19173.265432518143</c:v>
                </c:pt>
                <c:pt idx="47">
                  <c:v>19173.265432518143</c:v>
                </c:pt>
                <c:pt idx="48">
                  <c:v>18850.120509498171</c:v>
                </c:pt>
                <c:pt idx="49">
                  <c:v>18850.120509498171</c:v>
                </c:pt>
                <c:pt idx="50">
                  <c:v>18850.120509498171</c:v>
                </c:pt>
                <c:pt idx="51">
                  <c:v>18850.120509498171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'TTL NORMAL'!$A$4:$B$4</c:f>
              <c:strCache>
                <c:ptCount val="1"/>
                <c:pt idx="0">
                  <c:v>B1-C 13267</c:v>
                </c:pt>
              </c:strCache>
            </c:strRef>
          </c:tx>
          <c:marker>
            <c:symbol val="none"/>
          </c:marker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NORMAL'!$C$4:$BB$4</c:f>
              <c:numCache>
                <c:formatCode>0</c:formatCode>
                <c:ptCount val="52"/>
                <c:pt idx="0">
                  <c:v>9640.4902034290644</c:v>
                </c:pt>
                <c:pt idx="1">
                  <c:v>9640.4902034290644</c:v>
                </c:pt>
                <c:pt idx="2">
                  <c:v>9640.4902034290644</c:v>
                </c:pt>
                <c:pt idx="3">
                  <c:v>9640.4902034290644</c:v>
                </c:pt>
                <c:pt idx="4">
                  <c:v>11148.49984418892</c:v>
                </c:pt>
                <c:pt idx="5">
                  <c:v>11148.49984418892</c:v>
                </c:pt>
                <c:pt idx="6">
                  <c:v>11148.49984418892</c:v>
                </c:pt>
                <c:pt idx="7">
                  <c:v>11148.49984418892</c:v>
                </c:pt>
                <c:pt idx="8">
                  <c:v>14649.236510238579</c:v>
                </c:pt>
                <c:pt idx="9">
                  <c:v>14649.236510238579</c:v>
                </c:pt>
                <c:pt idx="10">
                  <c:v>14649.236510238579</c:v>
                </c:pt>
                <c:pt idx="11">
                  <c:v>14649.236510238579</c:v>
                </c:pt>
                <c:pt idx="12">
                  <c:v>15133.953894768534</c:v>
                </c:pt>
                <c:pt idx="13">
                  <c:v>15133.953894768534</c:v>
                </c:pt>
                <c:pt idx="14">
                  <c:v>15133.953894768534</c:v>
                </c:pt>
                <c:pt idx="15">
                  <c:v>15133.953894768534</c:v>
                </c:pt>
                <c:pt idx="16">
                  <c:v>15133.953894768534</c:v>
                </c:pt>
                <c:pt idx="17">
                  <c:v>8886.4853830491393</c:v>
                </c:pt>
                <c:pt idx="18">
                  <c:v>8886.4853830491393</c:v>
                </c:pt>
                <c:pt idx="19">
                  <c:v>8886.4853830491393</c:v>
                </c:pt>
                <c:pt idx="20">
                  <c:v>8886.4853830491393</c:v>
                </c:pt>
                <c:pt idx="21">
                  <c:v>15080.096407598536</c:v>
                </c:pt>
                <c:pt idx="22">
                  <c:v>15080.096407598536</c:v>
                </c:pt>
                <c:pt idx="23">
                  <c:v>15080.096407598536</c:v>
                </c:pt>
                <c:pt idx="24">
                  <c:v>15080.096407598536</c:v>
                </c:pt>
                <c:pt idx="25">
                  <c:v>15080.096407598536</c:v>
                </c:pt>
                <c:pt idx="26">
                  <c:v>8347.9105113491914</c:v>
                </c:pt>
                <c:pt idx="27">
                  <c:v>8347.9105113491914</c:v>
                </c:pt>
                <c:pt idx="28">
                  <c:v>8347.9105113491914</c:v>
                </c:pt>
                <c:pt idx="29">
                  <c:v>8347.9105113491914</c:v>
                </c:pt>
                <c:pt idx="30">
                  <c:v>8347.9105113491914</c:v>
                </c:pt>
                <c:pt idx="31">
                  <c:v>8132.4805626692123</c:v>
                </c:pt>
                <c:pt idx="32">
                  <c:v>8132.4805626692123</c:v>
                </c:pt>
                <c:pt idx="33">
                  <c:v>8132.4805626692123</c:v>
                </c:pt>
                <c:pt idx="34">
                  <c:v>8132.4805626692123</c:v>
                </c:pt>
                <c:pt idx="35">
                  <c:v>15564.813792128491</c:v>
                </c:pt>
                <c:pt idx="36">
                  <c:v>15564.813792128491</c:v>
                </c:pt>
                <c:pt idx="37">
                  <c:v>15564.813792128491</c:v>
                </c:pt>
                <c:pt idx="38">
                  <c:v>15564.813792128491</c:v>
                </c:pt>
                <c:pt idx="39">
                  <c:v>15564.813792128491</c:v>
                </c:pt>
                <c:pt idx="40">
                  <c:v>14326.091587218611</c:v>
                </c:pt>
                <c:pt idx="41">
                  <c:v>14326.091587218611</c:v>
                </c:pt>
                <c:pt idx="42">
                  <c:v>14326.091587218611</c:v>
                </c:pt>
                <c:pt idx="43">
                  <c:v>14326.091587218611</c:v>
                </c:pt>
                <c:pt idx="44">
                  <c:v>19173.265432518143</c:v>
                </c:pt>
                <c:pt idx="45">
                  <c:v>19173.265432518143</c:v>
                </c:pt>
                <c:pt idx="46">
                  <c:v>19173.265432518143</c:v>
                </c:pt>
                <c:pt idx="47">
                  <c:v>19173.265432518143</c:v>
                </c:pt>
                <c:pt idx="48">
                  <c:v>18850.120509498171</c:v>
                </c:pt>
                <c:pt idx="49">
                  <c:v>18850.120509498171</c:v>
                </c:pt>
                <c:pt idx="50">
                  <c:v>18850.120509498171</c:v>
                </c:pt>
                <c:pt idx="51">
                  <c:v>18850.120509498171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'TTL NORMAL'!$A$5:$B$5</c:f>
              <c:strCache>
                <c:ptCount val="1"/>
                <c:pt idx="0">
                  <c:v>B1-D 13267</c:v>
                </c:pt>
              </c:strCache>
            </c:strRef>
          </c:tx>
          <c:marker>
            <c:symbol val="none"/>
          </c:marker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NORMAL'!$C$5:$BB$5</c:f>
              <c:numCache>
                <c:formatCode>0</c:formatCode>
                <c:ptCount val="52"/>
                <c:pt idx="0">
                  <c:v>9640.4902034290644</c:v>
                </c:pt>
                <c:pt idx="1">
                  <c:v>9640.4902034290644</c:v>
                </c:pt>
                <c:pt idx="2">
                  <c:v>9640.4902034290644</c:v>
                </c:pt>
                <c:pt idx="3">
                  <c:v>9640.4902034290644</c:v>
                </c:pt>
                <c:pt idx="4">
                  <c:v>11148.49984418892</c:v>
                </c:pt>
                <c:pt idx="5">
                  <c:v>11148.49984418892</c:v>
                </c:pt>
                <c:pt idx="6">
                  <c:v>11148.49984418892</c:v>
                </c:pt>
                <c:pt idx="7">
                  <c:v>11148.49984418892</c:v>
                </c:pt>
                <c:pt idx="8">
                  <c:v>14649.236510238579</c:v>
                </c:pt>
                <c:pt idx="9">
                  <c:v>14649.236510238579</c:v>
                </c:pt>
                <c:pt idx="10">
                  <c:v>14649.236510238579</c:v>
                </c:pt>
                <c:pt idx="11">
                  <c:v>14649.236510238579</c:v>
                </c:pt>
                <c:pt idx="12">
                  <c:v>15133.953894768534</c:v>
                </c:pt>
                <c:pt idx="13">
                  <c:v>15133.953894768534</c:v>
                </c:pt>
                <c:pt idx="14">
                  <c:v>15133.953894768534</c:v>
                </c:pt>
                <c:pt idx="15">
                  <c:v>15133.953894768534</c:v>
                </c:pt>
                <c:pt idx="16">
                  <c:v>15133.953894768534</c:v>
                </c:pt>
                <c:pt idx="17">
                  <c:v>8886.4853830491393</c:v>
                </c:pt>
                <c:pt idx="18">
                  <c:v>8886.4853830491393</c:v>
                </c:pt>
                <c:pt idx="19">
                  <c:v>8886.4853830491393</c:v>
                </c:pt>
                <c:pt idx="20">
                  <c:v>8886.4853830491393</c:v>
                </c:pt>
                <c:pt idx="21">
                  <c:v>15080.096407598536</c:v>
                </c:pt>
                <c:pt idx="22">
                  <c:v>15080.096407598536</c:v>
                </c:pt>
                <c:pt idx="23">
                  <c:v>15080.096407598536</c:v>
                </c:pt>
                <c:pt idx="24">
                  <c:v>15080.096407598536</c:v>
                </c:pt>
                <c:pt idx="25">
                  <c:v>15080.096407598536</c:v>
                </c:pt>
                <c:pt idx="26">
                  <c:v>8347.9105113491914</c:v>
                </c:pt>
                <c:pt idx="27">
                  <c:v>8347.9105113491914</c:v>
                </c:pt>
                <c:pt idx="28">
                  <c:v>8347.9105113491914</c:v>
                </c:pt>
                <c:pt idx="29">
                  <c:v>8347.9105113491914</c:v>
                </c:pt>
                <c:pt idx="30">
                  <c:v>8347.9105113491914</c:v>
                </c:pt>
                <c:pt idx="31">
                  <c:v>8132.4805626692123</c:v>
                </c:pt>
                <c:pt idx="32">
                  <c:v>8132.4805626692123</c:v>
                </c:pt>
                <c:pt idx="33">
                  <c:v>8132.4805626692123</c:v>
                </c:pt>
                <c:pt idx="34">
                  <c:v>8132.4805626692123</c:v>
                </c:pt>
                <c:pt idx="35">
                  <c:v>15564.813792128491</c:v>
                </c:pt>
                <c:pt idx="36">
                  <c:v>15564.813792128491</c:v>
                </c:pt>
                <c:pt idx="37">
                  <c:v>15564.813792128491</c:v>
                </c:pt>
                <c:pt idx="38">
                  <c:v>15564.813792128491</c:v>
                </c:pt>
                <c:pt idx="39">
                  <c:v>15564.813792128491</c:v>
                </c:pt>
                <c:pt idx="40">
                  <c:v>14326.091587218611</c:v>
                </c:pt>
                <c:pt idx="41">
                  <c:v>14326.091587218611</c:v>
                </c:pt>
                <c:pt idx="42">
                  <c:v>14326.091587218611</c:v>
                </c:pt>
                <c:pt idx="43">
                  <c:v>14326.091587218611</c:v>
                </c:pt>
                <c:pt idx="44">
                  <c:v>19173.265432518143</c:v>
                </c:pt>
                <c:pt idx="45">
                  <c:v>19173.265432518143</c:v>
                </c:pt>
                <c:pt idx="46">
                  <c:v>19173.265432518143</c:v>
                </c:pt>
                <c:pt idx="47">
                  <c:v>19173.265432518143</c:v>
                </c:pt>
                <c:pt idx="48">
                  <c:v>18850.120509498171</c:v>
                </c:pt>
                <c:pt idx="49">
                  <c:v>18850.120509498171</c:v>
                </c:pt>
                <c:pt idx="50">
                  <c:v>18850.120509498171</c:v>
                </c:pt>
                <c:pt idx="51">
                  <c:v>18850.120509498171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'TTL NORMAL'!$A$6:$B$6</c:f>
              <c:strCache>
                <c:ptCount val="1"/>
                <c:pt idx="0">
                  <c:v>B1-E 13267</c:v>
                </c:pt>
              </c:strCache>
            </c:strRef>
          </c:tx>
          <c:marker>
            <c:symbol val="none"/>
          </c:marker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NORMAL'!$C$6:$BB$6</c:f>
              <c:numCache>
                <c:formatCode>0</c:formatCode>
                <c:ptCount val="52"/>
                <c:pt idx="0">
                  <c:v>9640.4902034290644</c:v>
                </c:pt>
                <c:pt idx="1">
                  <c:v>9640.4902034290644</c:v>
                </c:pt>
                <c:pt idx="2">
                  <c:v>9640.4902034290644</c:v>
                </c:pt>
                <c:pt idx="3">
                  <c:v>9640.4902034290644</c:v>
                </c:pt>
                <c:pt idx="4">
                  <c:v>11148.49984418892</c:v>
                </c:pt>
                <c:pt idx="5">
                  <c:v>11148.49984418892</c:v>
                </c:pt>
                <c:pt idx="6">
                  <c:v>11148.49984418892</c:v>
                </c:pt>
                <c:pt idx="7">
                  <c:v>11148.49984418892</c:v>
                </c:pt>
                <c:pt idx="8">
                  <c:v>14649.236510238579</c:v>
                </c:pt>
                <c:pt idx="9">
                  <c:v>14649.236510238579</c:v>
                </c:pt>
                <c:pt idx="10">
                  <c:v>14649.236510238579</c:v>
                </c:pt>
                <c:pt idx="11">
                  <c:v>14649.236510238579</c:v>
                </c:pt>
                <c:pt idx="12">
                  <c:v>15133.953894768534</c:v>
                </c:pt>
                <c:pt idx="13">
                  <c:v>15133.953894768534</c:v>
                </c:pt>
                <c:pt idx="14">
                  <c:v>15133.953894768534</c:v>
                </c:pt>
                <c:pt idx="15">
                  <c:v>15133.953894768534</c:v>
                </c:pt>
                <c:pt idx="16">
                  <c:v>15133.953894768534</c:v>
                </c:pt>
                <c:pt idx="17">
                  <c:v>8886.4853830491393</c:v>
                </c:pt>
                <c:pt idx="18">
                  <c:v>8886.4853830491393</c:v>
                </c:pt>
                <c:pt idx="19">
                  <c:v>8886.4853830491393</c:v>
                </c:pt>
                <c:pt idx="20">
                  <c:v>8886.4853830491393</c:v>
                </c:pt>
                <c:pt idx="21">
                  <c:v>15080.096407598536</c:v>
                </c:pt>
                <c:pt idx="22">
                  <c:v>15080.096407598536</c:v>
                </c:pt>
                <c:pt idx="23">
                  <c:v>15080.096407598536</c:v>
                </c:pt>
                <c:pt idx="24">
                  <c:v>15080.096407598536</c:v>
                </c:pt>
                <c:pt idx="25">
                  <c:v>15080.096407598536</c:v>
                </c:pt>
                <c:pt idx="26">
                  <c:v>8347.9105113491914</c:v>
                </c:pt>
                <c:pt idx="27">
                  <c:v>8347.9105113491914</c:v>
                </c:pt>
                <c:pt idx="28">
                  <c:v>8347.9105113491914</c:v>
                </c:pt>
                <c:pt idx="29">
                  <c:v>8347.9105113491914</c:v>
                </c:pt>
                <c:pt idx="30">
                  <c:v>8347.9105113491914</c:v>
                </c:pt>
                <c:pt idx="31">
                  <c:v>8132.4805626692123</c:v>
                </c:pt>
                <c:pt idx="32">
                  <c:v>8132.4805626692123</c:v>
                </c:pt>
                <c:pt idx="33">
                  <c:v>8132.4805626692123</c:v>
                </c:pt>
                <c:pt idx="34">
                  <c:v>8132.4805626692123</c:v>
                </c:pt>
                <c:pt idx="35">
                  <c:v>15564.813792128491</c:v>
                </c:pt>
                <c:pt idx="36">
                  <c:v>15564.813792128491</c:v>
                </c:pt>
                <c:pt idx="37">
                  <c:v>15564.813792128491</c:v>
                </c:pt>
                <c:pt idx="38">
                  <c:v>15564.813792128491</c:v>
                </c:pt>
                <c:pt idx="39">
                  <c:v>15564.813792128491</c:v>
                </c:pt>
                <c:pt idx="40">
                  <c:v>14326.091587218611</c:v>
                </c:pt>
                <c:pt idx="41">
                  <c:v>14326.091587218611</c:v>
                </c:pt>
                <c:pt idx="42">
                  <c:v>14326.091587218611</c:v>
                </c:pt>
                <c:pt idx="43">
                  <c:v>14326.091587218611</c:v>
                </c:pt>
                <c:pt idx="44">
                  <c:v>19173.265432518143</c:v>
                </c:pt>
                <c:pt idx="45">
                  <c:v>19173.265432518143</c:v>
                </c:pt>
                <c:pt idx="46">
                  <c:v>19173.265432518143</c:v>
                </c:pt>
                <c:pt idx="47">
                  <c:v>19173.265432518143</c:v>
                </c:pt>
                <c:pt idx="48">
                  <c:v>18850.120509498171</c:v>
                </c:pt>
                <c:pt idx="49">
                  <c:v>18850.120509498171</c:v>
                </c:pt>
                <c:pt idx="50">
                  <c:v>18850.120509498171</c:v>
                </c:pt>
                <c:pt idx="51">
                  <c:v>18850.120509498171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'TTL NORMAL'!$A$7:$B$7</c:f>
              <c:strCache>
                <c:ptCount val="1"/>
                <c:pt idx="0">
                  <c:v>B2-A 2322</c:v>
                </c:pt>
              </c:strCache>
            </c:strRef>
          </c:tx>
          <c:marker>
            <c:symbol val="none"/>
          </c:marker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NORMAL'!$C$7:$BB$7</c:f>
              <c:numCache>
                <c:formatCode>0</c:formatCode>
                <c:ptCount val="52"/>
                <c:pt idx="0">
                  <c:v>1687.085785600086</c:v>
                </c:pt>
                <c:pt idx="1">
                  <c:v>1687.085785600086</c:v>
                </c:pt>
                <c:pt idx="2">
                  <c:v>1687.085785600086</c:v>
                </c:pt>
                <c:pt idx="3">
                  <c:v>1687.085785600086</c:v>
                </c:pt>
                <c:pt idx="4">
                  <c:v>1950.9874727330609</c:v>
                </c:pt>
                <c:pt idx="5">
                  <c:v>1950.9874727330609</c:v>
                </c:pt>
                <c:pt idx="6">
                  <c:v>1950.9874727330609</c:v>
                </c:pt>
                <c:pt idx="7">
                  <c:v>1950.9874727330609</c:v>
                </c:pt>
                <c:pt idx="8">
                  <c:v>2563.6163892917511</c:v>
                </c:pt>
                <c:pt idx="9">
                  <c:v>2563.6163892917511</c:v>
                </c:pt>
                <c:pt idx="10">
                  <c:v>2563.6163892917511</c:v>
                </c:pt>
                <c:pt idx="11">
                  <c:v>2563.6163892917511</c:v>
                </c:pt>
                <c:pt idx="12">
                  <c:v>2648.441931584493</c:v>
                </c:pt>
                <c:pt idx="13">
                  <c:v>2648.441931584493</c:v>
                </c:pt>
                <c:pt idx="14">
                  <c:v>2648.441931584493</c:v>
                </c:pt>
                <c:pt idx="15">
                  <c:v>2648.441931584493</c:v>
                </c:pt>
                <c:pt idx="16">
                  <c:v>2648.441931584493</c:v>
                </c:pt>
                <c:pt idx="17">
                  <c:v>1555.1349420335991</c:v>
                </c:pt>
                <c:pt idx="18">
                  <c:v>1555.1349420335991</c:v>
                </c:pt>
                <c:pt idx="19">
                  <c:v>1555.1349420335991</c:v>
                </c:pt>
                <c:pt idx="20">
                  <c:v>1555.1349420335991</c:v>
                </c:pt>
                <c:pt idx="21">
                  <c:v>2639.0168713297435</c:v>
                </c:pt>
                <c:pt idx="22">
                  <c:v>2639.0168713297435</c:v>
                </c:pt>
                <c:pt idx="23">
                  <c:v>2639.0168713297435</c:v>
                </c:pt>
                <c:pt idx="24">
                  <c:v>2639.0168713297435</c:v>
                </c:pt>
                <c:pt idx="25">
                  <c:v>2639.0168713297435</c:v>
                </c:pt>
                <c:pt idx="26">
                  <c:v>1460.8843394861083</c:v>
                </c:pt>
                <c:pt idx="27">
                  <c:v>1460.8843394861083</c:v>
                </c:pt>
                <c:pt idx="28">
                  <c:v>1460.8843394861083</c:v>
                </c:pt>
                <c:pt idx="29">
                  <c:v>1460.8843394861083</c:v>
                </c:pt>
                <c:pt idx="30">
                  <c:v>1460.8843394861083</c:v>
                </c:pt>
                <c:pt idx="31">
                  <c:v>1423.1840984671119</c:v>
                </c:pt>
                <c:pt idx="32">
                  <c:v>1423.1840984671119</c:v>
                </c:pt>
                <c:pt idx="33">
                  <c:v>1423.1840984671119</c:v>
                </c:pt>
                <c:pt idx="34">
                  <c:v>1423.1840984671119</c:v>
                </c:pt>
                <c:pt idx="35">
                  <c:v>2723.8424136224858</c:v>
                </c:pt>
                <c:pt idx="36">
                  <c:v>2723.8424136224858</c:v>
                </c:pt>
                <c:pt idx="37">
                  <c:v>2723.8424136224858</c:v>
                </c:pt>
                <c:pt idx="38">
                  <c:v>2723.8424136224858</c:v>
                </c:pt>
                <c:pt idx="39">
                  <c:v>2723.8424136224858</c:v>
                </c:pt>
                <c:pt idx="40">
                  <c:v>2507.0660277632564</c:v>
                </c:pt>
                <c:pt idx="41">
                  <c:v>2507.0660277632564</c:v>
                </c:pt>
                <c:pt idx="42">
                  <c:v>2507.0660277632564</c:v>
                </c:pt>
                <c:pt idx="43">
                  <c:v>2507.0660277632564</c:v>
                </c:pt>
                <c:pt idx="44">
                  <c:v>3355.3214506906743</c:v>
                </c:pt>
                <c:pt idx="45">
                  <c:v>3355.3214506906743</c:v>
                </c:pt>
                <c:pt idx="46">
                  <c:v>3355.3214506906743</c:v>
                </c:pt>
                <c:pt idx="47">
                  <c:v>3355.3214506906743</c:v>
                </c:pt>
                <c:pt idx="48">
                  <c:v>3298.7710891621796</c:v>
                </c:pt>
                <c:pt idx="49">
                  <c:v>3298.7710891621796</c:v>
                </c:pt>
                <c:pt idx="50">
                  <c:v>3298.7710891621796</c:v>
                </c:pt>
                <c:pt idx="51">
                  <c:v>3298.7710891621796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'TTL NORMAL'!$A$8:$B$8</c:f>
              <c:strCache>
                <c:ptCount val="1"/>
                <c:pt idx="0">
                  <c:v>B2-B 22885</c:v>
                </c:pt>
              </c:strCache>
            </c:strRef>
          </c:tx>
          <c:marker>
            <c:symbol val="none"/>
          </c:marker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NORMAL'!$C$8:$BB$8</c:f>
              <c:numCache>
                <c:formatCode>0</c:formatCode>
                <c:ptCount val="52"/>
                <c:pt idx="0">
                  <c:v>16629.845600915138</c:v>
                </c:pt>
                <c:pt idx="1">
                  <c:v>16629.845600915138</c:v>
                </c:pt>
                <c:pt idx="2">
                  <c:v>16629.845600915138</c:v>
                </c:pt>
                <c:pt idx="3">
                  <c:v>16629.845600915138</c:v>
                </c:pt>
                <c:pt idx="4">
                  <c:v>19231.162231225888</c:v>
                </c:pt>
                <c:pt idx="5">
                  <c:v>19231.162231225888</c:v>
                </c:pt>
                <c:pt idx="6">
                  <c:v>19231.162231225888</c:v>
                </c:pt>
                <c:pt idx="7">
                  <c:v>19231.162231225888</c:v>
                </c:pt>
                <c:pt idx="8">
                  <c:v>25269.932980161549</c:v>
                </c:pt>
                <c:pt idx="9">
                  <c:v>25269.932980161549</c:v>
                </c:pt>
                <c:pt idx="10">
                  <c:v>25269.932980161549</c:v>
                </c:pt>
                <c:pt idx="11">
                  <c:v>25269.932980161549</c:v>
                </c:pt>
                <c:pt idx="12">
                  <c:v>26106.070468475722</c:v>
                </c:pt>
                <c:pt idx="13">
                  <c:v>26106.070468475722</c:v>
                </c:pt>
                <c:pt idx="14">
                  <c:v>26106.070468475722</c:v>
                </c:pt>
                <c:pt idx="15">
                  <c:v>26106.070468475722</c:v>
                </c:pt>
                <c:pt idx="16">
                  <c:v>26106.070468475722</c:v>
                </c:pt>
                <c:pt idx="17">
                  <c:v>15329.187285759765</c:v>
                </c:pt>
                <c:pt idx="18">
                  <c:v>15329.187285759765</c:v>
                </c:pt>
                <c:pt idx="19">
                  <c:v>15329.187285759765</c:v>
                </c:pt>
                <c:pt idx="20">
                  <c:v>15329.187285759765</c:v>
                </c:pt>
                <c:pt idx="21">
                  <c:v>26013.166303107479</c:v>
                </c:pt>
                <c:pt idx="22">
                  <c:v>26013.166303107479</c:v>
                </c:pt>
                <c:pt idx="23">
                  <c:v>26013.166303107479</c:v>
                </c:pt>
                <c:pt idx="24">
                  <c:v>26013.166303107479</c:v>
                </c:pt>
                <c:pt idx="25">
                  <c:v>26013.166303107479</c:v>
                </c:pt>
                <c:pt idx="26">
                  <c:v>14400.145632077356</c:v>
                </c:pt>
                <c:pt idx="27">
                  <c:v>14400.145632077356</c:v>
                </c:pt>
                <c:pt idx="28">
                  <c:v>14400.145632077356</c:v>
                </c:pt>
                <c:pt idx="29">
                  <c:v>14400.145632077356</c:v>
                </c:pt>
                <c:pt idx="30">
                  <c:v>14400.145632077356</c:v>
                </c:pt>
                <c:pt idx="31">
                  <c:v>14028.528970604391</c:v>
                </c:pt>
                <c:pt idx="32">
                  <c:v>14028.528970604391</c:v>
                </c:pt>
                <c:pt idx="33">
                  <c:v>14028.528970604391</c:v>
                </c:pt>
                <c:pt idx="34">
                  <c:v>14028.528970604391</c:v>
                </c:pt>
                <c:pt idx="35">
                  <c:v>26849.303791421651</c:v>
                </c:pt>
                <c:pt idx="36">
                  <c:v>26849.303791421651</c:v>
                </c:pt>
                <c:pt idx="37">
                  <c:v>26849.303791421651</c:v>
                </c:pt>
                <c:pt idx="38">
                  <c:v>26849.303791421651</c:v>
                </c:pt>
                <c:pt idx="39">
                  <c:v>26849.303791421651</c:v>
                </c:pt>
                <c:pt idx="40">
                  <c:v>24712.507987952104</c:v>
                </c:pt>
                <c:pt idx="41">
                  <c:v>24712.507987952104</c:v>
                </c:pt>
                <c:pt idx="42">
                  <c:v>24712.507987952104</c:v>
                </c:pt>
                <c:pt idx="43">
                  <c:v>24712.507987952104</c:v>
                </c:pt>
                <c:pt idx="44">
                  <c:v>33073.882871093796</c:v>
                </c:pt>
                <c:pt idx="45">
                  <c:v>33073.882871093796</c:v>
                </c:pt>
                <c:pt idx="46">
                  <c:v>33073.882871093796</c:v>
                </c:pt>
                <c:pt idx="47">
                  <c:v>33073.882871093796</c:v>
                </c:pt>
                <c:pt idx="48">
                  <c:v>32516.457878884346</c:v>
                </c:pt>
                <c:pt idx="49">
                  <c:v>32516.457878884346</c:v>
                </c:pt>
                <c:pt idx="50">
                  <c:v>32516.457878884346</c:v>
                </c:pt>
                <c:pt idx="51">
                  <c:v>32516.457878884346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'TTL NORMAL'!$A$9:$B$9</c:f>
              <c:strCache>
                <c:ptCount val="1"/>
                <c:pt idx="0">
                  <c:v>B3-A 2322</c:v>
                </c:pt>
              </c:strCache>
            </c:strRef>
          </c:tx>
          <c:marker>
            <c:symbol val="none"/>
          </c:marker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NORMAL'!$C$9:$BB$9</c:f>
              <c:numCache>
                <c:formatCode>0</c:formatCode>
                <c:ptCount val="52"/>
                <c:pt idx="0">
                  <c:v>1687.085785600086</c:v>
                </c:pt>
                <c:pt idx="1">
                  <c:v>1687.085785600086</c:v>
                </c:pt>
                <c:pt idx="2">
                  <c:v>1687.085785600086</c:v>
                </c:pt>
                <c:pt idx="3">
                  <c:v>1687.085785600086</c:v>
                </c:pt>
                <c:pt idx="4">
                  <c:v>1950.9874727330609</c:v>
                </c:pt>
                <c:pt idx="5">
                  <c:v>1950.9874727330609</c:v>
                </c:pt>
                <c:pt idx="6">
                  <c:v>1950.9874727330609</c:v>
                </c:pt>
                <c:pt idx="7">
                  <c:v>1950.9874727330609</c:v>
                </c:pt>
                <c:pt idx="8">
                  <c:v>2563.6163892917511</c:v>
                </c:pt>
                <c:pt idx="9">
                  <c:v>2563.6163892917511</c:v>
                </c:pt>
                <c:pt idx="10">
                  <c:v>2563.6163892917511</c:v>
                </c:pt>
                <c:pt idx="11">
                  <c:v>2563.6163892917511</c:v>
                </c:pt>
                <c:pt idx="12">
                  <c:v>2648.441931584493</c:v>
                </c:pt>
                <c:pt idx="13">
                  <c:v>2648.441931584493</c:v>
                </c:pt>
                <c:pt idx="14">
                  <c:v>2648.441931584493</c:v>
                </c:pt>
                <c:pt idx="15">
                  <c:v>2648.441931584493</c:v>
                </c:pt>
                <c:pt idx="16">
                  <c:v>2648.441931584493</c:v>
                </c:pt>
                <c:pt idx="17">
                  <c:v>1555.1349420335991</c:v>
                </c:pt>
                <c:pt idx="18">
                  <c:v>1555.1349420335991</c:v>
                </c:pt>
                <c:pt idx="19">
                  <c:v>1555.1349420335991</c:v>
                </c:pt>
                <c:pt idx="20">
                  <c:v>1555.1349420335991</c:v>
                </c:pt>
                <c:pt idx="21">
                  <c:v>2639.0168713297435</c:v>
                </c:pt>
                <c:pt idx="22">
                  <c:v>2639.0168713297435</c:v>
                </c:pt>
                <c:pt idx="23">
                  <c:v>2639.0168713297435</c:v>
                </c:pt>
                <c:pt idx="24">
                  <c:v>2639.0168713297435</c:v>
                </c:pt>
                <c:pt idx="25">
                  <c:v>2639.0168713297435</c:v>
                </c:pt>
                <c:pt idx="26">
                  <c:v>1460.8843394861083</c:v>
                </c:pt>
                <c:pt idx="27">
                  <c:v>1460.8843394861083</c:v>
                </c:pt>
                <c:pt idx="28">
                  <c:v>1460.8843394861083</c:v>
                </c:pt>
                <c:pt idx="29">
                  <c:v>1460.8843394861083</c:v>
                </c:pt>
                <c:pt idx="30">
                  <c:v>1460.8843394861083</c:v>
                </c:pt>
                <c:pt idx="31">
                  <c:v>1423.1840984671119</c:v>
                </c:pt>
                <c:pt idx="32">
                  <c:v>1423.1840984671119</c:v>
                </c:pt>
                <c:pt idx="33">
                  <c:v>1423.1840984671119</c:v>
                </c:pt>
                <c:pt idx="34">
                  <c:v>1423.1840984671119</c:v>
                </c:pt>
                <c:pt idx="35">
                  <c:v>2723.8424136224858</c:v>
                </c:pt>
                <c:pt idx="36">
                  <c:v>2723.8424136224858</c:v>
                </c:pt>
                <c:pt idx="37">
                  <c:v>2723.8424136224858</c:v>
                </c:pt>
                <c:pt idx="38">
                  <c:v>2723.8424136224858</c:v>
                </c:pt>
                <c:pt idx="39">
                  <c:v>2723.8424136224858</c:v>
                </c:pt>
                <c:pt idx="40">
                  <c:v>2507.0660277632564</c:v>
                </c:pt>
                <c:pt idx="41">
                  <c:v>2507.0660277632564</c:v>
                </c:pt>
                <c:pt idx="42">
                  <c:v>2507.0660277632564</c:v>
                </c:pt>
                <c:pt idx="43">
                  <c:v>2507.0660277632564</c:v>
                </c:pt>
                <c:pt idx="44">
                  <c:v>3355.3214506906743</c:v>
                </c:pt>
                <c:pt idx="45">
                  <c:v>3355.3214506906743</c:v>
                </c:pt>
                <c:pt idx="46">
                  <c:v>3355.3214506906743</c:v>
                </c:pt>
                <c:pt idx="47">
                  <c:v>3355.3214506906743</c:v>
                </c:pt>
                <c:pt idx="48">
                  <c:v>3298.7710891621796</c:v>
                </c:pt>
                <c:pt idx="49">
                  <c:v>3298.7710891621796</c:v>
                </c:pt>
                <c:pt idx="50">
                  <c:v>3298.7710891621796</c:v>
                </c:pt>
                <c:pt idx="51">
                  <c:v>3298.7710891621796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'TTL NORMAL'!$A$10:$B$10</c:f>
              <c:strCache>
                <c:ptCount val="1"/>
                <c:pt idx="0">
                  <c:v>B3-B 22885</c:v>
                </c:pt>
              </c:strCache>
            </c:strRef>
          </c:tx>
          <c:marker>
            <c:symbol val="none"/>
          </c:marker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NORMAL'!$C$10:$BB$10</c:f>
              <c:numCache>
                <c:formatCode>0</c:formatCode>
                <c:ptCount val="52"/>
                <c:pt idx="0">
                  <c:v>16629.845600915138</c:v>
                </c:pt>
                <c:pt idx="1">
                  <c:v>16629.845600915138</c:v>
                </c:pt>
                <c:pt idx="2">
                  <c:v>16629.845600915138</c:v>
                </c:pt>
                <c:pt idx="3">
                  <c:v>16629.845600915138</c:v>
                </c:pt>
                <c:pt idx="4">
                  <c:v>19231.162231225888</c:v>
                </c:pt>
                <c:pt idx="5">
                  <c:v>19231.162231225888</c:v>
                </c:pt>
                <c:pt idx="6">
                  <c:v>19231.162231225888</c:v>
                </c:pt>
                <c:pt idx="7">
                  <c:v>19231.162231225888</c:v>
                </c:pt>
                <c:pt idx="8">
                  <c:v>25269.932980161549</c:v>
                </c:pt>
                <c:pt idx="9">
                  <c:v>25269.932980161549</c:v>
                </c:pt>
                <c:pt idx="10">
                  <c:v>25269.932980161549</c:v>
                </c:pt>
                <c:pt idx="11">
                  <c:v>25269.932980161549</c:v>
                </c:pt>
                <c:pt idx="12">
                  <c:v>26106.070468475722</c:v>
                </c:pt>
                <c:pt idx="13">
                  <c:v>26106.070468475722</c:v>
                </c:pt>
                <c:pt idx="14">
                  <c:v>26106.070468475722</c:v>
                </c:pt>
                <c:pt idx="15">
                  <c:v>26106.070468475722</c:v>
                </c:pt>
                <c:pt idx="16">
                  <c:v>26106.070468475722</c:v>
                </c:pt>
                <c:pt idx="17">
                  <c:v>15329.187285759765</c:v>
                </c:pt>
                <c:pt idx="18">
                  <c:v>15329.187285759765</c:v>
                </c:pt>
                <c:pt idx="19">
                  <c:v>15329.187285759765</c:v>
                </c:pt>
                <c:pt idx="20">
                  <c:v>15329.187285759765</c:v>
                </c:pt>
                <c:pt idx="21">
                  <c:v>26013.166303107479</c:v>
                </c:pt>
                <c:pt idx="22">
                  <c:v>26013.166303107479</c:v>
                </c:pt>
                <c:pt idx="23">
                  <c:v>26013.166303107479</c:v>
                </c:pt>
                <c:pt idx="24">
                  <c:v>26013.166303107479</c:v>
                </c:pt>
                <c:pt idx="25">
                  <c:v>26013.166303107479</c:v>
                </c:pt>
                <c:pt idx="26">
                  <c:v>14400.145632077356</c:v>
                </c:pt>
                <c:pt idx="27">
                  <c:v>14400.145632077356</c:v>
                </c:pt>
                <c:pt idx="28">
                  <c:v>14400.145632077356</c:v>
                </c:pt>
                <c:pt idx="29">
                  <c:v>14400.145632077356</c:v>
                </c:pt>
                <c:pt idx="30">
                  <c:v>14400.145632077356</c:v>
                </c:pt>
                <c:pt idx="31">
                  <c:v>14028.528970604391</c:v>
                </c:pt>
                <c:pt idx="32">
                  <c:v>14028.528970604391</c:v>
                </c:pt>
                <c:pt idx="33">
                  <c:v>14028.528970604391</c:v>
                </c:pt>
                <c:pt idx="34">
                  <c:v>14028.528970604391</c:v>
                </c:pt>
                <c:pt idx="35">
                  <c:v>26849.303791421651</c:v>
                </c:pt>
                <c:pt idx="36">
                  <c:v>26849.303791421651</c:v>
                </c:pt>
                <c:pt idx="37">
                  <c:v>26849.303791421651</c:v>
                </c:pt>
                <c:pt idx="38">
                  <c:v>26849.303791421651</c:v>
                </c:pt>
                <c:pt idx="39">
                  <c:v>26849.303791421651</c:v>
                </c:pt>
                <c:pt idx="40">
                  <c:v>24712.507987952104</c:v>
                </c:pt>
                <c:pt idx="41">
                  <c:v>24712.507987952104</c:v>
                </c:pt>
                <c:pt idx="42">
                  <c:v>24712.507987952104</c:v>
                </c:pt>
                <c:pt idx="43">
                  <c:v>24712.507987952104</c:v>
                </c:pt>
                <c:pt idx="44">
                  <c:v>33073.882871093796</c:v>
                </c:pt>
                <c:pt idx="45">
                  <c:v>33073.882871093796</c:v>
                </c:pt>
                <c:pt idx="46">
                  <c:v>33073.882871093796</c:v>
                </c:pt>
                <c:pt idx="47">
                  <c:v>33073.882871093796</c:v>
                </c:pt>
                <c:pt idx="48">
                  <c:v>32516.457878884346</c:v>
                </c:pt>
                <c:pt idx="49">
                  <c:v>32516.457878884346</c:v>
                </c:pt>
                <c:pt idx="50">
                  <c:v>32516.457878884346</c:v>
                </c:pt>
                <c:pt idx="51">
                  <c:v>32516.457878884346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'TTL NORMAL'!$A$11:$B$11</c:f>
              <c:strCache>
                <c:ptCount val="1"/>
                <c:pt idx="0">
                  <c:v>B4-A 2322</c:v>
                </c:pt>
              </c:strCache>
            </c:strRef>
          </c:tx>
          <c:marker>
            <c:symbol val="none"/>
          </c:marker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NORMAL'!$C$11:$BB$11</c:f>
              <c:numCache>
                <c:formatCode>0</c:formatCode>
                <c:ptCount val="52"/>
                <c:pt idx="0">
                  <c:v>1687.085785600086</c:v>
                </c:pt>
                <c:pt idx="1">
                  <c:v>1687.085785600086</c:v>
                </c:pt>
                <c:pt idx="2">
                  <c:v>1687.085785600086</c:v>
                </c:pt>
                <c:pt idx="3">
                  <c:v>1687.085785600086</c:v>
                </c:pt>
                <c:pt idx="4">
                  <c:v>1950.9874727330609</c:v>
                </c:pt>
                <c:pt idx="5">
                  <c:v>1950.9874727330609</c:v>
                </c:pt>
                <c:pt idx="6">
                  <c:v>1950.9874727330609</c:v>
                </c:pt>
                <c:pt idx="7">
                  <c:v>1950.9874727330609</c:v>
                </c:pt>
                <c:pt idx="8">
                  <c:v>2563.6163892917511</c:v>
                </c:pt>
                <c:pt idx="9">
                  <c:v>2563.6163892917511</c:v>
                </c:pt>
                <c:pt idx="10">
                  <c:v>2563.6163892917511</c:v>
                </c:pt>
                <c:pt idx="11">
                  <c:v>2563.6163892917511</c:v>
                </c:pt>
                <c:pt idx="12">
                  <c:v>2648.441931584493</c:v>
                </c:pt>
                <c:pt idx="13">
                  <c:v>2648.441931584493</c:v>
                </c:pt>
                <c:pt idx="14">
                  <c:v>2648.441931584493</c:v>
                </c:pt>
                <c:pt idx="15">
                  <c:v>2648.441931584493</c:v>
                </c:pt>
                <c:pt idx="16">
                  <c:v>2648.441931584493</c:v>
                </c:pt>
                <c:pt idx="17">
                  <c:v>1555.1349420335991</c:v>
                </c:pt>
                <c:pt idx="18">
                  <c:v>1555.1349420335991</c:v>
                </c:pt>
                <c:pt idx="19">
                  <c:v>1555.1349420335991</c:v>
                </c:pt>
                <c:pt idx="20">
                  <c:v>1555.1349420335991</c:v>
                </c:pt>
                <c:pt idx="21">
                  <c:v>2639.0168713297435</c:v>
                </c:pt>
                <c:pt idx="22">
                  <c:v>2639.0168713297435</c:v>
                </c:pt>
                <c:pt idx="23">
                  <c:v>2639.0168713297435</c:v>
                </c:pt>
                <c:pt idx="24">
                  <c:v>2639.0168713297435</c:v>
                </c:pt>
                <c:pt idx="25">
                  <c:v>2639.0168713297435</c:v>
                </c:pt>
                <c:pt idx="26">
                  <c:v>1460.8843394861083</c:v>
                </c:pt>
                <c:pt idx="27">
                  <c:v>1460.8843394861083</c:v>
                </c:pt>
                <c:pt idx="28">
                  <c:v>1460.8843394861083</c:v>
                </c:pt>
                <c:pt idx="29">
                  <c:v>1460.8843394861083</c:v>
                </c:pt>
                <c:pt idx="30">
                  <c:v>1460.8843394861083</c:v>
                </c:pt>
                <c:pt idx="31">
                  <c:v>1423.1840984671119</c:v>
                </c:pt>
                <c:pt idx="32">
                  <c:v>1423.1840984671119</c:v>
                </c:pt>
                <c:pt idx="33">
                  <c:v>1423.1840984671119</c:v>
                </c:pt>
                <c:pt idx="34">
                  <c:v>1423.1840984671119</c:v>
                </c:pt>
                <c:pt idx="35">
                  <c:v>2723.8424136224858</c:v>
                </c:pt>
                <c:pt idx="36">
                  <c:v>2723.8424136224858</c:v>
                </c:pt>
                <c:pt idx="37">
                  <c:v>2723.8424136224858</c:v>
                </c:pt>
                <c:pt idx="38">
                  <c:v>2723.8424136224858</c:v>
                </c:pt>
                <c:pt idx="39">
                  <c:v>2723.8424136224858</c:v>
                </c:pt>
                <c:pt idx="40">
                  <c:v>2507.0660277632564</c:v>
                </c:pt>
                <c:pt idx="41">
                  <c:v>2507.0660277632564</c:v>
                </c:pt>
                <c:pt idx="42">
                  <c:v>2507.0660277632564</c:v>
                </c:pt>
                <c:pt idx="43">
                  <c:v>2507.0660277632564</c:v>
                </c:pt>
                <c:pt idx="44">
                  <c:v>3355.3214506906743</c:v>
                </c:pt>
                <c:pt idx="45">
                  <c:v>3355.3214506906743</c:v>
                </c:pt>
                <c:pt idx="46">
                  <c:v>3355.3214506906743</c:v>
                </c:pt>
                <c:pt idx="47">
                  <c:v>3355.3214506906743</c:v>
                </c:pt>
                <c:pt idx="48">
                  <c:v>3298.7710891621796</c:v>
                </c:pt>
                <c:pt idx="49">
                  <c:v>3298.7710891621796</c:v>
                </c:pt>
                <c:pt idx="50">
                  <c:v>3298.7710891621796</c:v>
                </c:pt>
                <c:pt idx="51">
                  <c:v>3298.7710891621796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'TTL NORMAL'!$A$12:$B$12</c:f>
              <c:strCache>
                <c:ptCount val="1"/>
                <c:pt idx="0">
                  <c:v>B4-B 22885</c:v>
                </c:pt>
              </c:strCache>
            </c:strRef>
          </c:tx>
          <c:marker>
            <c:symbol val="none"/>
          </c:marker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NORMAL'!$C$12:$BB$12</c:f>
              <c:numCache>
                <c:formatCode>0</c:formatCode>
                <c:ptCount val="52"/>
                <c:pt idx="0">
                  <c:v>16629.845600915138</c:v>
                </c:pt>
                <c:pt idx="1">
                  <c:v>16629.845600915138</c:v>
                </c:pt>
                <c:pt idx="2">
                  <c:v>16629.845600915138</c:v>
                </c:pt>
                <c:pt idx="3">
                  <c:v>16629.845600915138</c:v>
                </c:pt>
                <c:pt idx="4">
                  <c:v>19231.162231225888</c:v>
                </c:pt>
                <c:pt idx="5">
                  <c:v>19231.162231225888</c:v>
                </c:pt>
                <c:pt idx="6">
                  <c:v>19231.162231225888</c:v>
                </c:pt>
                <c:pt idx="7">
                  <c:v>19231.162231225888</c:v>
                </c:pt>
                <c:pt idx="8">
                  <c:v>25269.932980161549</c:v>
                </c:pt>
                <c:pt idx="9">
                  <c:v>25269.932980161549</c:v>
                </c:pt>
                <c:pt idx="10">
                  <c:v>25269.932980161549</c:v>
                </c:pt>
                <c:pt idx="11">
                  <c:v>25269.932980161549</c:v>
                </c:pt>
                <c:pt idx="12">
                  <c:v>26106.070468475722</c:v>
                </c:pt>
                <c:pt idx="13">
                  <c:v>26106.070468475722</c:v>
                </c:pt>
                <c:pt idx="14">
                  <c:v>26106.070468475722</c:v>
                </c:pt>
                <c:pt idx="15">
                  <c:v>26106.070468475722</c:v>
                </c:pt>
                <c:pt idx="16">
                  <c:v>26106.070468475722</c:v>
                </c:pt>
                <c:pt idx="17">
                  <c:v>15329.187285759765</c:v>
                </c:pt>
                <c:pt idx="18">
                  <c:v>15329.187285759765</c:v>
                </c:pt>
                <c:pt idx="19">
                  <c:v>15329.187285759765</c:v>
                </c:pt>
                <c:pt idx="20">
                  <c:v>15329.187285759765</c:v>
                </c:pt>
                <c:pt idx="21">
                  <c:v>26013.166303107479</c:v>
                </c:pt>
                <c:pt idx="22">
                  <c:v>26013.166303107479</c:v>
                </c:pt>
                <c:pt idx="23">
                  <c:v>26013.166303107479</c:v>
                </c:pt>
                <c:pt idx="24">
                  <c:v>26013.166303107479</c:v>
                </c:pt>
                <c:pt idx="25">
                  <c:v>26013.166303107479</c:v>
                </c:pt>
                <c:pt idx="26">
                  <c:v>14400.145632077356</c:v>
                </c:pt>
                <c:pt idx="27">
                  <c:v>14400.145632077356</c:v>
                </c:pt>
                <c:pt idx="28">
                  <c:v>14400.145632077356</c:v>
                </c:pt>
                <c:pt idx="29">
                  <c:v>14400.145632077356</c:v>
                </c:pt>
                <c:pt idx="30">
                  <c:v>14400.145632077356</c:v>
                </c:pt>
                <c:pt idx="31">
                  <c:v>14028.528970604391</c:v>
                </c:pt>
                <c:pt idx="32">
                  <c:v>14028.528970604391</c:v>
                </c:pt>
                <c:pt idx="33">
                  <c:v>14028.528970604391</c:v>
                </c:pt>
                <c:pt idx="34">
                  <c:v>14028.528970604391</c:v>
                </c:pt>
                <c:pt idx="35">
                  <c:v>26849.303791421651</c:v>
                </c:pt>
                <c:pt idx="36">
                  <c:v>26849.303791421651</c:v>
                </c:pt>
                <c:pt idx="37">
                  <c:v>26849.303791421651</c:v>
                </c:pt>
                <c:pt idx="38">
                  <c:v>26849.303791421651</c:v>
                </c:pt>
                <c:pt idx="39">
                  <c:v>26849.303791421651</c:v>
                </c:pt>
                <c:pt idx="40">
                  <c:v>24712.507987952104</c:v>
                </c:pt>
                <c:pt idx="41">
                  <c:v>24712.507987952104</c:v>
                </c:pt>
                <c:pt idx="42">
                  <c:v>24712.507987952104</c:v>
                </c:pt>
                <c:pt idx="43">
                  <c:v>24712.507987952104</c:v>
                </c:pt>
                <c:pt idx="44">
                  <c:v>33073.882871093796</c:v>
                </c:pt>
                <c:pt idx="45">
                  <c:v>33073.882871093796</c:v>
                </c:pt>
                <c:pt idx="46">
                  <c:v>33073.882871093796</c:v>
                </c:pt>
                <c:pt idx="47">
                  <c:v>33073.882871093796</c:v>
                </c:pt>
                <c:pt idx="48">
                  <c:v>32516.457878884346</c:v>
                </c:pt>
                <c:pt idx="49">
                  <c:v>32516.457878884346</c:v>
                </c:pt>
                <c:pt idx="50">
                  <c:v>32516.457878884346</c:v>
                </c:pt>
                <c:pt idx="51">
                  <c:v>32516.457878884346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'TTL NORMAL'!$A$13:$B$13</c:f>
              <c:strCache>
                <c:ptCount val="1"/>
                <c:pt idx="0">
                  <c:v>B5-A 2322</c:v>
                </c:pt>
              </c:strCache>
            </c:strRef>
          </c:tx>
          <c:marker>
            <c:symbol val="none"/>
          </c:marker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NORMAL'!$C$13:$BB$13</c:f>
              <c:numCache>
                <c:formatCode>0</c:formatCode>
                <c:ptCount val="52"/>
                <c:pt idx="0">
                  <c:v>1687.085785600086</c:v>
                </c:pt>
                <c:pt idx="1">
                  <c:v>1687.085785600086</c:v>
                </c:pt>
                <c:pt idx="2">
                  <c:v>1687.085785600086</c:v>
                </c:pt>
                <c:pt idx="3">
                  <c:v>1687.085785600086</c:v>
                </c:pt>
                <c:pt idx="4">
                  <c:v>1950.9874727330609</c:v>
                </c:pt>
                <c:pt idx="5">
                  <c:v>1950.9874727330609</c:v>
                </c:pt>
                <c:pt idx="6">
                  <c:v>1950.9874727330609</c:v>
                </c:pt>
                <c:pt idx="7">
                  <c:v>1950.9874727330609</c:v>
                </c:pt>
                <c:pt idx="8">
                  <c:v>2563.6163892917511</c:v>
                </c:pt>
                <c:pt idx="9">
                  <c:v>2563.6163892917511</c:v>
                </c:pt>
                <c:pt idx="10">
                  <c:v>2563.6163892917511</c:v>
                </c:pt>
                <c:pt idx="11">
                  <c:v>2563.6163892917511</c:v>
                </c:pt>
                <c:pt idx="12">
                  <c:v>2648.441931584493</c:v>
                </c:pt>
                <c:pt idx="13">
                  <c:v>2648.441931584493</c:v>
                </c:pt>
                <c:pt idx="14">
                  <c:v>2648.441931584493</c:v>
                </c:pt>
                <c:pt idx="15">
                  <c:v>2648.441931584493</c:v>
                </c:pt>
                <c:pt idx="16">
                  <c:v>2648.441931584493</c:v>
                </c:pt>
                <c:pt idx="17">
                  <c:v>1555.1349420335991</c:v>
                </c:pt>
                <c:pt idx="18">
                  <c:v>1555.1349420335991</c:v>
                </c:pt>
                <c:pt idx="19">
                  <c:v>1555.1349420335991</c:v>
                </c:pt>
                <c:pt idx="20">
                  <c:v>1555.1349420335991</c:v>
                </c:pt>
                <c:pt idx="21">
                  <c:v>2639.0168713297435</c:v>
                </c:pt>
                <c:pt idx="22">
                  <c:v>2639.0168713297435</c:v>
                </c:pt>
                <c:pt idx="23">
                  <c:v>2639.0168713297435</c:v>
                </c:pt>
                <c:pt idx="24">
                  <c:v>2639.0168713297435</c:v>
                </c:pt>
                <c:pt idx="25">
                  <c:v>2639.0168713297435</c:v>
                </c:pt>
                <c:pt idx="26">
                  <c:v>1460.8843394861083</c:v>
                </c:pt>
                <c:pt idx="27">
                  <c:v>1460.8843394861083</c:v>
                </c:pt>
                <c:pt idx="28">
                  <c:v>1460.8843394861083</c:v>
                </c:pt>
                <c:pt idx="29">
                  <c:v>1460.8843394861083</c:v>
                </c:pt>
                <c:pt idx="30">
                  <c:v>1460.8843394861083</c:v>
                </c:pt>
                <c:pt idx="31">
                  <c:v>1423.1840984671119</c:v>
                </c:pt>
                <c:pt idx="32">
                  <c:v>1423.1840984671119</c:v>
                </c:pt>
                <c:pt idx="33">
                  <c:v>1423.1840984671119</c:v>
                </c:pt>
                <c:pt idx="34">
                  <c:v>1423.1840984671119</c:v>
                </c:pt>
                <c:pt idx="35">
                  <c:v>2723.8424136224858</c:v>
                </c:pt>
                <c:pt idx="36">
                  <c:v>2723.8424136224858</c:v>
                </c:pt>
                <c:pt idx="37">
                  <c:v>2723.8424136224858</c:v>
                </c:pt>
                <c:pt idx="38">
                  <c:v>2723.8424136224858</c:v>
                </c:pt>
                <c:pt idx="39">
                  <c:v>2723.8424136224858</c:v>
                </c:pt>
                <c:pt idx="40">
                  <c:v>2507.0660277632564</c:v>
                </c:pt>
                <c:pt idx="41">
                  <c:v>2507.0660277632564</c:v>
                </c:pt>
                <c:pt idx="42">
                  <c:v>2507.0660277632564</c:v>
                </c:pt>
                <c:pt idx="43">
                  <c:v>2507.0660277632564</c:v>
                </c:pt>
                <c:pt idx="44">
                  <c:v>3355.3214506906743</c:v>
                </c:pt>
                <c:pt idx="45">
                  <c:v>3355.3214506906743</c:v>
                </c:pt>
                <c:pt idx="46">
                  <c:v>3355.3214506906743</c:v>
                </c:pt>
                <c:pt idx="47">
                  <c:v>3355.3214506906743</c:v>
                </c:pt>
                <c:pt idx="48">
                  <c:v>3298.7710891621796</c:v>
                </c:pt>
                <c:pt idx="49">
                  <c:v>3298.7710891621796</c:v>
                </c:pt>
                <c:pt idx="50">
                  <c:v>3298.7710891621796</c:v>
                </c:pt>
                <c:pt idx="51">
                  <c:v>3298.7710891621796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'TTL NORMAL'!$A$14:$B$14</c:f>
              <c:strCache>
                <c:ptCount val="1"/>
                <c:pt idx="0">
                  <c:v>B5-B 22885</c:v>
                </c:pt>
              </c:strCache>
            </c:strRef>
          </c:tx>
          <c:marker>
            <c:symbol val="none"/>
          </c:marker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NORMAL'!$C$14:$BB$14</c:f>
              <c:numCache>
                <c:formatCode>0</c:formatCode>
                <c:ptCount val="52"/>
                <c:pt idx="0">
                  <c:v>16629.845600915138</c:v>
                </c:pt>
                <c:pt idx="1">
                  <c:v>16629.845600915138</c:v>
                </c:pt>
                <c:pt idx="2">
                  <c:v>16629.845600915138</c:v>
                </c:pt>
                <c:pt idx="3">
                  <c:v>16629.845600915138</c:v>
                </c:pt>
                <c:pt idx="4">
                  <c:v>19231.162231225888</c:v>
                </c:pt>
                <c:pt idx="5">
                  <c:v>19231.162231225888</c:v>
                </c:pt>
                <c:pt idx="6">
                  <c:v>19231.162231225888</c:v>
                </c:pt>
                <c:pt idx="7">
                  <c:v>19231.162231225888</c:v>
                </c:pt>
                <c:pt idx="8">
                  <c:v>25269.932980161549</c:v>
                </c:pt>
                <c:pt idx="9">
                  <c:v>25269.932980161549</c:v>
                </c:pt>
                <c:pt idx="10">
                  <c:v>25269.932980161549</c:v>
                </c:pt>
                <c:pt idx="11">
                  <c:v>25269.932980161549</c:v>
                </c:pt>
                <c:pt idx="12">
                  <c:v>26106.070468475722</c:v>
                </c:pt>
                <c:pt idx="13">
                  <c:v>26106.070468475722</c:v>
                </c:pt>
                <c:pt idx="14">
                  <c:v>26106.070468475722</c:v>
                </c:pt>
                <c:pt idx="15">
                  <c:v>26106.070468475722</c:v>
                </c:pt>
                <c:pt idx="16">
                  <c:v>26106.070468475722</c:v>
                </c:pt>
                <c:pt idx="17">
                  <c:v>15329.187285759765</c:v>
                </c:pt>
                <c:pt idx="18">
                  <c:v>15329.187285759765</c:v>
                </c:pt>
                <c:pt idx="19">
                  <c:v>15329.187285759765</c:v>
                </c:pt>
                <c:pt idx="20">
                  <c:v>15329.187285759765</c:v>
                </c:pt>
                <c:pt idx="21">
                  <c:v>26013.166303107479</c:v>
                </c:pt>
                <c:pt idx="22">
                  <c:v>26013.166303107479</c:v>
                </c:pt>
                <c:pt idx="23">
                  <c:v>26013.166303107479</c:v>
                </c:pt>
                <c:pt idx="24">
                  <c:v>26013.166303107479</c:v>
                </c:pt>
                <c:pt idx="25">
                  <c:v>26013.166303107479</c:v>
                </c:pt>
                <c:pt idx="26">
                  <c:v>14400.145632077356</c:v>
                </c:pt>
                <c:pt idx="27">
                  <c:v>14400.145632077356</c:v>
                </c:pt>
                <c:pt idx="28">
                  <c:v>14400.145632077356</c:v>
                </c:pt>
                <c:pt idx="29">
                  <c:v>14400.145632077356</c:v>
                </c:pt>
                <c:pt idx="30">
                  <c:v>14400.145632077356</c:v>
                </c:pt>
                <c:pt idx="31">
                  <c:v>14028.528970604391</c:v>
                </c:pt>
                <c:pt idx="32">
                  <c:v>14028.528970604391</c:v>
                </c:pt>
                <c:pt idx="33">
                  <c:v>14028.528970604391</c:v>
                </c:pt>
                <c:pt idx="34">
                  <c:v>14028.528970604391</c:v>
                </c:pt>
                <c:pt idx="35">
                  <c:v>26849.303791421651</c:v>
                </c:pt>
                <c:pt idx="36">
                  <c:v>26849.303791421651</c:v>
                </c:pt>
                <c:pt idx="37">
                  <c:v>26849.303791421651</c:v>
                </c:pt>
                <c:pt idx="38">
                  <c:v>26849.303791421651</c:v>
                </c:pt>
                <c:pt idx="39">
                  <c:v>26849.303791421651</c:v>
                </c:pt>
                <c:pt idx="40">
                  <c:v>24712.507987952104</c:v>
                </c:pt>
                <c:pt idx="41">
                  <c:v>24712.507987952104</c:v>
                </c:pt>
                <c:pt idx="42">
                  <c:v>24712.507987952104</c:v>
                </c:pt>
                <c:pt idx="43">
                  <c:v>24712.507987952104</c:v>
                </c:pt>
                <c:pt idx="44">
                  <c:v>33073.882871093796</c:v>
                </c:pt>
                <c:pt idx="45">
                  <c:v>33073.882871093796</c:v>
                </c:pt>
                <c:pt idx="46">
                  <c:v>33073.882871093796</c:v>
                </c:pt>
                <c:pt idx="47">
                  <c:v>33073.882871093796</c:v>
                </c:pt>
                <c:pt idx="48">
                  <c:v>32516.457878884346</c:v>
                </c:pt>
                <c:pt idx="49">
                  <c:v>32516.457878884346</c:v>
                </c:pt>
                <c:pt idx="50">
                  <c:v>32516.457878884346</c:v>
                </c:pt>
                <c:pt idx="51">
                  <c:v>32516.457878884346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'TTL NORMAL'!$A$15:$B$15</c:f>
              <c:strCache>
                <c:ptCount val="1"/>
                <c:pt idx="0">
                  <c:v>B6-A 2322</c:v>
                </c:pt>
              </c:strCache>
            </c:strRef>
          </c:tx>
          <c:marker>
            <c:symbol val="none"/>
          </c:marker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NORMAL'!$C$15:$BB$15</c:f>
              <c:numCache>
                <c:formatCode>0</c:formatCode>
                <c:ptCount val="52"/>
                <c:pt idx="0">
                  <c:v>1687.085785600086</c:v>
                </c:pt>
                <c:pt idx="1">
                  <c:v>1687.085785600086</c:v>
                </c:pt>
                <c:pt idx="2">
                  <c:v>1687.085785600086</c:v>
                </c:pt>
                <c:pt idx="3">
                  <c:v>1687.085785600086</c:v>
                </c:pt>
                <c:pt idx="4">
                  <c:v>1950.9874727330609</c:v>
                </c:pt>
                <c:pt idx="5">
                  <c:v>1950.9874727330609</c:v>
                </c:pt>
                <c:pt idx="6">
                  <c:v>1950.9874727330609</c:v>
                </c:pt>
                <c:pt idx="7">
                  <c:v>1950.9874727330609</c:v>
                </c:pt>
                <c:pt idx="8">
                  <c:v>2563.6163892917511</c:v>
                </c:pt>
                <c:pt idx="9">
                  <c:v>2563.6163892917511</c:v>
                </c:pt>
                <c:pt idx="10">
                  <c:v>2563.6163892917511</c:v>
                </c:pt>
                <c:pt idx="11">
                  <c:v>2563.6163892917511</c:v>
                </c:pt>
                <c:pt idx="12">
                  <c:v>2648.441931584493</c:v>
                </c:pt>
                <c:pt idx="13">
                  <c:v>2648.441931584493</c:v>
                </c:pt>
                <c:pt idx="14">
                  <c:v>2648.441931584493</c:v>
                </c:pt>
                <c:pt idx="15">
                  <c:v>2648.441931584493</c:v>
                </c:pt>
                <c:pt idx="16">
                  <c:v>2648.441931584493</c:v>
                </c:pt>
                <c:pt idx="17">
                  <c:v>1555.1349420335991</c:v>
                </c:pt>
                <c:pt idx="18">
                  <c:v>1555.1349420335991</c:v>
                </c:pt>
                <c:pt idx="19">
                  <c:v>1555.1349420335991</c:v>
                </c:pt>
                <c:pt idx="20">
                  <c:v>1555.1349420335991</c:v>
                </c:pt>
                <c:pt idx="21">
                  <c:v>2639.0168713297435</c:v>
                </c:pt>
                <c:pt idx="22">
                  <c:v>2639.0168713297435</c:v>
                </c:pt>
                <c:pt idx="23">
                  <c:v>2639.0168713297435</c:v>
                </c:pt>
                <c:pt idx="24">
                  <c:v>2639.0168713297435</c:v>
                </c:pt>
                <c:pt idx="25">
                  <c:v>2639.0168713297435</c:v>
                </c:pt>
                <c:pt idx="26">
                  <c:v>1460.8843394861083</c:v>
                </c:pt>
                <c:pt idx="27">
                  <c:v>1460.8843394861083</c:v>
                </c:pt>
                <c:pt idx="28">
                  <c:v>1460.8843394861083</c:v>
                </c:pt>
                <c:pt idx="29">
                  <c:v>1460.8843394861083</c:v>
                </c:pt>
                <c:pt idx="30">
                  <c:v>1460.8843394861083</c:v>
                </c:pt>
                <c:pt idx="31">
                  <c:v>1423.1840984671119</c:v>
                </c:pt>
                <c:pt idx="32">
                  <c:v>1423.1840984671119</c:v>
                </c:pt>
                <c:pt idx="33">
                  <c:v>1423.1840984671119</c:v>
                </c:pt>
                <c:pt idx="34">
                  <c:v>1423.1840984671119</c:v>
                </c:pt>
                <c:pt idx="35">
                  <c:v>2723.8424136224858</c:v>
                </c:pt>
                <c:pt idx="36">
                  <c:v>2723.8424136224858</c:v>
                </c:pt>
                <c:pt idx="37">
                  <c:v>2723.8424136224858</c:v>
                </c:pt>
                <c:pt idx="38">
                  <c:v>2723.8424136224858</c:v>
                </c:pt>
                <c:pt idx="39">
                  <c:v>2723.8424136224858</c:v>
                </c:pt>
                <c:pt idx="40">
                  <c:v>2507.0660277632564</c:v>
                </c:pt>
                <c:pt idx="41">
                  <c:v>2507.0660277632564</c:v>
                </c:pt>
                <c:pt idx="42">
                  <c:v>2507.0660277632564</c:v>
                </c:pt>
                <c:pt idx="43">
                  <c:v>2507.0660277632564</c:v>
                </c:pt>
                <c:pt idx="44">
                  <c:v>3355.3214506906743</c:v>
                </c:pt>
                <c:pt idx="45">
                  <c:v>3355.3214506906743</c:v>
                </c:pt>
                <c:pt idx="46">
                  <c:v>3355.3214506906743</c:v>
                </c:pt>
                <c:pt idx="47">
                  <c:v>3355.3214506906743</c:v>
                </c:pt>
                <c:pt idx="48">
                  <c:v>3298.7710891621796</c:v>
                </c:pt>
                <c:pt idx="49">
                  <c:v>3298.7710891621796</c:v>
                </c:pt>
                <c:pt idx="50">
                  <c:v>3298.7710891621796</c:v>
                </c:pt>
                <c:pt idx="51">
                  <c:v>3298.7710891621796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'TTL NORMAL'!$A$16:$B$16</c:f>
              <c:strCache>
                <c:ptCount val="1"/>
                <c:pt idx="0">
                  <c:v>B6-B 22885</c:v>
                </c:pt>
              </c:strCache>
            </c:strRef>
          </c:tx>
          <c:marker>
            <c:symbol val="none"/>
          </c:marker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NORMAL'!$C$16:$BB$16</c:f>
              <c:numCache>
                <c:formatCode>0</c:formatCode>
                <c:ptCount val="52"/>
                <c:pt idx="0">
                  <c:v>16629.845600915138</c:v>
                </c:pt>
                <c:pt idx="1">
                  <c:v>16629.845600915138</c:v>
                </c:pt>
                <c:pt idx="2">
                  <c:v>16629.845600915138</c:v>
                </c:pt>
                <c:pt idx="3">
                  <c:v>16629.845600915138</c:v>
                </c:pt>
                <c:pt idx="4">
                  <c:v>19231.162231225888</c:v>
                </c:pt>
                <c:pt idx="5">
                  <c:v>19231.162231225888</c:v>
                </c:pt>
                <c:pt idx="6">
                  <c:v>19231.162231225888</c:v>
                </c:pt>
                <c:pt idx="7">
                  <c:v>19231.162231225888</c:v>
                </c:pt>
                <c:pt idx="8">
                  <c:v>25269.932980161549</c:v>
                </c:pt>
                <c:pt idx="9">
                  <c:v>25269.932980161549</c:v>
                </c:pt>
                <c:pt idx="10">
                  <c:v>25269.932980161549</c:v>
                </c:pt>
                <c:pt idx="11">
                  <c:v>25269.932980161549</c:v>
                </c:pt>
                <c:pt idx="12">
                  <c:v>26106.070468475722</c:v>
                </c:pt>
                <c:pt idx="13">
                  <c:v>26106.070468475722</c:v>
                </c:pt>
                <c:pt idx="14">
                  <c:v>26106.070468475722</c:v>
                </c:pt>
                <c:pt idx="15">
                  <c:v>26106.070468475722</c:v>
                </c:pt>
                <c:pt idx="16">
                  <c:v>26106.070468475722</c:v>
                </c:pt>
                <c:pt idx="17">
                  <c:v>15329.187285759765</c:v>
                </c:pt>
                <c:pt idx="18">
                  <c:v>15329.187285759765</c:v>
                </c:pt>
                <c:pt idx="19">
                  <c:v>15329.187285759765</c:v>
                </c:pt>
                <c:pt idx="20">
                  <c:v>15329.187285759765</c:v>
                </c:pt>
                <c:pt idx="21">
                  <c:v>26013.166303107479</c:v>
                </c:pt>
                <c:pt idx="22">
                  <c:v>26013.166303107479</c:v>
                </c:pt>
                <c:pt idx="23">
                  <c:v>26013.166303107479</c:v>
                </c:pt>
                <c:pt idx="24">
                  <c:v>26013.166303107479</c:v>
                </c:pt>
                <c:pt idx="25">
                  <c:v>26013.166303107479</c:v>
                </c:pt>
                <c:pt idx="26">
                  <c:v>14400.145632077356</c:v>
                </c:pt>
                <c:pt idx="27">
                  <c:v>14400.145632077356</c:v>
                </c:pt>
                <c:pt idx="28">
                  <c:v>14400.145632077356</c:v>
                </c:pt>
                <c:pt idx="29">
                  <c:v>14400.145632077356</c:v>
                </c:pt>
                <c:pt idx="30">
                  <c:v>14400.145632077356</c:v>
                </c:pt>
                <c:pt idx="31">
                  <c:v>14028.528970604391</c:v>
                </c:pt>
                <c:pt idx="32">
                  <c:v>14028.528970604391</c:v>
                </c:pt>
                <c:pt idx="33">
                  <c:v>14028.528970604391</c:v>
                </c:pt>
                <c:pt idx="34">
                  <c:v>14028.528970604391</c:v>
                </c:pt>
                <c:pt idx="35">
                  <c:v>26849.303791421651</c:v>
                </c:pt>
                <c:pt idx="36">
                  <c:v>26849.303791421651</c:v>
                </c:pt>
                <c:pt idx="37">
                  <c:v>26849.303791421651</c:v>
                </c:pt>
                <c:pt idx="38">
                  <c:v>26849.303791421651</c:v>
                </c:pt>
                <c:pt idx="39">
                  <c:v>26849.303791421651</c:v>
                </c:pt>
                <c:pt idx="40">
                  <c:v>24712.507987952104</c:v>
                </c:pt>
                <c:pt idx="41">
                  <c:v>24712.507987952104</c:v>
                </c:pt>
                <c:pt idx="42">
                  <c:v>24712.507987952104</c:v>
                </c:pt>
                <c:pt idx="43">
                  <c:v>24712.507987952104</c:v>
                </c:pt>
                <c:pt idx="44">
                  <c:v>33073.882871093796</c:v>
                </c:pt>
                <c:pt idx="45">
                  <c:v>33073.882871093796</c:v>
                </c:pt>
                <c:pt idx="46">
                  <c:v>33073.882871093796</c:v>
                </c:pt>
                <c:pt idx="47">
                  <c:v>33073.882871093796</c:v>
                </c:pt>
                <c:pt idx="48">
                  <c:v>32516.457878884346</c:v>
                </c:pt>
                <c:pt idx="49">
                  <c:v>32516.457878884346</c:v>
                </c:pt>
                <c:pt idx="50">
                  <c:v>32516.457878884346</c:v>
                </c:pt>
                <c:pt idx="51">
                  <c:v>32516.457878884346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'TTL NORMAL'!$A$17:$B$17</c:f>
              <c:strCache>
                <c:ptCount val="1"/>
                <c:pt idx="0">
                  <c:v>B11-A 2667</c:v>
                </c:pt>
              </c:strCache>
            </c:strRef>
          </c:tx>
          <c:marker>
            <c:symbol val="none"/>
          </c:marker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NORMAL'!$C$17:$BB$17</c:f>
              <c:numCache>
                <c:formatCode>0</c:formatCode>
                <c:ptCount val="52"/>
                <c:pt idx="0">
                  <c:v>1937.9577582755794</c:v>
                </c:pt>
                <c:pt idx="1">
                  <c:v>1937.9577582755794</c:v>
                </c:pt>
                <c:pt idx="2">
                  <c:v>1937.9577582755794</c:v>
                </c:pt>
                <c:pt idx="3">
                  <c:v>1937.9577582755794</c:v>
                </c:pt>
                <c:pt idx="4">
                  <c:v>2241.1019886203635</c:v>
                </c:pt>
                <c:pt idx="5">
                  <c:v>2241.1019886203635</c:v>
                </c:pt>
                <c:pt idx="6">
                  <c:v>2241.1019886203635</c:v>
                </c:pt>
                <c:pt idx="7">
                  <c:v>2241.1019886203635</c:v>
                </c:pt>
                <c:pt idx="8">
                  <c:v>2944.8296662064672</c:v>
                </c:pt>
                <c:pt idx="9">
                  <c:v>2944.8296662064672</c:v>
                </c:pt>
                <c:pt idx="10">
                  <c:v>2944.8296662064672</c:v>
                </c:pt>
                <c:pt idx="11">
                  <c:v>2944.8296662064672</c:v>
                </c:pt>
                <c:pt idx="12">
                  <c:v>3042.268883103005</c:v>
                </c:pt>
                <c:pt idx="13">
                  <c:v>3042.268883103005</c:v>
                </c:pt>
                <c:pt idx="14">
                  <c:v>3042.268883103005</c:v>
                </c:pt>
                <c:pt idx="15">
                  <c:v>3042.268883103005</c:v>
                </c:pt>
                <c:pt idx="16">
                  <c:v>3042.268883103005</c:v>
                </c:pt>
                <c:pt idx="17">
                  <c:v>1786.3856431031882</c:v>
                </c:pt>
                <c:pt idx="18">
                  <c:v>1786.3856431031882</c:v>
                </c:pt>
                <c:pt idx="19">
                  <c:v>1786.3856431031882</c:v>
                </c:pt>
                <c:pt idx="20">
                  <c:v>1786.3856431031882</c:v>
                </c:pt>
                <c:pt idx="21">
                  <c:v>3031.4423034478341</c:v>
                </c:pt>
                <c:pt idx="22">
                  <c:v>3031.4423034478341</c:v>
                </c:pt>
                <c:pt idx="23">
                  <c:v>3031.4423034478341</c:v>
                </c:pt>
                <c:pt idx="24">
                  <c:v>3031.4423034478341</c:v>
                </c:pt>
                <c:pt idx="25">
                  <c:v>3031.4423034478341</c:v>
                </c:pt>
                <c:pt idx="26">
                  <c:v>1678.1198465514797</c:v>
                </c:pt>
                <c:pt idx="27">
                  <c:v>1678.1198465514797</c:v>
                </c:pt>
                <c:pt idx="28">
                  <c:v>1678.1198465514797</c:v>
                </c:pt>
                <c:pt idx="29">
                  <c:v>1678.1198465514797</c:v>
                </c:pt>
                <c:pt idx="30">
                  <c:v>1678.1198465514797</c:v>
                </c:pt>
                <c:pt idx="31">
                  <c:v>1634.8135279307965</c:v>
                </c:pt>
                <c:pt idx="32">
                  <c:v>1634.8135279307965</c:v>
                </c:pt>
                <c:pt idx="33">
                  <c:v>1634.8135279307965</c:v>
                </c:pt>
                <c:pt idx="34">
                  <c:v>1634.8135279307965</c:v>
                </c:pt>
                <c:pt idx="35">
                  <c:v>3128.8815203443719</c:v>
                </c:pt>
                <c:pt idx="36">
                  <c:v>3128.8815203443719</c:v>
                </c:pt>
                <c:pt idx="37">
                  <c:v>3128.8815203443719</c:v>
                </c:pt>
                <c:pt idx="38">
                  <c:v>3128.8815203443719</c:v>
                </c:pt>
                <c:pt idx="39">
                  <c:v>3128.8815203443719</c:v>
                </c:pt>
                <c:pt idx="40">
                  <c:v>2879.8701882754422</c:v>
                </c:pt>
                <c:pt idx="41">
                  <c:v>2879.8701882754422</c:v>
                </c:pt>
                <c:pt idx="42">
                  <c:v>2879.8701882754422</c:v>
                </c:pt>
                <c:pt idx="43">
                  <c:v>2879.8701882754422</c:v>
                </c:pt>
                <c:pt idx="44">
                  <c:v>3854.2623572408179</c:v>
                </c:pt>
                <c:pt idx="45">
                  <c:v>3854.2623572408179</c:v>
                </c:pt>
                <c:pt idx="46">
                  <c:v>3854.2623572408179</c:v>
                </c:pt>
                <c:pt idx="47">
                  <c:v>3854.2623572408179</c:v>
                </c:pt>
                <c:pt idx="48">
                  <c:v>3789.3028793097924</c:v>
                </c:pt>
                <c:pt idx="49">
                  <c:v>3789.3028793097924</c:v>
                </c:pt>
                <c:pt idx="50">
                  <c:v>3789.3028793097924</c:v>
                </c:pt>
                <c:pt idx="51">
                  <c:v>3789.3028793097924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'TTL NORMAL'!$A$18:$B$18</c:f>
              <c:strCache>
                <c:ptCount val="1"/>
                <c:pt idx="0">
                  <c:v>B11-B 4838</c:v>
                </c:pt>
              </c:strCache>
            </c:strRef>
          </c:tx>
          <c:marker>
            <c:symbol val="none"/>
          </c:marker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NORMAL'!$C$18:$BB$18</c:f>
              <c:numCache>
                <c:formatCode>0</c:formatCode>
                <c:ptCount val="52"/>
                <c:pt idx="0">
                  <c:v>3515.9689850054447</c:v>
                </c:pt>
                <c:pt idx="1">
                  <c:v>3515.9689850054447</c:v>
                </c:pt>
                <c:pt idx="2">
                  <c:v>3515.9689850054447</c:v>
                </c:pt>
                <c:pt idx="3">
                  <c:v>3515.9689850054447</c:v>
                </c:pt>
                <c:pt idx="4">
                  <c:v>4065.9529603135602</c:v>
                </c:pt>
                <c:pt idx="5">
                  <c:v>4065.9529603135602</c:v>
                </c:pt>
                <c:pt idx="6">
                  <c:v>4065.9529603135602</c:v>
                </c:pt>
                <c:pt idx="7">
                  <c:v>4065.9529603135602</c:v>
                </c:pt>
                <c:pt idx="8">
                  <c:v>5342.7014744216813</c:v>
                </c:pt>
                <c:pt idx="9">
                  <c:v>5342.7014744216813</c:v>
                </c:pt>
                <c:pt idx="10">
                  <c:v>5342.7014744216813</c:v>
                </c:pt>
                <c:pt idx="11">
                  <c:v>5342.7014744216813</c:v>
                </c:pt>
                <c:pt idx="12">
                  <c:v>5519.4820379135763</c:v>
                </c:pt>
                <c:pt idx="13">
                  <c:v>5519.4820379135763</c:v>
                </c:pt>
                <c:pt idx="14">
                  <c:v>5519.4820379135763</c:v>
                </c:pt>
                <c:pt idx="15">
                  <c:v>5519.4820379135763</c:v>
                </c:pt>
                <c:pt idx="16">
                  <c:v>5519.4820379135763</c:v>
                </c:pt>
                <c:pt idx="17">
                  <c:v>3240.976997351388</c:v>
                </c:pt>
                <c:pt idx="18">
                  <c:v>3240.976997351388</c:v>
                </c:pt>
                <c:pt idx="19">
                  <c:v>3240.976997351388</c:v>
                </c:pt>
                <c:pt idx="20">
                  <c:v>3240.976997351388</c:v>
                </c:pt>
                <c:pt idx="21">
                  <c:v>5499.8397530811426</c:v>
                </c:pt>
                <c:pt idx="22">
                  <c:v>5499.8397530811426</c:v>
                </c:pt>
                <c:pt idx="23">
                  <c:v>5499.8397530811426</c:v>
                </c:pt>
                <c:pt idx="24">
                  <c:v>5499.8397530811426</c:v>
                </c:pt>
                <c:pt idx="25">
                  <c:v>5499.8397530811426</c:v>
                </c:pt>
                <c:pt idx="26">
                  <c:v>3044.5541490270616</c:v>
                </c:pt>
                <c:pt idx="27">
                  <c:v>3044.5541490270616</c:v>
                </c:pt>
                <c:pt idx="28">
                  <c:v>3044.5541490270616</c:v>
                </c:pt>
                <c:pt idx="29">
                  <c:v>3044.5541490270616</c:v>
                </c:pt>
                <c:pt idx="30">
                  <c:v>3044.5541490270616</c:v>
                </c:pt>
                <c:pt idx="31">
                  <c:v>2965.985009697331</c:v>
                </c:pt>
                <c:pt idx="32">
                  <c:v>2965.985009697331</c:v>
                </c:pt>
                <c:pt idx="33">
                  <c:v>2965.985009697331</c:v>
                </c:pt>
                <c:pt idx="34">
                  <c:v>2965.985009697331</c:v>
                </c:pt>
                <c:pt idx="35">
                  <c:v>5676.6203165730376</c:v>
                </c:pt>
                <c:pt idx="36">
                  <c:v>5676.6203165730376</c:v>
                </c:pt>
                <c:pt idx="37">
                  <c:v>5676.6203165730376</c:v>
                </c:pt>
                <c:pt idx="38">
                  <c:v>5676.6203165730376</c:v>
                </c:pt>
                <c:pt idx="39">
                  <c:v>5676.6203165730376</c:v>
                </c:pt>
                <c:pt idx="40">
                  <c:v>5224.8477654270855</c:v>
                </c:pt>
                <c:pt idx="41">
                  <c:v>5224.8477654270855</c:v>
                </c:pt>
                <c:pt idx="42">
                  <c:v>5224.8477654270855</c:v>
                </c:pt>
                <c:pt idx="43">
                  <c:v>5224.8477654270855</c:v>
                </c:pt>
                <c:pt idx="44">
                  <c:v>6992.6534003460256</c:v>
                </c:pt>
                <c:pt idx="45">
                  <c:v>6992.6534003460256</c:v>
                </c:pt>
                <c:pt idx="46">
                  <c:v>6992.6534003460256</c:v>
                </c:pt>
                <c:pt idx="47">
                  <c:v>6992.6534003460256</c:v>
                </c:pt>
                <c:pt idx="48">
                  <c:v>6874.799691351428</c:v>
                </c:pt>
                <c:pt idx="49">
                  <c:v>6874.799691351428</c:v>
                </c:pt>
                <c:pt idx="50">
                  <c:v>6874.799691351428</c:v>
                </c:pt>
                <c:pt idx="51">
                  <c:v>6874.799691351428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'TTL NORMAL'!$A$19:$B$19</c:f>
              <c:strCache>
                <c:ptCount val="1"/>
                <c:pt idx="0">
                  <c:v>B11-C 2667</c:v>
                </c:pt>
              </c:strCache>
            </c:strRef>
          </c:tx>
          <c:marker>
            <c:symbol val="none"/>
          </c:marker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NORMAL'!$C$19:$BB$19</c:f>
              <c:numCache>
                <c:formatCode>0</c:formatCode>
                <c:ptCount val="52"/>
                <c:pt idx="0">
                  <c:v>1937.9577582755794</c:v>
                </c:pt>
                <c:pt idx="1">
                  <c:v>1937.9577582755794</c:v>
                </c:pt>
                <c:pt idx="2">
                  <c:v>1937.9577582755794</c:v>
                </c:pt>
                <c:pt idx="3">
                  <c:v>1937.9577582755794</c:v>
                </c:pt>
                <c:pt idx="4">
                  <c:v>2241.1019886203635</c:v>
                </c:pt>
                <c:pt idx="5">
                  <c:v>2241.1019886203635</c:v>
                </c:pt>
                <c:pt idx="6">
                  <c:v>2241.1019886203635</c:v>
                </c:pt>
                <c:pt idx="7">
                  <c:v>2241.1019886203635</c:v>
                </c:pt>
                <c:pt idx="8">
                  <c:v>2944.8296662064672</c:v>
                </c:pt>
                <c:pt idx="9">
                  <c:v>2944.8296662064672</c:v>
                </c:pt>
                <c:pt idx="10">
                  <c:v>2944.8296662064672</c:v>
                </c:pt>
                <c:pt idx="11">
                  <c:v>2944.8296662064672</c:v>
                </c:pt>
                <c:pt idx="12">
                  <c:v>3042.268883103005</c:v>
                </c:pt>
                <c:pt idx="13">
                  <c:v>3042.268883103005</c:v>
                </c:pt>
                <c:pt idx="14">
                  <c:v>3042.268883103005</c:v>
                </c:pt>
                <c:pt idx="15">
                  <c:v>3042.268883103005</c:v>
                </c:pt>
                <c:pt idx="16">
                  <c:v>3042.268883103005</c:v>
                </c:pt>
                <c:pt idx="17">
                  <c:v>1786.3856431031882</c:v>
                </c:pt>
                <c:pt idx="18">
                  <c:v>1786.3856431031882</c:v>
                </c:pt>
                <c:pt idx="19">
                  <c:v>1786.3856431031882</c:v>
                </c:pt>
                <c:pt idx="20">
                  <c:v>1786.3856431031882</c:v>
                </c:pt>
                <c:pt idx="21">
                  <c:v>3031.4423034478341</c:v>
                </c:pt>
                <c:pt idx="22">
                  <c:v>3031.4423034478341</c:v>
                </c:pt>
                <c:pt idx="23">
                  <c:v>3031.4423034478341</c:v>
                </c:pt>
                <c:pt idx="24">
                  <c:v>3031.4423034478341</c:v>
                </c:pt>
                <c:pt idx="25">
                  <c:v>3031.4423034478341</c:v>
                </c:pt>
                <c:pt idx="26">
                  <c:v>1678.1198465514797</c:v>
                </c:pt>
                <c:pt idx="27">
                  <c:v>1678.1198465514797</c:v>
                </c:pt>
                <c:pt idx="28">
                  <c:v>1678.1198465514797</c:v>
                </c:pt>
                <c:pt idx="29">
                  <c:v>1678.1198465514797</c:v>
                </c:pt>
                <c:pt idx="30">
                  <c:v>1678.1198465514797</c:v>
                </c:pt>
                <c:pt idx="31">
                  <c:v>1634.8135279307965</c:v>
                </c:pt>
                <c:pt idx="32">
                  <c:v>1634.8135279307965</c:v>
                </c:pt>
                <c:pt idx="33">
                  <c:v>1634.8135279307965</c:v>
                </c:pt>
                <c:pt idx="34">
                  <c:v>1634.8135279307965</c:v>
                </c:pt>
                <c:pt idx="35">
                  <c:v>3128.8815203443719</c:v>
                </c:pt>
                <c:pt idx="36">
                  <c:v>3128.8815203443719</c:v>
                </c:pt>
                <c:pt idx="37">
                  <c:v>3128.8815203443719</c:v>
                </c:pt>
                <c:pt idx="38">
                  <c:v>3128.8815203443719</c:v>
                </c:pt>
                <c:pt idx="39">
                  <c:v>3128.8815203443719</c:v>
                </c:pt>
                <c:pt idx="40">
                  <c:v>2879.8701882754422</c:v>
                </c:pt>
                <c:pt idx="41">
                  <c:v>2879.8701882754422</c:v>
                </c:pt>
                <c:pt idx="42">
                  <c:v>2879.8701882754422</c:v>
                </c:pt>
                <c:pt idx="43">
                  <c:v>2879.8701882754422</c:v>
                </c:pt>
                <c:pt idx="44">
                  <c:v>3854.2623572408179</c:v>
                </c:pt>
                <c:pt idx="45">
                  <c:v>3854.2623572408179</c:v>
                </c:pt>
                <c:pt idx="46">
                  <c:v>3854.2623572408179</c:v>
                </c:pt>
                <c:pt idx="47">
                  <c:v>3854.2623572408179</c:v>
                </c:pt>
                <c:pt idx="48">
                  <c:v>3789.3028793097924</c:v>
                </c:pt>
                <c:pt idx="49">
                  <c:v>3789.3028793097924</c:v>
                </c:pt>
                <c:pt idx="50">
                  <c:v>3789.3028793097924</c:v>
                </c:pt>
                <c:pt idx="51">
                  <c:v>3789.3028793097924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'TTL NORMAL'!$A$20:$B$20</c:f>
              <c:strCache>
                <c:ptCount val="1"/>
                <c:pt idx="0">
                  <c:v>B12-A 2667</c:v>
                </c:pt>
              </c:strCache>
            </c:strRef>
          </c:tx>
          <c:marker>
            <c:symbol val="none"/>
          </c:marker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NORMAL'!$C$20:$BB$20</c:f>
              <c:numCache>
                <c:formatCode>0</c:formatCode>
                <c:ptCount val="52"/>
                <c:pt idx="0">
                  <c:v>1937.9577582755794</c:v>
                </c:pt>
                <c:pt idx="1">
                  <c:v>1937.9577582755794</c:v>
                </c:pt>
                <c:pt idx="2">
                  <c:v>1937.9577582755794</c:v>
                </c:pt>
                <c:pt idx="3">
                  <c:v>1937.9577582755794</c:v>
                </c:pt>
                <c:pt idx="4">
                  <c:v>2241.1019886203635</c:v>
                </c:pt>
                <c:pt idx="5">
                  <c:v>2241.1019886203635</c:v>
                </c:pt>
                <c:pt idx="6">
                  <c:v>2241.1019886203635</c:v>
                </c:pt>
                <c:pt idx="7">
                  <c:v>2241.1019886203635</c:v>
                </c:pt>
                <c:pt idx="8">
                  <c:v>2944.8296662064672</c:v>
                </c:pt>
                <c:pt idx="9">
                  <c:v>2944.8296662064672</c:v>
                </c:pt>
                <c:pt idx="10">
                  <c:v>2944.8296662064672</c:v>
                </c:pt>
                <c:pt idx="11">
                  <c:v>2944.8296662064672</c:v>
                </c:pt>
                <c:pt idx="12">
                  <c:v>3042.268883103005</c:v>
                </c:pt>
                <c:pt idx="13">
                  <c:v>3042.268883103005</c:v>
                </c:pt>
                <c:pt idx="14">
                  <c:v>3042.268883103005</c:v>
                </c:pt>
                <c:pt idx="15">
                  <c:v>3042.268883103005</c:v>
                </c:pt>
                <c:pt idx="16">
                  <c:v>3042.268883103005</c:v>
                </c:pt>
                <c:pt idx="17">
                  <c:v>1786.3856431031882</c:v>
                </c:pt>
                <c:pt idx="18">
                  <c:v>1786.3856431031882</c:v>
                </c:pt>
                <c:pt idx="19">
                  <c:v>1786.3856431031882</c:v>
                </c:pt>
                <c:pt idx="20">
                  <c:v>1786.3856431031882</c:v>
                </c:pt>
                <c:pt idx="21">
                  <c:v>3031.4423034478341</c:v>
                </c:pt>
                <c:pt idx="22">
                  <c:v>3031.4423034478341</c:v>
                </c:pt>
                <c:pt idx="23">
                  <c:v>3031.4423034478341</c:v>
                </c:pt>
                <c:pt idx="24">
                  <c:v>3031.4423034478341</c:v>
                </c:pt>
                <c:pt idx="25">
                  <c:v>3031.4423034478341</c:v>
                </c:pt>
                <c:pt idx="26">
                  <c:v>1678.1198465514797</c:v>
                </c:pt>
                <c:pt idx="27">
                  <c:v>1678.1198465514797</c:v>
                </c:pt>
                <c:pt idx="28">
                  <c:v>1678.1198465514797</c:v>
                </c:pt>
                <c:pt idx="29">
                  <c:v>1678.1198465514797</c:v>
                </c:pt>
                <c:pt idx="30">
                  <c:v>1678.1198465514797</c:v>
                </c:pt>
                <c:pt idx="31">
                  <c:v>1634.8135279307965</c:v>
                </c:pt>
                <c:pt idx="32">
                  <c:v>1634.8135279307965</c:v>
                </c:pt>
                <c:pt idx="33">
                  <c:v>1634.8135279307965</c:v>
                </c:pt>
                <c:pt idx="34">
                  <c:v>1634.8135279307965</c:v>
                </c:pt>
                <c:pt idx="35">
                  <c:v>3128.8815203443719</c:v>
                </c:pt>
                <c:pt idx="36">
                  <c:v>3128.8815203443719</c:v>
                </c:pt>
                <c:pt idx="37">
                  <c:v>3128.8815203443719</c:v>
                </c:pt>
                <c:pt idx="38">
                  <c:v>3128.8815203443719</c:v>
                </c:pt>
                <c:pt idx="39">
                  <c:v>3128.8815203443719</c:v>
                </c:pt>
                <c:pt idx="40">
                  <c:v>2879.8701882754422</c:v>
                </c:pt>
                <c:pt idx="41">
                  <c:v>2879.8701882754422</c:v>
                </c:pt>
                <c:pt idx="42">
                  <c:v>2879.8701882754422</c:v>
                </c:pt>
                <c:pt idx="43">
                  <c:v>2879.8701882754422</c:v>
                </c:pt>
                <c:pt idx="44">
                  <c:v>3854.2623572408179</c:v>
                </c:pt>
                <c:pt idx="45">
                  <c:v>3854.2623572408179</c:v>
                </c:pt>
                <c:pt idx="46">
                  <c:v>3854.2623572408179</c:v>
                </c:pt>
                <c:pt idx="47">
                  <c:v>3854.2623572408179</c:v>
                </c:pt>
                <c:pt idx="48">
                  <c:v>3789.3028793097924</c:v>
                </c:pt>
                <c:pt idx="49">
                  <c:v>3789.3028793097924</c:v>
                </c:pt>
                <c:pt idx="50">
                  <c:v>3789.3028793097924</c:v>
                </c:pt>
                <c:pt idx="51">
                  <c:v>3789.3028793097924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'TTL NORMAL'!$A$21:$B$21</c:f>
              <c:strCache>
                <c:ptCount val="1"/>
                <c:pt idx="0">
                  <c:v>B12-B 4838</c:v>
                </c:pt>
              </c:strCache>
            </c:strRef>
          </c:tx>
          <c:marker>
            <c:symbol val="none"/>
          </c:marker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NORMAL'!$C$21:$BB$21</c:f>
              <c:numCache>
                <c:formatCode>0</c:formatCode>
                <c:ptCount val="52"/>
                <c:pt idx="0">
                  <c:v>3515.9689850054447</c:v>
                </c:pt>
                <c:pt idx="1">
                  <c:v>3515.9689850054447</c:v>
                </c:pt>
                <c:pt idx="2">
                  <c:v>3515.9689850054447</c:v>
                </c:pt>
                <c:pt idx="3">
                  <c:v>3515.9689850054447</c:v>
                </c:pt>
                <c:pt idx="4">
                  <c:v>4065.9529603135602</c:v>
                </c:pt>
                <c:pt idx="5">
                  <c:v>4065.9529603135602</c:v>
                </c:pt>
                <c:pt idx="6">
                  <c:v>4065.9529603135602</c:v>
                </c:pt>
                <c:pt idx="7">
                  <c:v>4065.9529603135602</c:v>
                </c:pt>
                <c:pt idx="8">
                  <c:v>5342.7014744216813</c:v>
                </c:pt>
                <c:pt idx="9">
                  <c:v>5342.7014744216813</c:v>
                </c:pt>
                <c:pt idx="10">
                  <c:v>5342.7014744216813</c:v>
                </c:pt>
                <c:pt idx="11">
                  <c:v>5342.7014744216813</c:v>
                </c:pt>
                <c:pt idx="12">
                  <c:v>5519.4820379135763</c:v>
                </c:pt>
                <c:pt idx="13">
                  <c:v>5519.4820379135763</c:v>
                </c:pt>
                <c:pt idx="14">
                  <c:v>5519.4820379135763</c:v>
                </c:pt>
                <c:pt idx="15">
                  <c:v>5519.4820379135763</c:v>
                </c:pt>
                <c:pt idx="16">
                  <c:v>5519.4820379135763</c:v>
                </c:pt>
                <c:pt idx="17">
                  <c:v>3240.976997351388</c:v>
                </c:pt>
                <c:pt idx="18">
                  <c:v>3240.976997351388</c:v>
                </c:pt>
                <c:pt idx="19">
                  <c:v>3240.976997351388</c:v>
                </c:pt>
                <c:pt idx="20">
                  <c:v>3240.976997351388</c:v>
                </c:pt>
                <c:pt idx="21">
                  <c:v>5499.8397530811426</c:v>
                </c:pt>
                <c:pt idx="22">
                  <c:v>5499.8397530811426</c:v>
                </c:pt>
                <c:pt idx="23">
                  <c:v>5499.8397530811426</c:v>
                </c:pt>
                <c:pt idx="24">
                  <c:v>5499.8397530811426</c:v>
                </c:pt>
                <c:pt idx="25">
                  <c:v>5499.8397530811426</c:v>
                </c:pt>
                <c:pt idx="26">
                  <c:v>3044.5541490270616</c:v>
                </c:pt>
                <c:pt idx="27">
                  <c:v>3044.5541490270616</c:v>
                </c:pt>
                <c:pt idx="28">
                  <c:v>3044.5541490270616</c:v>
                </c:pt>
                <c:pt idx="29">
                  <c:v>3044.5541490270616</c:v>
                </c:pt>
                <c:pt idx="30">
                  <c:v>3044.5541490270616</c:v>
                </c:pt>
                <c:pt idx="31">
                  <c:v>2965.985009697331</c:v>
                </c:pt>
                <c:pt idx="32">
                  <c:v>2965.985009697331</c:v>
                </c:pt>
                <c:pt idx="33">
                  <c:v>2965.985009697331</c:v>
                </c:pt>
                <c:pt idx="34">
                  <c:v>2965.985009697331</c:v>
                </c:pt>
                <c:pt idx="35">
                  <c:v>5676.6203165730376</c:v>
                </c:pt>
                <c:pt idx="36">
                  <c:v>5676.6203165730376</c:v>
                </c:pt>
                <c:pt idx="37">
                  <c:v>5676.6203165730376</c:v>
                </c:pt>
                <c:pt idx="38">
                  <c:v>5676.6203165730376</c:v>
                </c:pt>
                <c:pt idx="39">
                  <c:v>5676.6203165730376</c:v>
                </c:pt>
                <c:pt idx="40">
                  <c:v>5224.8477654270855</c:v>
                </c:pt>
                <c:pt idx="41">
                  <c:v>5224.8477654270855</c:v>
                </c:pt>
                <c:pt idx="42">
                  <c:v>5224.8477654270855</c:v>
                </c:pt>
                <c:pt idx="43">
                  <c:v>5224.8477654270855</c:v>
                </c:pt>
                <c:pt idx="44">
                  <c:v>6992.6534003460256</c:v>
                </c:pt>
                <c:pt idx="45">
                  <c:v>6992.6534003460256</c:v>
                </c:pt>
                <c:pt idx="46">
                  <c:v>6992.6534003460256</c:v>
                </c:pt>
                <c:pt idx="47">
                  <c:v>6992.6534003460256</c:v>
                </c:pt>
                <c:pt idx="48">
                  <c:v>6874.799691351428</c:v>
                </c:pt>
                <c:pt idx="49">
                  <c:v>6874.799691351428</c:v>
                </c:pt>
                <c:pt idx="50">
                  <c:v>6874.799691351428</c:v>
                </c:pt>
                <c:pt idx="51">
                  <c:v>6874.799691351428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'TTL NORMAL'!$A$22:$B$22</c:f>
              <c:strCache>
                <c:ptCount val="1"/>
                <c:pt idx="0">
                  <c:v>B12-C 2667</c:v>
                </c:pt>
              </c:strCache>
            </c:strRef>
          </c:tx>
          <c:marker>
            <c:symbol val="none"/>
          </c:marker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NORMAL'!$C$22:$BB$22</c:f>
              <c:numCache>
                <c:formatCode>0</c:formatCode>
                <c:ptCount val="52"/>
                <c:pt idx="0">
                  <c:v>1937.9577582755794</c:v>
                </c:pt>
                <c:pt idx="1">
                  <c:v>1937.9577582755794</c:v>
                </c:pt>
                <c:pt idx="2">
                  <c:v>1937.9577582755794</c:v>
                </c:pt>
                <c:pt idx="3">
                  <c:v>1937.9577582755794</c:v>
                </c:pt>
                <c:pt idx="4">
                  <c:v>2241.1019886203635</c:v>
                </c:pt>
                <c:pt idx="5">
                  <c:v>2241.1019886203635</c:v>
                </c:pt>
                <c:pt idx="6">
                  <c:v>2241.1019886203635</c:v>
                </c:pt>
                <c:pt idx="7">
                  <c:v>2241.1019886203635</c:v>
                </c:pt>
                <c:pt idx="8">
                  <c:v>2944.8296662064672</c:v>
                </c:pt>
                <c:pt idx="9">
                  <c:v>2944.8296662064672</c:v>
                </c:pt>
                <c:pt idx="10">
                  <c:v>2944.8296662064672</c:v>
                </c:pt>
                <c:pt idx="11">
                  <c:v>2944.8296662064672</c:v>
                </c:pt>
                <c:pt idx="12">
                  <c:v>3042.268883103005</c:v>
                </c:pt>
                <c:pt idx="13">
                  <c:v>3042.268883103005</c:v>
                </c:pt>
                <c:pt idx="14">
                  <c:v>3042.268883103005</c:v>
                </c:pt>
                <c:pt idx="15">
                  <c:v>3042.268883103005</c:v>
                </c:pt>
                <c:pt idx="16">
                  <c:v>3042.268883103005</c:v>
                </c:pt>
                <c:pt idx="17">
                  <c:v>1786.3856431031882</c:v>
                </c:pt>
                <c:pt idx="18">
                  <c:v>1786.3856431031882</c:v>
                </c:pt>
                <c:pt idx="19">
                  <c:v>1786.3856431031882</c:v>
                </c:pt>
                <c:pt idx="20">
                  <c:v>1786.3856431031882</c:v>
                </c:pt>
                <c:pt idx="21">
                  <c:v>3031.4423034478341</c:v>
                </c:pt>
                <c:pt idx="22">
                  <c:v>3031.4423034478341</c:v>
                </c:pt>
                <c:pt idx="23">
                  <c:v>3031.4423034478341</c:v>
                </c:pt>
                <c:pt idx="24">
                  <c:v>3031.4423034478341</c:v>
                </c:pt>
                <c:pt idx="25">
                  <c:v>3031.4423034478341</c:v>
                </c:pt>
                <c:pt idx="26">
                  <c:v>1678.1198465514797</c:v>
                </c:pt>
                <c:pt idx="27">
                  <c:v>1678.1198465514797</c:v>
                </c:pt>
                <c:pt idx="28">
                  <c:v>1678.1198465514797</c:v>
                </c:pt>
                <c:pt idx="29">
                  <c:v>1678.1198465514797</c:v>
                </c:pt>
                <c:pt idx="30">
                  <c:v>1678.1198465514797</c:v>
                </c:pt>
                <c:pt idx="31">
                  <c:v>1634.8135279307965</c:v>
                </c:pt>
                <c:pt idx="32">
                  <c:v>1634.8135279307965</c:v>
                </c:pt>
                <c:pt idx="33">
                  <c:v>1634.8135279307965</c:v>
                </c:pt>
                <c:pt idx="34">
                  <c:v>1634.8135279307965</c:v>
                </c:pt>
                <c:pt idx="35">
                  <c:v>3128.8815203443719</c:v>
                </c:pt>
                <c:pt idx="36">
                  <c:v>3128.8815203443719</c:v>
                </c:pt>
                <c:pt idx="37">
                  <c:v>3128.8815203443719</c:v>
                </c:pt>
                <c:pt idx="38">
                  <c:v>3128.8815203443719</c:v>
                </c:pt>
                <c:pt idx="39">
                  <c:v>3128.8815203443719</c:v>
                </c:pt>
                <c:pt idx="40">
                  <c:v>2879.8701882754422</c:v>
                </c:pt>
                <c:pt idx="41">
                  <c:v>2879.8701882754422</c:v>
                </c:pt>
                <c:pt idx="42">
                  <c:v>2879.8701882754422</c:v>
                </c:pt>
                <c:pt idx="43">
                  <c:v>2879.8701882754422</c:v>
                </c:pt>
                <c:pt idx="44">
                  <c:v>3854.2623572408179</c:v>
                </c:pt>
                <c:pt idx="45">
                  <c:v>3854.2623572408179</c:v>
                </c:pt>
                <c:pt idx="46">
                  <c:v>3854.2623572408179</c:v>
                </c:pt>
                <c:pt idx="47">
                  <c:v>3854.2623572408179</c:v>
                </c:pt>
                <c:pt idx="48">
                  <c:v>3789.3028793097924</c:v>
                </c:pt>
                <c:pt idx="49">
                  <c:v>3789.3028793097924</c:v>
                </c:pt>
                <c:pt idx="50">
                  <c:v>3789.3028793097924</c:v>
                </c:pt>
                <c:pt idx="51">
                  <c:v>3789.3028793097924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'TTL NORMAL'!$A$23:$B$23</c:f>
              <c:strCache>
                <c:ptCount val="1"/>
                <c:pt idx="0">
                  <c:v>B13-A 2667</c:v>
                </c:pt>
              </c:strCache>
            </c:strRef>
          </c:tx>
          <c:marker>
            <c:symbol val="none"/>
          </c:marker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NORMAL'!$C$23:$BB$23</c:f>
              <c:numCache>
                <c:formatCode>0</c:formatCode>
                <c:ptCount val="52"/>
                <c:pt idx="0">
                  <c:v>1937.9577582755794</c:v>
                </c:pt>
                <c:pt idx="1">
                  <c:v>1937.9577582755794</c:v>
                </c:pt>
                <c:pt idx="2">
                  <c:v>1937.9577582755794</c:v>
                </c:pt>
                <c:pt idx="3">
                  <c:v>1937.9577582755794</c:v>
                </c:pt>
                <c:pt idx="4">
                  <c:v>2241.1019886203635</c:v>
                </c:pt>
                <c:pt idx="5">
                  <c:v>2241.1019886203635</c:v>
                </c:pt>
                <c:pt idx="6">
                  <c:v>2241.1019886203635</c:v>
                </c:pt>
                <c:pt idx="7">
                  <c:v>2241.1019886203635</c:v>
                </c:pt>
                <c:pt idx="8">
                  <c:v>2944.8296662064672</c:v>
                </c:pt>
                <c:pt idx="9">
                  <c:v>2944.8296662064672</c:v>
                </c:pt>
                <c:pt idx="10">
                  <c:v>2944.8296662064672</c:v>
                </c:pt>
                <c:pt idx="11">
                  <c:v>2944.8296662064672</c:v>
                </c:pt>
                <c:pt idx="12">
                  <c:v>3042.268883103005</c:v>
                </c:pt>
                <c:pt idx="13">
                  <c:v>3042.268883103005</c:v>
                </c:pt>
                <c:pt idx="14">
                  <c:v>3042.268883103005</c:v>
                </c:pt>
                <c:pt idx="15">
                  <c:v>3042.268883103005</c:v>
                </c:pt>
                <c:pt idx="16">
                  <c:v>3042.268883103005</c:v>
                </c:pt>
                <c:pt idx="17">
                  <c:v>1786.3856431031882</c:v>
                </c:pt>
                <c:pt idx="18">
                  <c:v>1786.3856431031882</c:v>
                </c:pt>
                <c:pt idx="19">
                  <c:v>1786.3856431031882</c:v>
                </c:pt>
                <c:pt idx="20">
                  <c:v>1786.3856431031882</c:v>
                </c:pt>
                <c:pt idx="21">
                  <c:v>3031.4423034478341</c:v>
                </c:pt>
                <c:pt idx="22">
                  <c:v>3031.4423034478341</c:v>
                </c:pt>
                <c:pt idx="23">
                  <c:v>3031.4423034478341</c:v>
                </c:pt>
                <c:pt idx="24">
                  <c:v>3031.4423034478341</c:v>
                </c:pt>
                <c:pt idx="25">
                  <c:v>3031.4423034478341</c:v>
                </c:pt>
                <c:pt idx="26">
                  <c:v>1678.1198465514797</c:v>
                </c:pt>
                <c:pt idx="27">
                  <c:v>1678.1198465514797</c:v>
                </c:pt>
                <c:pt idx="28">
                  <c:v>1678.1198465514797</c:v>
                </c:pt>
                <c:pt idx="29">
                  <c:v>1678.1198465514797</c:v>
                </c:pt>
                <c:pt idx="30">
                  <c:v>1678.1198465514797</c:v>
                </c:pt>
                <c:pt idx="31">
                  <c:v>1634.8135279307965</c:v>
                </c:pt>
                <c:pt idx="32">
                  <c:v>1634.8135279307965</c:v>
                </c:pt>
                <c:pt idx="33">
                  <c:v>1634.8135279307965</c:v>
                </c:pt>
                <c:pt idx="34">
                  <c:v>1634.8135279307965</c:v>
                </c:pt>
                <c:pt idx="35">
                  <c:v>3128.8815203443719</c:v>
                </c:pt>
                <c:pt idx="36">
                  <c:v>3128.8815203443719</c:v>
                </c:pt>
                <c:pt idx="37">
                  <c:v>3128.8815203443719</c:v>
                </c:pt>
                <c:pt idx="38">
                  <c:v>3128.8815203443719</c:v>
                </c:pt>
                <c:pt idx="39">
                  <c:v>3128.8815203443719</c:v>
                </c:pt>
                <c:pt idx="40">
                  <c:v>2879.8701882754422</c:v>
                </c:pt>
                <c:pt idx="41">
                  <c:v>2879.8701882754422</c:v>
                </c:pt>
                <c:pt idx="42">
                  <c:v>2879.8701882754422</c:v>
                </c:pt>
                <c:pt idx="43">
                  <c:v>2879.8701882754422</c:v>
                </c:pt>
                <c:pt idx="44">
                  <c:v>3854.2623572408179</c:v>
                </c:pt>
                <c:pt idx="45">
                  <c:v>3854.2623572408179</c:v>
                </c:pt>
                <c:pt idx="46">
                  <c:v>3854.2623572408179</c:v>
                </c:pt>
                <c:pt idx="47">
                  <c:v>3854.2623572408179</c:v>
                </c:pt>
                <c:pt idx="48">
                  <c:v>3789.3028793097924</c:v>
                </c:pt>
                <c:pt idx="49">
                  <c:v>3789.3028793097924</c:v>
                </c:pt>
                <c:pt idx="50">
                  <c:v>3789.3028793097924</c:v>
                </c:pt>
                <c:pt idx="51">
                  <c:v>3789.3028793097924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'TTL NORMAL'!$A$24:$B$24</c:f>
              <c:strCache>
                <c:ptCount val="1"/>
                <c:pt idx="0">
                  <c:v>B13-B 4838</c:v>
                </c:pt>
              </c:strCache>
            </c:strRef>
          </c:tx>
          <c:marker>
            <c:symbol val="none"/>
          </c:marker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NORMAL'!$C$24:$BB$24</c:f>
              <c:numCache>
                <c:formatCode>0</c:formatCode>
                <c:ptCount val="52"/>
                <c:pt idx="0">
                  <c:v>3515.9689850054447</c:v>
                </c:pt>
                <c:pt idx="1">
                  <c:v>3515.9689850054447</c:v>
                </c:pt>
                <c:pt idx="2">
                  <c:v>3515.9689850054447</c:v>
                </c:pt>
                <c:pt idx="3">
                  <c:v>3515.9689850054447</c:v>
                </c:pt>
                <c:pt idx="4">
                  <c:v>4065.9529603135602</c:v>
                </c:pt>
                <c:pt idx="5">
                  <c:v>4065.9529603135602</c:v>
                </c:pt>
                <c:pt idx="6">
                  <c:v>4065.9529603135602</c:v>
                </c:pt>
                <c:pt idx="7">
                  <c:v>4065.9529603135602</c:v>
                </c:pt>
                <c:pt idx="8">
                  <c:v>5342.7014744216813</c:v>
                </c:pt>
                <c:pt idx="9">
                  <c:v>5342.7014744216813</c:v>
                </c:pt>
                <c:pt idx="10">
                  <c:v>5342.7014744216813</c:v>
                </c:pt>
                <c:pt idx="11">
                  <c:v>5342.7014744216813</c:v>
                </c:pt>
                <c:pt idx="12">
                  <c:v>5519.4820379135763</c:v>
                </c:pt>
                <c:pt idx="13">
                  <c:v>5519.4820379135763</c:v>
                </c:pt>
                <c:pt idx="14">
                  <c:v>5519.4820379135763</c:v>
                </c:pt>
                <c:pt idx="15">
                  <c:v>5519.4820379135763</c:v>
                </c:pt>
                <c:pt idx="16">
                  <c:v>5519.4820379135763</c:v>
                </c:pt>
                <c:pt idx="17">
                  <c:v>3240.976997351388</c:v>
                </c:pt>
                <c:pt idx="18">
                  <c:v>3240.976997351388</c:v>
                </c:pt>
                <c:pt idx="19">
                  <c:v>3240.976997351388</c:v>
                </c:pt>
                <c:pt idx="20">
                  <c:v>3240.976997351388</c:v>
                </c:pt>
                <c:pt idx="21">
                  <c:v>5499.8397530811426</c:v>
                </c:pt>
                <c:pt idx="22">
                  <c:v>5499.8397530811426</c:v>
                </c:pt>
                <c:pt idx="23">
                  <c:v>5499.8397530811426</c:v>
                </c:pt>
                <c:pt idx="24">
                  <c:v>5499.8397530811426</c:v>
                </c:pt>
                <c:pt idx="25">
                  <c:v>5499.8397530811426</c:v>
                </c:pt>
                <c:pt idx="26">
                  <c:v>3044.5541490270616</c:v>
                </c:pt>
                <c:pt idx="27">
                  <c:v>3044.5541490270616</c:v>
                </c:pt>
                <c:pt idx="28">
                  <c:v>3044.5541490270616</c:v>
                </c:pt>
                <c:pt idx="29">
                  <c:v>3044.5541490270616</c:v>
                </c:pt>
                <c:pt idx="30">
                  <c:v>3044.5541490270616</c:v>
                </c:pt>
                <c:pt idx="31">
                  <c:v>2965.985009697331</c:v>
                </c:pt>
                <c:pt idx="32">
                  <c:v>2965.985009697331</c:v>
                </c:pt>
                <c:pt idx="33">
                  <c:v>2965.985009697331</c:v>
                </c:pt>
                <c:pt idx="34">
                  <c:v>2965.985009697331</c:v>
                </c:pt>
                <c:pt idx="35">
                  <c:v>5676.6203165730376</c:v>
                </c:pt>
                <c:pt idx="36">
                  <c:v>5676.6203165730376</c:v>
                </c:pt>
                <c:pt idx="37">
                  <c:v>5676.6203165730376</c:v>
                </c:pt>
                <c:pt idx="38">
                  <c:v>5676.6203165730376</c:v>
                </c:pt>
                <c:pt idx="39">
                  <c:v>5676.6203165730376</c:v>
                </c:pt>
                <c:pt idx="40">
                  <c:v>5224.8477654270855</c:v>
                </c:pt>
                <c:pt idx="41">
                  <c:v>5224.8477654270855</c:v>
                </c:pt>
                <c:pt idx="42">
                  <c:v>5224.8477654270855</c:v>
                </c:pt>
                <c:pt idx="43">
                  <c:v>5224.8477654270855</c:v>
                </c:pt>
                <c:pt idx="44">
                  <c:v>6992.6534003460256</c:v>
                </c:pt>
                <c:pt idx="45">
                  <c:v>6992.6534003460256</c:v>
                </c:pt>
                <c:pt idx="46">
                  <c:v>6992.6534003460256</c:v>
                </c:pt>
                <c:pt idx="47">
                  <c:v>6992.6534003460256</c:v>
                </c:pt>
                <c:pt idx="48">
                  <c:v>6874.799691351428</c:v>
                </c:pt>
                <c:pt idx="49">
                  <c:v>6874.799691351428</c:v>
                </c:pt>
                <c:pt idx="50">
                  <c:v>6874.799691351428</c:v>
                </c:pt>
                <c:pt idx="51">
                  <c:v>6874.799691351428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'TTL NORMAL'!$A$25:$B$25</c:f>
              <c:strCache>
                <c:ptCount val="1"/>
                <c:pt idx="0">
                  <c:v>B13-C 2667</c:v>
                </c:pt>
              </c:strCache>
            </c:strRef>
          </c:tx>
          <c:marker>
            <c:symbol val="none"/>
          </c:marker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NORMAL'!$C$25:$BB$25</c:f>
              <c:numCache>
                <c:formatCode>0</c:formatCode>
                <c:ptCount val="52"/>
                <c:pt idx="0">
                  <c:v>1937.9577582755794</c:v>
                </c:pt>
                <c:pt idx="1">
                  <c:v>1937.9577582755794</c:v>
                </c:pt>
                <c:pt idx="2">
                  <c:v>1937.9577582755794</c:v>
                </c:pt>
                <c:pt idx="3">
                  <c:v>1937.9577582755794</c:v>
                </c:pt>
                <c:pt idx="4">
                  <c:v>2241.1019886203635</c:v>
                </c:pt>
                <c:pt idx="5">
                  <c:v>2241.1019886203635</c:v>
                </c:pt>
                <c:pt idx="6">
                  <c:v>2241.1019886203635</c:v>
                </c:pt>
                <c:pt idx="7">
                  <c:v>2241.1019886203635</c:v>
                </c:pt>
                <c:pt idx="8">
                  <c:v>2944.8296662064672</c:v>
                </c:pt>
                <c:pt idx="9">
                  <c:v>2944.8296662064672</c:v>
                </c:pt>
                <c:pt idx="10">
                  <c:v>2944.8296662064672</c:v>
                </c:pt>
                <c:pt idx="11">
                  <c:v>2944.8296662064672</c:v>
                </c:pt>
                <c:pt idx="12">
                  <c:v>3042.268883103005</c:v>
                </c:pt>
                <c:pt idx="13">
                  <c:v>3042.268883103005</c:v>
                </c:pt>
                <c:pt idx="14">
                  <c:v>3042.268883103005</c:v>
                </c:pt>
                <c:pt idx="15">
                  <c:v>3042.268883103005</c:v>
                </c:pt>
                <c:pt idx="16">
                  <c:v>3042.268883103005</c:v>
                </c:pt>
                <c:pt idx="17">
                  <c:v>1786.3856431031882</c:v>
                </c:pt>
                <c:pt idx="18">
                  <c:v>1786.3856431031882</c:v>
                </c:pt>
                <c:pt idx="19">
                  <c:v>1786.3856431031882</c:v>
                </c:pt>
                <c:pt idx="20">
                  <c:v>1786.3856431031882</c:v>
                </c:pt>
                <c:pt idx="21">
                  <c:v>3031.4423034478341</c:v>
                </c:pt>
                <c:pt idx="22">
                  <c:v>3031.4423034478341</c:v>
                </c:pt>
                <c:pt idx="23">
                  <c:v>3031.4423034478341</c:v>
                </c:pt>
                <c:pt idx="24">
                  <c:v>3031.4423034478341</c:v>
                </c:pt>
                <c:pt idx="25">
                  <c:v>3031.4423034478341</c:v>
                </c:pt>
                <c:pt idx="26">
                  <c:v>1678.1198465514797</c:v>
                </c:pt>
                <c:pt idx="27">
                  <c:v>1678.1198465514797</c:v>
                </c:pt>
                <c:pt idx="28">
                  <c:v>1678.1198465514797</c:v>
                </c:pt>
                <c:pt idx="29">
                  <c:v>1678.1198465514797</c:v>
                </c:pt>
                <c:pt idx="30">
                  <c:v>1678.1198465514797</c:v>
                </c:pt>
                <c:pt idx="31">
                  <c:v>1634.8135279307965</c:v>
                </c:pt>
                <c:pt idx="32">
                  <c:v>1634.8135279307965</c:v>
                </c:pt>
                <c:pt idx="33">
                  <c:v>1634.8135279307965</c:v>
                </c:pt>
                <c:pt idx="34">
                  <c:v>1634.8135279307965</c:v>
                </c:pt>
                <c:pt idx="35">
                  <c:v>3128.8815203443719</c:v>
                </c:pt>
                <c:pt idx="36">
                  <c:v>3128.8815203443719</c:v>
                </c:pt>
                <c:pt idx="37">
                  <c:v>3128.8815203443719</c:v>
                </c:pt>
                <c:pt idx="38">
                  <c:v>3128.8815203443719</c:v>
                </c:pt>
                <c:pt idx="39">
                  <c:v>3128.8815203443719</c:v>
                </c:pt>
                <c:pt idx="40">
                  <c:v>2879.8701882754422</c:v>
                </c:pt>
                <c:pt idx="41">
                  <c:v>2879.8701882754422</c:v>
                </c:pt>
                <c:pt idx="42">
                  <c:v>2879.8701882754422</c:v>
                </c:pt>
                <c:pt idx="43">
                  <c:v>2879.8701882754422</c:v>
                </c:pt>
                <c:pt idx="44">
                  <c:v>3854.2623572408179</c:v>
                </c:pt>
                <c:pt idx="45">
                  <c:v>3854.2623572408179</c:v>
                </c:pt>
                <c:pt idx="46">
                  <c:v>3854.2623572408179</c:v>
                </c:pt>
                <c:pt idx="47">
                  <c:v>3854.2623572408179</c:v>
                </c:pt>
                <c:pt idx="48">
                  <c:v>3789.3028793097924</c:v>
                </c:pt>
                <c:pt idx="49">
                  <c:v>3789.3028793097924</c:v>
                </c:pt>
                <c:pt idx="50">
                  <c:v>3789.3028793097924</c:v>
                </c:pt>
                <c:pt idx="51">
                  <c:v>3789.3028793097924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'TTL NORMAL'!$A$26:$B$26</c:f>
              <c:strCache>
                <c:ptCount val="1"/>
                <c:pt idx="0">
                  <c:v>B14-A 2667</c:v>
                </c:pt>
              </c:strCache>
            </c:strRef>
          </c:tx>
          <c:marker>
            <c:symbol val="none"/>
          </c:marker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NORMAL'!$C$26:$BB$26</c:f>
              <c:numCache>
                <c:formatCode>0</c:formatCode>
                <c:ptCount val="52"/>
                <c:pt idx="0">
                  <c:v>1937.9577582755794</c:v>
                </c:pt>
                <c:pt idx="1">
                  <c:v>1937.9577582755794</c:v>
                </c:pt>
                <c:pt idx="2">
                  <c:v>1937.9577582755794</c:v>
                </c:pt>
                <c:pt idx="3">
                  <c:v>1937.9577582755794</c:v>
                </c:pt>
                <c:pt idx="4">
                  <c:v>2241.1019886203635</c:v>
                </c:pt>
                <c:pt idx="5">
                  <c:v>2241.1019886203635</c:v>
                </c:pt>
                <c:pt idx="6">
                  <c:v>2241.1019886203635</c:v>
                </c:pt>
                <c:pt idx="7">
                  <c:v>2241.1019886203635</c:v>
                </c:pt>
                <c:pt idx="8">
                  <c:v>2944.8296662064672</c:v>
                </c:pt>
                <c:pt idx="9">
                  <c:v>2944.8296662064672</c:v>
                </c:pt>
                <c:pt idx="10">
                  <c:v>2944.8296662064672</c:v>
                </c:pt>
                <c:pt idx="11">
                  <c:v>2944.8296662064672</c:v>
                </c:pt>
                <c:pt idx="12">
                  <c:v>3042.268883103005</c:v>
                </c:pt>
                <c:pt idx="13">
                  <c:v>3042.268883103005</c:v>
                </c:pt>
                <c:pt idx="14">
                  <c:v>3042.268883103005</c:v>
                </c:pt>
                <c:pt idx="15">
                  <c:v>3042.268883103005</c:v>
                </c:pt>
                <c:pt idx="16">
                  <c:v>3042.268883103005</c:v>
                </c:pt>
                <c:pt idx="17">
                  <c:v>1786.3856431031882</c:v>
                </c:pt>
                <c:pt idx="18">
                  <c:v>1786.3856431031882</c:v>
                </c:pt>
                <c:pt idx="19">
                  <c:v>1786.3856431031882</c:v>
                </c:pt>
                <c:pt idx="20">
                  <c:v>1786.3856431031882</c:v>
                </c:pt>
                <c:pt idx="21">
                  <c:v>3031.4423034478341</c:v>
                </c:pt>
                <c:pt idx="22">
                  <c:v>3031.4423034478341</c:v>
                </c:pt>
                <c:pt idx="23">
                  <c:v>3031.4423034478341</c:v>
                </c:pt>
                <c:pt idx="24">
                  <c:v>3031.4423034478341</c:v>
                </c:pt>
                <c:pt idx="25">
                  <c:v>3031.4423034478341</c:v>
                </c:pt>
                <c:pt idx="26">
                  <c:v>1678.1198465514797</c:v>
                </c:pt>
                <c:pt idx="27">
                  <c:v>1678.1198465514797</c:v>
                </c:pt>
                <c:pt idx="28">
                  <c:v>1678.1198465514797</c:v>
                </c:pt>
                <c:pt idx="29">
                  <c:v>1678.1198465514797</c:v>
                </c:pt>
                <c:pt idx="30">
                  <c:v>1678.1198465514797</c:v>
                </c:pt>
                <c:pt idx="31">
                  <c:v>1634.8135279307965</c:v>
                </c:pt>
                <c:pt idx="32">
                  <c:v>1634.8135279307965</c:v>
                </c:pt>
                <c:pt idx="33">
                  <c:v>1634.8135279307965</c:v>
                </c:pt>
                <c:pt idx="34">
                  <c:v>1634.8135279307965</c:v>
                </c:pt>
                <c:pt idx="35">
                  <c:v>3128.8815203443719</c:v>
                </c:pt>
                <c:pt idx="36">
                  <c:v>3128.8815203443719</c:v>
                </c:pt>
                <c:pt idx="37">
                  <c:v>3128.8815203443719</c:v>
                </c:pt>
                <c:pt idx="38">
                  <c:v>3128.8815203443719</c:v>
                </c:pt>
                <c:pt idx="39">
                  <c:v>3128.8815203443719</c:v>
                </c:pt>
                <c:pt idx="40">
                  <c:v>2879.8701882754422</c:v>
                </c:pt>
                <c:pt idx="41">
                  <c:v>2879.8701882754422</c:v>
                </c:pt>
                <c:pt idx="42">
                  <c:v>2879.8701882754422</c:v>
                </c:pt>
                <c:pt idx="43">
                  <c:v>2879.8701882754422</c:v>
                </c:pt>
                <c:pt idx="44">
                  <c:v>3854.2623572408179</c:v>
                </c:pt>
                <c:pt idx="45">
                  <c:v>3854.2623572408179</c:v>
                </c:pt>
                <c:pt idx="46">
                  <c:v>3854.2623572408179</c:v>
                </c:pt>
                <c:pt idx="47">
                  <c:v>3854.2623572408179</c:v>
                </c:pt>
                <c:pt idx="48">
                  <c:v>3789.3028793097924</c:v>
                </c:pt>
                <c:pt idx="49">
                  <c:v>3789.3028793097924</c:v>
                </c:pt>
                <c:pt idx="50">
                  <c:v>3789.3028793097924</c:v>
                </c:pt>
                <c:pt idx="51">
                  <c:v>3789.3028793097924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'TTL NORMAL'!$A$27:$B$27</c:f>
              <c:strCache>
                <c:ptCount val="1"/>
                <c:pt idx="0">
                  <c:v>B14-B 4838</c:v>
                </c:pt>
              </c:strCache>
            </c:strRef>
          </c:tx>
          <c:marker>
            <c:symbol val="none"/>
          </c:marker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NORMAL'!$C$27:$BB$27</c:f>
              <c:numCache>
                <c:formatCode>0</c:formatCode>
                <c:ptCount val="52"/>
                <c:pt idx="0">
                  <c:v>3515.9689850054447</c:v>
                </c:pt>
                <c:pt idx="1">
                  <c:v>3515.9689850054447</c:v>
                </c:pt>
                <c:pt idx="2">
                  <c:v>3515.9689850054447</c:v>
                </c:pt>
                <c:pt idx="3">
                  <c:v>3515.9689850054447</c:v>
                </c:pt>
                <c:pt idx="4">
                  <c:v>4065.9529603135602</c:v>
                </c:pt>
                <c:pt idx="5">
                  <c:v>4065.9529603135602</c:v>
                </c:pt>
                <c:pt idx="6">
                  <c:v>4065.9529603135602</c:v>
                </c:pt>
                <c:pt idx="7">
                  <c:v>4065.9529603135602</c:v>
                </c:pt>
                <c:pt idx="8">
                  <c:v>5342.7014744216813</c:v>
                </c:pt>
                <c:pt idx="9">
                  <c:v>5342.7014744216813</c:v>
                </c:pt>
                <c:pt idx="10">
                  <c:v>5342.7014744216813</c:v>
                </c:pt>
                <c:pt idx="11">
                  <c:v>5342.7014744216813</c:v>
                </c:pt>
                <c:pt idx="12">
                  <c:v>5519.4820379135763</c:v>
                </c:pt>
                <c:pt idx="13">
                  <c:v>5519.4820379135763</c:v>
                </c:pt>
                <c:pt idx="14">
                  <c:v>5519.4820379135763</c:v>
                </c:pt>
                <c:pt idx="15">
                  <c:v>5519.4820379135763</c:v>
                </c:pt>
                <c:pt idx="16">
                  <c:v>5519.4820379135763</c:v>
                </c:pt>
                <c:pt idx="17">
                  <c:v>3240.976997351388</c:v>
                </c:pt>
                <c:pt idx="18">
                  <c:v>3240.976997351388</c:v>
                </c:pt>
                <c:pt idx="19">
                  <c:v>3240.976997351388</c:v>
                </c:pt>
                <c:pt idx="20">
                  <c:v>3240.976997351388</c:v>
                </c:pt>
                <c:pt idx="21">
                  <c:v>5499.8397530811426</c:v>
                </c:pt>
                <c:pt idx="22">
                  <c:v>5499.8397530811426</c:v>
                </c:pt>
                <c:pt idx="23">
                  <c:v>5499.8397530811426</c:v>
                </c:pt>
                <c:pt idx="24">
                  <c:v>5499.8397530811426</c:v>
                </c:pt>
                <c:pt idx="25">
                  <c:v>5499.8397530811426</c:v>
                </c:pt>
                <c:pt idx="26">
                  <c:v>3044.5541490270616</c:v>
                </c:pt>
                <c:pt idx="27">
                  <c:v>3044.5541490270616</c:v>
                </c:pt>
                <c:pt idx="28">
                  <c:v>3044.5541490270616</c:v>
                </c:pt>
                <c:pt idx="29">
                  <c:v>3044.5541490270616</c:v>
                </c:pt>
                <c:pt idx="30">
                  <c:v>3044.5541490270616</c:v>
                </c:pt>
                <c:pt idx="31">
                  <c:v>2965.985009697331</c:v>
                </c:pt>
                <c:pt idx="32">
                  <c:v>2965.985009697331</c:v>
                </c:pt>
                <c:pt idx="33">
                  <c:v>2965.985009697331</c:v>
                </c:pt>
                <c:pt idx="34">
                  <c:v>2965.985009697331</c:v>
                </c:pt>
                <c:pt idx="35">
                  <c:v>5676.6203165730376</c:v>
                </c:pt>
                <c:pt idx="36">
                  <c:v>5676.6203165730376</c:v>
                </c:pt>
                <c:pt idx="37">
                  <c:v>5676.6203165730376</c:v>
                </c:pt>
                <c:pt idx="38">
                  <c:v>5676.6203165730376</c:v>
                </c:pt>
                <c:pt idx="39">
                  <c:v>5676.6203165730376</c:v>
                </c:pt>
                <c:pt idx="40">
                  <c:v>5224.8477654270855</c:v>
                </c:pt>
                <c:pt idx="41">
                  <c:v>5224.8477654270855</c:v>
                </c:pt>
                <c:pt idx="42">
                  <c:v>5224.8477654270855</c:v>
                </c:pt>
                <c:pt idx="43">
                  <c:v>5224.8477654270855</c:v>
                </c:pt>
                <c:pt idx="44">
                  <c:v>6992.6534003460256</c:v>
                </c:pt>
                <c:pt idx="45">
                  <c:v>6992.6534003460256</c:v>
                </c:pt>
                <c:pt idx="46">
                  <c:v>6992.6534003460256</c:v>
                </c:pt>
                <c:pt idx="47">
                  <c:v>6992.6534003460256</c:v>
                </c:pt>
                <c:pt idx="48">
                  <c:v>6874.799691351428</c:v>
                </c:pt>
                <c:pt idx="49">
                  <c:v>6874.799691351428</c:v>
                </c:pt>
                <c:pt idx="50">
                  <c:v>6874.799691351428</c:v>
                </c:pt>
                <c:pt idx="51">
                  <c:v>6874.799691351428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'TTL NORMAL'!$A$28:$B$28</c:f>
              <c:strCache>
                <c:ptCount val="1"/>
                <c:pt idx="0">
                  <c:v>B14-C 2667</c:v>
                </c:pt>
              </c:strCache>
            </c:strRef>
          </c:tx>
          <c:marker>
            <c:symbol val="none"/>
          </c:marker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NORMAL'!$C$28:$BB$28</c:f>
              <c:numCache>
                <c:formatCode>0</c:formatCode>
                <c:ptCount val="52"/>
                <c:pt idx="0">
                  <c:v>1937.9577582755794</c:v>
                </c:pt>
                <c:pt idx="1">
                  <c:v>1937.9577582755794</c:v>
                </c:pt>
                <c:pt idx="2">
                  <c:v>1937.9577582755794</c:v>
                </c:pt>
                <c:pt idx="3">
                  <c:v>1937.9577582755794</c:v>
                </c:pt>
                <c:pt idx="4">
                  <c:v>2241.1019886203635</c:v>
                </c:pt>
                <c:pt idx="5">
                  <c:v>2241.1019886203635</c:v>
                </c:pt>
                <c:pt idx="6">
                  <c:v>2241.1019886203635</c:v>
                </c:pt>
                <c:pt idx="7">
                  <c:v>2241.1019886203635</c:v>
                </c:pt>
                <c:pt idx="8">
                  <c:v>2944.8296662064672</c:v>
                </c:pt>
                <c:pt idx="9">
                  <c:v>2944.8296662064672</c:v>
                </c:pt>
                <c:pt idx="10">
                  <c:v>2944.8296662064672</c:v>
                </c:pt>
                <c:pt idx="11">
                  <c:v>2944.8296662064672</c:v>
                </c:pt>
                <c:pt idx="12">
                  <c:v>3042.268883103005</c:v>
                </c:pt>
                <c:pt idx="13">
                  <c:v>3042.268883103005</c:v>
                </c:pt>
                <c:pt idx="14">
                  <c:v>3042.268883103005</c:v>
                </c:pt>
                <c:pt idx="15">
                  <c:v>3042.268883103005</c:v>
                </c:pt>
                <c:pt idx="16">
                  <c:v>3042.268883103005</c:v>
                </c:pt>
                <c:pt idx="17">
                  <c:v>1786.3856431031882</c:v>
                </c:pt>
                <c:pt idx="18">
                  <c:v>1786.3856431031882</c:v>
                </c:pt>
                <c:pt idx="19">
                  <c:v>1786.3856431031882</c:v>
                </c:pt>
                <c:pt idx="20">
                  <c:v>1786.3856431031882</c:v>
                </c:pt>
                <c:pt idx="21">
                  <c:v>3031.4423034478341</c:v>
                </c:pt>
                <c:pt idx="22">
                  <c:v>3031.4423034478341</c:v>
                </c:pt>
                <c:pt idx="23">
                  <c:v>3031.4423034478341</c:v>
                </c:pt>
                <c:pt idx="24">
                  <c:v>3031.4423034478341</c:v>
                </c:pt>
                <c:pt idx="25">
                  <c:v>3031.4423034478341</c:v>
                </c:pt>
                <c:pt idx="26">
                  <c:v>1678.1198465514797</c:v>
                </c:pt>
                <c:pt idx="27">
                  <c:v>1678.1198465514797</c:v>
                </c:pt>
                <c:pt idx="28">
                  <c:v>1678.1198465514797</c:v>
                </c:pt>
                <c:pt idx="29">
                  <c:v>1678.1198465514797</c:v>
                </c:pt>
                <c:pt idx="30">
                  <c:v>1678.1198465514797</c:v>
                </c:pt>
                <c:pt idx="31">
                  <c:v>1634.8135279307965</c:v>
                </c:pt>
                <c:pt idx="32">
                  <c:v>1634.8135279307965</c:v>
                </c:pt>
                <c:pt idx="33">
                  <c:v>1634.8135279307965</c:v>
                </c:pt>
                <c:pt idx="34">
                  <c:v>1634.8135279307965</c:v>
                </c:pt>
                <c:pt idx="35">
                  <c:v>3128.8815203443719</c:v>
                </c:pt>
                <c:pt idx="36">
                  <c:v>3128.8815203443719</c:v>
                </c:pt>
                <c:pt idx="37">
                  <c:v>3128.8815203443719</c:v>
                </c:pt>
                <c:pt idx="38">
                  <c:v>3128.8815203443719</c:v>
                </c:pt>
                <c:pt idx="39">
                  <c:v>3128.8815203443719</c:v>
                </c:pt>
                <c:pt idx="40">
                  <c:v>2879.8701882754422</c:v>
                </c:pt>
                <c:pt idx="41">
                  <c:v>2879.8701882754422</c:v>
                </c:pt>
                <c:pt idx="42">
                  <c:v>2879.8701882754422</c:v>
                </c:pt>
                <c:pt idx="43">
                  <c:v>2879.8701882754422</c:v>
                </c:pt>
                <c:pt idx="44">
                  <c:v>3854.2623572408179</c:v>
                </c:pt>
                <c:pt idx="45">
                  <c:v>3854.2623572408179</c:v>
                </c:pt>
                <c:pt idx="46">
                  <c:v>3854.2623572408179</c:v>
                </c:pt>
                <c:pt idx="47">
                  <c:v>3854.2623572408179</c:v>
                </c:pt>
                <c:pt idx="48">
                  <c:v>3789.3028793097924</c:v>
                </c:pt>
                <c:pt idx="49">
                  <c:v>3789.3028793097924</c:v>
                </c:pt>
                <c:pt idx="50">
                  <c:v>3789.3028793097924</c:v>
                </c:pt>
                <c:pt idx="51">
                  <c:v>3789.3028793097924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'TTL NORMAL'!$A$29:$B$29</c:f>
              <c:strCache>
                <c:ptCount val="1"/>
                <c:pt idx="0">
                  <c:v>B15-A 2667</c:v>
                </c:pt>
              </c:strCache>
            </c:strRef>
          </c:tx>
          <c:marker>
            <c:symbol val="none"/>
          </c:marker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NORMAL'!$C$29:$BB$29</c:f>
              <c:numCache>
                <c:formatCode>0</c:formatCode>
                <c:ptCount val="52"/>
                <c:pt idx="0">
                  <c:v>1937.9577582755794</c:v>
                </c:pt>
                <c:pt idx="1">
                  <c:v>1937.9577582755794</c:v>
                </c:pt>
                <c:pt idx="2">
                  <c:v>1937.9577582755794</c:v>
                </c:pt>
                <c:pt idx="3">
                  <c:v>1937.9577582755794</c:v>
                </c:pt>
                <c:pt idx="4">
                  <c:v>2241.1019886203635</c:v>
                </c:pt>
                <c:pt idx="5">
                  <c:v>2241.1019886203635</c:v>
                </c:pt>
                <c:pt idx="6">
                  <c:v>2241.1019886203635</c:v>
                </c:pt>
                <c:pt idx="7">
                  <c:v>2241.1019886203635</c:v>
                </c:pt>
                <c:pt idx="8">
                  <c:v>2944.8296662064672</c:v>
                </c:pt>
                <c:pt idx="9">
                  <c:v>2944.8296662064672</c:v>
                </c:pt>
                <c:pt idx="10">
                  <c:v>2944.8296662064672</c:v>
                </c:pt>
                <c:pt idx="11">
                  <c:v>2944.8296662064672</c:v>
                </c:pt>
                <c:pt idx="12">
                  <c:v>3042.268883103005</c:v>
                </c:pt>
                <c:pt idx="13">
                  <c:v>3042.268883103005</c:v>
                </c:pt>
                <c:pt idx="14">
                  <c:v>3042.268883103005</c:v>
                </c:pt>
                <c:pt idx="15">
                  <c:v>3042.268883103005</c:v>
                </c:pt>
                <c:pt idx="16">
                  <c:v>3042.268883103005</c:v>
                </c:pt>
                <c:pt idx="17">
                  <c:v>1786.3856431031882</c:v>
                </c:pt>
                <c:pt idx="18">
                  <c:v>1786.3856431031882</c:v>
                </c:pt>
                <c:pt idx="19">
                  <c:v>1786.3856431031882</c:v>
                </c:pt>
                <c:pt idx="20">
                  <c:v>1786.3856431031882</c:v>
                </c:pt>
                <c:pt idx="21">
                  <c:v>3031.4423034478341</c:v>
                </c:pt>
                <c:pt idx="22">
                  <c:v>3031.4423034478341</c:v>
                </c:pt>
                <c:pt idx="23">
                  <c:v>3031.4423034478341</c:v>
                </c:pt>
                <c:pt idx="24">
                  <c:v>3031.4423034478341</c:v>
                </c:pt>
                <c:pt idx="25">
                  <c:v>3031.4423034478341</c:v>
                </c:pt>
                <c:pt idx="26">
                  <c:v>1678.1198465514797</c:v>
                </c:pt>
                <c:pt idx="27">
                  <c:v>1678.1198465514797</c:v>
                </c:pt>
                <c:pt idx="28">
                  <c:v>1678.1198465514797</c:v>
                </c:pt>
                <c:pt idx="29">
                  <c:v>1678.1198465514797</c:v>
                </c:pt>
                <c:pt idx="30">
                  <c:v>1678.1198465514797</c:v>
                </c:pt>
                <c:pt idx="31">
                  <c:v>1634.8135279307965</c:v>
                </c:pt>
                <c:pt idx="32">
                  <c:v>1634.8135279307965</c:v>
                </c:pt>
                <c:pt idx="33">
                  <c:v>1634.8135279307965</c:v>
                </c:pt>
                <c:pt idx="34">
                  <c:v>1634.8135279307965</c:v>
                </c:pt>
                <c:pt idx="35">
                  <c:v>3128.8815203443719</c:v>
                </c:pt>
                <c:pt idx="36">
                  <c:v>3128.8815203443719</c:v>
                </c:pt>
                <c:pt idx="37">
                  <c:v>3128.8815203443719</c:v>
                </c:pt>
                <c:pt idx="38">
                  <c:v>3128.8815203443719</c:v>
                </c:pt>
                <c:pt idx="39">
                  <c:v>3128.8815203443719</c:v>
                </c:pt>
                <c:pt idx="40">
                  <c:v>2879.8701882754422</c:v>
                </c:pt>
                <c:pt idx="41">
                  <c:v>2879.8701882754422</c:v>
                </c:pt>
                <c:pt idx="42">
                  <c:v>2879.8701882754422</c:v>
                </c:pt>
                <c:pt idx="43">
                  <c:v>2879.8701882754422</c:v>
                </c:pt>
                <c:pt idx="44">
                  <c:v>3854.2623572408179</c:v>
                </c:pt>
                <c:pt idx="45">
                  <c:v>3854.2623572408179</c:v>
                </c:pt>
                <c:pt idx="46">
                  <c:v>3854.2623572408179</c:v>
                </c:pt>
                <c:pt idx="47">
                  <c:v>3854.2623572408179</c:v>
                </c:pt>
                <c:pt idx="48">
                  <c:v>3789.3028793097924</c:v>
                </c:pt>
                <c:pt idx="49">
                  <c:v>3789.3028793097924</c:v>
                </c:pt>
                <c:pt idx="50">
                  <c:v>3789.3028793097924</c:v>
                </c:pt>
                <c:pt idx="51">
                  <c:v>3789.3028793097924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'TTL NORMAL'!$A$30:$B$30</c:f>
              <c:strCache>
                <c:ptCount val="1"/>
                <c:pt idx="0">
                  <c:v>B15-B 4838</c:v>
                </c:pt>
              </c:strCache>
            </c:strRef>
          </c:tx>
          <c:marker>
            <c:symbol val="none"/>
          </c:marker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NORMAL'!$C$30:$BB$30</c:f>
              <c:numCache>
                <c:formatCode>0</c:formatCode>
                <c:ptCount val="52"/>
                <c:pt idx="0">
                  <c:v>3515.9689850054447</c:v>
                </c:pt>
                <c:pt idx="1">
                  <c:v>3515.9689850054447</c:v>
                </c:pt>
                <c:pt idx="2">
                  <c:v>3515.9689850054447</c:v>
                </c:pt>
                <c:pt idx="3">
                  <c:v>3515.9689850054447</c:v>
                </c:pt>
                <c:pt idx="4">
                  <c:v>4065.9529603135602</c:v>
                </c:pt>
                <c:pt idx="5">
                  <c:v>4065.9529603135602</c:v>
                </c:pt>
                <c:pt idx="6">
                  <c:v>4065.9529603135602</c:v>
                </c:pt>
                <c:pt idx="7">
                  <c:v>4065.9529603135602</c:v>
                </c:pt>
                <c:pt idx="8">
                  <c:v>5342.7014744216813</c:v>
                </c:pt>
                <c:pt idx="9">
                  <c:v>5342.7014744216813</c:v>
                </c:pt>
                <c:pt idx="10">
                  <c:v>5342.7014744216813</c:v>
                </c:pt>
                <c:pt idx="11">
                  <c:v>5342.7014744216813</c:v>
                </c:pt>
                <c:pt idx="12">
                  <c:v>5519.4820379135763</c:v>
                </c:pt>
                <c:pt idx="13">
                  <c:v>5519.4820379135763</c:v>
                </c:pt>
                <c:pt idx="14">
                  <c:v>5519.4820379135763</c:v>
                </c:pt>
                <c:pt idx="15">
                  <c:v>5519.4820379135763</c:v>
                </c:pt>
                <c:pt idx="16">
                  <c:v>5519.4820379135763</c:v>
                </c:pt>
                <c:pt idx="17">
                  <c:v>3240.976997351388</c:v>
                </c:pt>
                <c:pt idx="18">
                  <c:v>3240.976997351388</c:v>
                </c:pt>
                <c:pt idx="19">
                  <c:v>3240.976997351388</c:v>
                </c:pt>
                <c:pt idx="20">
                  <c:v>3240.976997351388</c:v>
                </c:pt>
                <c:pt idx="21">
                  <c:v>5499.8397530811426</c:v>
                </c:pt>
                <c:pt idx="22">
                  <c:v>5499.8397530811426</c:v>
                </c:pt>
                <c:pt idx="23">
                  <c:v>5499.8397530811426</c:v>
                </c:pt>
                <c:pt idx="24">
                  <c:v>5499.8397530811426</c:v>
                </c:pt>
                <c:pt idx="25">
                  <c:v>5499.8397530811426</c:v>
                </c:pt>
                <c:pt idx="26">
                  <c:v>3044.5541490270616</c:v>
                </c:pt>
                <c:pt idx="27">
                  <c:v>3044.5541490270616</c:v>
                </c:pt>
                <c:pt idx="28">
                  <c:v>3044.5541490270616</c:v>
                </c:pt>
                <c:pt idx="29">
                  <c:v>3044.5541490270616</c:v>
                </c:pt>
                <c:pt idx="30">
                  <c:v>3044.5541490270616</c:v>
                </c:pt>
                <c:pt idx="31">
                  <c:v>2965.985009697331</c:v>
                </c:pt>
                <c:pt idx="32">
                  <c:v>2965.985009697331</c:v>
                </c:pt>
                <c:pt idx="33">
                  <c:v>2965.985009697331</c:v>
                </c:pt>
                <c:pt idx="34">
                  <c:v>2965.985009697331</c:v>
                </c:pt>
                <c:pt idx="35">
                  <c:v>5676.6203165730376</c:v>
                </c:pt>
                <c:pt idx="36">
                  <c:v>5676.6203165730376</c:v>
                </c:pt>
                <c:pt idx="37">
                  <c:v>5676.6203165730376</c:v>
                </c:pt>
                <c:pt idx="38">
                  <c:v>5676.6203165730376</c:v>
                </c:pt>
                <c:pt idx="39">
                  <c:v>5676.6203165730376</c:v>
                </c:pt>
                <c:pt idx="40">
                  <c:v>5224.8477654270855</c:v>
                </c:pt>
                <c:pt idx="41">
                  <c:v>5224.8477654270855</c:v>
                </c:pt>
                <c:pt idx="42">
                  <c:v>5224.8477654270855</c:v>
                </c:pt>
                <c:pt idx="43">
                  <c:v>5224.8477654270855</c:v>
                </c:pt>
                <c:pt idx="44">
                  <c:v>6992.6534003460256</c:v>
                </c:pt>
                <c:pt idx="45">
                  <c:v>6992.6534003460256</c:v>
                </c:pt>
                <c:pt idx="46">
                  <c:v>6992.6534003460256</c:v>
                </c:pt>
                <c:pt idx="47">
                  <c:v>6992.6534003460256</c:v>
                </c:pt>
                <c:pt idx="48">
                  <c:v>6874.799691351428</c:v>
                </c:pt>
                <c:pt idx="49">
                  <c:v>6874.799691351428</c:v>
                </c:pt>
                <c:pt idx="50">
                  <c:v>6874.799691351428</c:v>
                </c:pt>
                <c:pt idx="51">
                  <c:v>6874.799691351428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'TTL NORMAL'!$A$31:$B$31</c:f>
              <c:strCache>
                <c:ptCount val="1"/>
                <c:pt idx="0">
                  <c:v>B15-C 2667</c:v>
                </c:pt>
              </c:strCache>
            </c:strRef>
          </c:tx>
          <c:marker>
            <c:symbol val="none"/>
          </c:marker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NORMAL'!$C$31:$BB$31</c:f>
              <c:numCache>
                <c:formatCode>0</c:formatCode>
                <c:ptCount val="52"/>
                <c:pt idx="0">
                  <c:v>1937.9577582755794</c:v>
                </c:pt>
                <c:pt idx="1">
                  <c:v>1937.9577582755794</c:v>
                </c:pt>
                <c:pt idx="2">
                  <c:v>1937.9577582755794</c:v>
                </c:pt>
                <c:pt idx="3">
                  <c:v>1937.9577582755794</c:v>
                </c:pt>
                <c:pt idx="4">
                  <c:v>2241.1019886203635</c:v>
                </c:pt>
                <c:pt idx="5">
                  <c:v>2241.1019886203635</c:v>
                </c:pt>
                <c:pt idx="6">
                  <c:v>2241.1019886203635</c:v>
                </c:pt>
                <c:pt idx="7">
                  <c:v>2241.1019886203635</c:v>
                </c:pt>
                <c:pt idx="8">
                  <c:v>2944.8296662064672</c:v>
                </c:pt>
                <c:pt idx="9">
                  <c:v>2944.8296662064672</c:v>
                </c:pt>
                <c:pt idx="10">
                  <c:v>2944.8296662064672</c:v>
                </c:pt>
                <c:pt idx="11">
                  <c:v>2944.8296662064672</c:v>
                </c:pt>
                <c:pt idx="12">
                  <c:v>3042.268883103005</c:v>
                </c:pt>
                <c:pt idx="13">
                  <c:v>3042.268883103005</c:v>
                </c:pt>
                <c:pt idx="14">
                  <c:v>3042.268883103005</c:v>
                </c:pt>
                <c:pt idx="15">
                  <c:v>3042.268883103005</c:v>
                </c:pt>
                <c:pt idx="16">
                  <c:v>3042.268883103005</c:v>
                </c:pt>
                <c:pt idx="17">
                  <c:v>1786.3856431031882</c:v>
                </c:pt>
                <c:pt idx="18">
                  <c:v>1786.3856431031882</c:v>
                </c:pt>
                <c:pt idx="19">
                  <c:v>1786.3856431031882</c:v>
                </c:pt>
                <c:pt idx="20">
                  <c:v>1786.3856431031882</c:v>
                </c:pt>
                <c:pt idx="21">
                  <c:v>3031.4423034478341</c:v>
                </c:pt>
                <c:pt idx="22">
                  <c:v>3031.4423034478341</c:v>
                </c:pt>
                <c:pt idx="23">
                  <c:v>3031.4423034478341</c:v>
                </c:pt>
                <c:pt idx="24">
                  <c:v>3031.4423034478341</c:v>
                </c:pt>
                <c:pt idx="25">
                  <c:v>3031.4423034478341</c:v>
                </c:pt>
                <c:pt idx="26">
                  <c:v>1678.1198465514797</c:v>
                </c:pt>
                <c:pt idx="27">
                  <c:v>1678.1198465514797</c:v>
                </c:pt>
                <c:pt idx="28">
                  <c:v>1678.1198465514797</c:v>
                </c:pt>
                <c:pt idx="29">
                  <c:v>1678.1198465514797</c:v>
                </c:pt>
                <c:pt idx="30">
                  <c:v>1678.1198465514797</c:v>
                </c:pt>
                <c:pt idx="31">
                  <c:v>1634.8135279307965</c:v>
                </c:pt>
                <c:pt idx="32">
                  <c:v>1634.8135279307965</c:v>
                </c:pt>
                <c:pt idx="33">
                  <c:v>1634.8135279307965</c:v>
                </c:pt>
                <c:pt idx="34">
                  <c:v>1634.8135279307965</c:v>
                </c:pt>
                <c:pt idx="35">
                  <c:v>3128.8815203443719</c:v>
                </c:pt>
                <c:pt idx="36">
                  <c:v>3128.8815203443719</c:v>
                </c:pt>
                <c:pt idx="37">
                  <c:v>3128.8815203443719</c:v>
                </c:pt>
                <c:pt idx="38">
                  <c:v>3128.8815203443719</c:v>
                </c:pt>
                <c:pt idx="39">
                  <c:v>3128.8815203443719</c:v>
                </c:pt>
                <c:pt idx="40">
                  <c:v>2879.8701882754422</c:v>
                </c:pt>
                <c:pt idx="41">
                  <c:v>2879.8701882754422</c:v>
                </c:pt>
                <c:pt idx="42">
                  <c:v>2879.8701882754422</c:v>
                </c:pt>
                <c:pt idx="43">
                  <c:v>2879.8701882754422</c:v>
                </c:pt>
                <c:pt idx="44">
                  <c:v>3854.2623572408179</c:v>
                </c:pt>
                <c:pt idx="45">
                  <c:v>3854.2623572408179</c:v>
                </c:pt>
                <c:pt idx="46">
                  <c:v>3854.2623572408179</c:v>
                </c:pt>
                <c:pt idx="47">
                  <c:v>3854.2623572408179</c:v>
                </c:pt>
                <c:pt idx="48">
                  <c:v>3789.3028793097924</c:v>
                </c:pt>
                <c:pt idx="49">
                  <c:v>3789.3028793097924</c:v>
                </c:pt>
                <c:pt idx="50">
                  <c:v>3789.3028793097924</c:v>
                </c:pt>
                <c:pt idx="51">
                  <c:v>3789.3028793097924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'TTL NORMAL'!$A$32:$B$32</c:f>
              <c:strCache>
                <c:ptCount val="1"/>
                <c:pt idx="0">
                  <c:v>B21-A 905</c:v>
                </c:pt>
              </c:strCache>
            </c:strRef>
          </c:tx>
          <c:marker>
            <c:symbol val="none"/>
          </c:marker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NORMAL'!$C$32:$BB$32</c:f>
              <c:numCache>
                <c:formatCode>0</c:formatCode>
                <c:ptCount val="52"/>
                <c:pt idx="0">
                  <c:v>657.64518707761385</c:v>
                </c:pt>
                <c:pt idx="1">
                  <c:v>657.64518707761385</c:v>
                </c:pt>
                <c:pt idx="2">
                  <c:v>657.64518707761385</c:v>
                </c:pt>
                <c:pt idx="3">
                  <c:v>657.64518707761385</c:v>
                </c:pt>
                <c:pt idx="4">
                  <c:v>760.51705991657047</c:v>
                </c:pt>
                <c:pt idx="5">
                  <c:v>760.51705991657047</c:v>
                </c:pt>
                <c:pt idx="6">
                  <c:v>760.51705991657047</c:v>
                </c:pt>
                <c:pt idx="7">
                  <c:v>760.51705991657047</c:v>
                </c:pt>
                <c:pt idx="8">
                  <c:v>999.32676472129037</c:v>
                </c:pt>
                <c:pt idx="9">
                  <c:v>999.32676472129037</c:v>
                </c:pt>
                <c:pt idx="10">
                  <c:v>999.32676472129037</c:v>
                </c:pt>
                <c:pt idx="11">
                  <c:v>999.32676472129037</c:v>
                </c:pt>
                <c:pt idx="12">
                  <c:v>1032.3927238480981</c:v>
                </c:pt>
                <c:pt idx="13">
                  <c:v>1032.3927238480981</c:v>
                </c:pt>
                <c:pt idx="14">
                  <c:v>1032.3927238480981</c:v>
                </c:pt>
                <c:pt idx="15">
                  <c:v>1032.3927238480981</c:v>
                </c:pt>
                <c:pt idx="16">
                  <c:v>1032.3927238480981</c:v>
                </c:pt>
                <c:pt idx="17">
                  <c:v>606.20925065813583</c:v>
                </c:pt>
                <c:pt idx="18">
                  <c:v>606.20925065813583</c:v>
                </c:pt>
                <c:pt idx="19">
                  <c:v>606.20925065813583</c:v>
                </c:pt>
                <c:pt idx="20">
                  <c:v>606.20925065813583</c:v>
                </c:pt>
                <c:pt idx="21">
                  <c:v>1028.7187283895637</c:v>
                </c:pt>
                <c:pt idx="22">
                  <c:v>1028.7187283895637</c:v>
                </c:pt>
                <c:pt idx="23">
                  <c:v>1028.7187283895637</c:v>
                </c:pt>
                <c:pt idx="24">
                  <c:v>1028.7187283895637</c:v>
                </c:pt>
                <c:pt idx="25">
                  <c:v>1028.7187283895637</c:v>
                </c:pt>
                <c:pt idx="26">
                  <c:v>569.46929607279424</c:v>
                </c:pt>
                <c:pt idx="27">
                  <c:v>569.46929607279424</c:v>
                </c:pt>
                <c:pt idx="28">
                  <c:v>569.46929607279424</c:v>
                </c:pt>
                <c:pt idx="29">
                  <c:v>569.46929607279424</c:v>
                </c:pt>
                <c:pt idx="30">
                  <c:v>569.46929607279424</c:v>
                </c:pt>
                <c:pt idx="31">
                  <c:v>554.77331423865758</c:v>
                </c:pt>
                <c:pt idx="32">
                  <c:v>554.77331423865758</c:v>
                </c:pt>
                <c:pt idx="33">
                  <c:v>554.77331423865758</c:v>
                </c:pt>
                <c:pt idx="34">
                  <c:v>554.77331423865758</c:v>
                </c:pt>
                <c:pt idx="35">
                  <c:v>1061.7846875163712</c:v>
                </c:pt>
                <c:pt idx="36">
                  <c:v>1061.7846875163712</c:v>
                </c:pt>
                <c:pt idx="37">
                  <c:v>1061.7846875163712</c:v>
                </c:pt>
                <c:pt idx="38">
                  <c:v>1061.7846875163712</c:v>
                </c:pt>
                <c:pt idx="39">
                  <c:v>1061.7846875163712</c:v>
                </c:pt>
                <c:pt idx="40">
                  <c:v>977.28279197008544</c:v>
                </c:pt>
                <c:pt idx="41">
                  <c:v>977.28279197008544</c:v>
                </c:pt>
                <c:pt idx="42">
                  <c:v>977.28279197008544</c:v>
                </c:pt>
                <c:pt idx="43">
                  <c:v>977.28279197008544</c:v>
                </c:pt>
                <c:pt idx="44">
                  <c:v>1307.9423832381597</c:v>
                </c:pt>
                <c:pt idx="45">
                  <c:v>1307.9423832381597</c:v>
                </c:pt>
                <c:pt idx="46">
                  <c:v>1307.9423832381597</c:v>
                </c:pt>
                <c:pt idx="47">
                  <c:v>1307.9423832381597</c:v>
                </c:pt>
                <c:pt idx="48">
                  <c:v>1285.8984104869546</c:v>
                </c:pt>
                <c:pt idx="49">
                  <c:v>1285.8984104869546</c:v>
                </c:pt>
                <c:pt idx="50">
                  <c:v>1285.8984104869546</c:v>
                </c:pt>
                <c:pt idx="51">
                  <c:v>1285.8984104869546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'TTL NORMAL'!$A$33:$B$33</c:f>
              <c:strCache>
                <c:ptCount val="1"/>
                <c:pt idx="0">
                  <c:v>B21-B 905</c:v>
                </c:pt>
              </c:strCache>
            </c:strRef>
          </c:tx>
          <c:marker>
            <c:symbol val="none"/>
          </c:marker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NORMAL'!$C$33:$BB$33</c:f>
              <c:numCache>
                <c:formatCode>0</c:formatCode>
                <c:ptCount val="52"/>
                <c:pt idx="0">
                  <c:v>657.64518707761385</c:v>
                </c:pt>
                <c:pt idx="1">
                  <c:v>657.64518707761385</c:v>
                </c:pt>
                <c:pt idx="2">
                  <c:v>657.64518707761385</c:v>
                </c:pt>
                <c:pt idx="3">
                  <c:v>657.64518707761385</c:v>
                </c:pt>
                <c:pt idx="4">
                  <c:v>760.51705991657047</c:v>
                </c:pt>
                <c:pt idx="5">
                  <c:v>760.51705991657047</c:v>
                </c:pt>
                <c:pt idx="6">
                  <c:v>760.51705991657047</c:v>
                </c:pt>
                <c:pt idx="7">
                  <c:v>760.51705991657047</c:v>
                </c:pt>
                <c:pt idx="8">
                  <c:v>999.32676472129037</c:v>
                </c:pt>
                <c:pt idx="9">
                  <c:v>999.32676472129037</c:v>
                </c:pt>
                <c:pt idx="10">
                  <c:v>999.32676472129037</c:v>
                </c:pt>
                <c:pt idx="11">
                  <c:v>999.32676472129037</c:v>
                </c:pt>
                <c:pt idx="12">
                  <c:v>1032.3927238480981</c:v>
                </c:pt>
                <c:pt idx="13">
                  <c:v>1032.3927238480981</c:v>
                </c:pt>
                <c:pt idx="14">
                  <c:v>1032.3927238480981</c:v>
                </c:pt>
                <c:pt idx="15">
                  <c:v>1032.3927238480981</c:v>
                </c:pt>
                <c:pt idx="16">
                  <c:v>1032.3927238480981</c:v>
                </c:pt>
                <c:pt idx="17">
                  <c:v>606.20925065813583</c:v>
                </c:pt>
                <c:pt idx="18">
                  <c:v>606.20925065813583</c:v>
                </c:pt>
                <c:pt idx="19">
                  <c:v>606.20925065813583</c:v>
                </c:pt>
                <c:pt idx="20">
                  <c:v>606.20925065813583</c:v>
                </c:pt>
                <c:pt idx="21">
                  <c:v>1028.7187283895637</c:v>
                </c:pt>
                <c:pt idx="22">
                  <c:v>1028.7187283895637</c:v>
                </c:pt>
                <c:pt idx="23">
                  <c:v>1028.7187283895637</c:v>
                </c:pt>
                <c:pt idx="24">
                  <c:v>1028.7187283895637</c:v>
                </c:pt>
                <c:pt idx="25">
                  <c:v>1028.7187283895637</c:v>
                </c:pt>
                <c:pt idx="26">
                  <c:v>569.46929607279424</c:v>
                </c:pt>
                <c:pt idx="27">
                  <c:v>569.46929607279424</c:v>
                </c:pt>
                <c:pt idx="28">
                  <c:v>569.46929607279424</c:v>
                </c:pt>
                <c:pt idx="29">
                  <c:v>569.46929607279424</c:v>
                </c:pt>
                <c:pt idx="30">
                  <c:v>569.46929607279424</c:v>
                </c:pt>
                <c:pt idx="31">
                  <c:v>554.77331423865758</c:v>
                </c:pt>
                <c:pt idx="32">
                  <c:v>554.77331423865758</c:v>
                </c:pt>
                <c:pt idx="33">
                  <c:v>554.77331423865758</c:v>
                </c:pt>
                <c:pt idx="34">
                  <c:v>554.77331423865758</c:v>
                </c:pt>
                <c:pt idx="35">
                  <c:v>1061.7846875163712</c:v>
                </c:pt>
                <c:pt idx="36">
                  <c:v>1061.7846875163712</c:v>
                </c:pt>
                <c:pt idx="37">
                  <c:v>1061.7846875163712</c:v>
                </c:pt>
                <c:pt idx="38">
                  <c:v>1061.7846875163712</c:v>
                </c:pt>
                <c:pt idx="39">
                  <c:v>1061.7846875163712</c:v>
                </c:pt>
                <c:pt idx="40">
                  <c:v>977.28279197008544</c:v>
                </c:pt>
                <c:pt idx="41">
                  <c:v>977.28279197008544</c:v>
                </c:pt>
                <c:pt idx="42">
                  <c:v>977.28279197008544</c:v>
                </c:pt>
                <c:pt idx="43">
                  <c:v>977.28279197008544</c:v>
                </c:pt>
                <c:pt idx="44">
                  <c:v>1307.9423832381597</c:v>
                </c:pt>
                <c:pt idx="45">
                  <c:v>1307.9423832381597</c:v>
                </c:pt>
                <c:pt idx="46">
                  <c:v>1307.9423832381597</c:v>
                </c:pt>
                <c:pt idx="47">
                  <c:v>1307.9423832381597</c:v>
                </c:pt>
                <c:pt idx="48">
                  <c:v>1285.8984104869546</c:v>
                </c:pt>
                <c:pt idx="49">
                  <c:v>1285.8984104869546</c:v>
                </c:pt>
                <c:pt idx="50">
                  <c:v>1285.8984104869546</c:v>
                </c:pt>
                <c:pt idx="51">
                  <c:v>1285.8984104869546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'TTL NORMAL'!$A$34:$B$34</c:f>
              <c:strCache>
                <c:ptCount val="1"/>
                <c:pt idx="0">
                  <c:v>B22-A 905</c:v>
                </c:pt>
              </c:strCache>
            </c:strRef>
          </c:tx>
          <c:marker>
            <c:symbol val="none"/>
          </c:marker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NORMAL'!$C$34:$BB$34</c:f>
              <c:numCache>
                <c:formatCode>0</c:formatCode>
                <c:ptCount val="52"/>
                <c:pt idx="0">
                  <c:v>657.64518707761385</c:v>
                </c:pt>
                <c:pt idx="1">
                  <c:v>657.64518707761385</c:v>
                </c:pt>
                <c:pt idx="2">
                  <c:v>657.64518707761385</c:v>
                </c:pt>
                <c:pt idx="3">
                  <c:v>657.64518707761385</c:v>
                </c:pt>
                <c:pt idx="4">
                  <c:v>760.51705991657047</c:v>
                </c:pt>
                <c:pt idx="5">
                  <c:v>760.51705991657047</c:v>
                </c:pt>
                <c:pt idx="6">
                  <c:v>760.51705991657047</c:v>
                </c:pt>
                <c:pt idx="7">
                  <c:v>760.51705991657047</c:v>
                </c:pt>
                <c:pt idx="8">
                  <c:v>999.32676472129037</c:v>
                </c:pt>
                <c:pt idx="9">
                  <c:v>999.32676472129037</c:v>
                </c:pt>
                <c:pt idx="10">
                  <c:v>999.32676472129037</c:v>
                </c:pt>
                <c:pt idx="11">
                  <c:v>999.32676472129037</c:v>
                </c:pt>
                <c:pt idx="12">
                  <c:v>1032.3927238480981</c:v>
                </c:pt>
                <c:pt idx="13">
                  <c:v>1032.3927238480981</c:v>
                </c:pt>
                <c:pt idx="14">
                  <c:v>1032.3927238480981</c:v>
                </c:pt>
                <c:pt idx="15">
                  <c:v>1032.3927238480981</c:v>
                </c:pt>
                <c:pt idx="16">
                  <c:v>1032.3927238480981</c:v>
                </c:pt>
                <c:pt idx="17">
                  <c:v>606.20925065813583</c:v>
                </c:pt>
                <c:pt idx="18">
                  <c:v>606.20925065813583</c:v>
                </c:pt>
                <c:pt idx="19">
                  <c:v>606.20925065813583</c:v>
                </c:pt>
                <c:pt idx="20">
                  <c:v>606.20925065813583</c:v>
                </c:pt>
                <c:pt idx="21">
                  <c:v>1028.7187283895637</c:v>
                </c:pt>
                <c:pt idx="22">
                  <c:v>1028.7187283895637</c:v>
                </c:pt>
                <c:pt idx="23">
                  <c:v>1028.7187283895637</c:v>
                </c:pt>
                <c:pt idx="24">
                  <c:v>1028.7187283895637</c:v>
                </c:pt>
                <c:pt idx="25">
                  <c:v>1028.7187283895637</c:v>
                </c:pt>
                <c:pt idx="26">
                  <c:v>569.46929607279424</c:v>
                </c:pt>
                <c:pt idx="27">
                  <c:v>569.46929607279424</c:v>
                </c:pt>
                <c:pt idx="28">
                  <c:v>569.46929607279424</c:v>
                </c:pt>
                <c:pt idx="29">
                  <c:v>569.46929607279424</c:v>
                </c:pt>
                <c:pt idx="30">
                  <c:v>569.46929607279424</c:v>
                </c:pt>
                <c:pt idx="31">
                  <c:v>554.77331423865758</c:v>
                </c:pt>
                <c:pt idx="32">
                  <c:v>554.77331423865758</c:v>
                </c:pt>
                <c:pt idx="33">
                  <c:v>554.77331423865758</c:v>
                </c:pt>
                <c:pt idx="34">
                  <c:v>554.77331423865758</c:v>
                </c:pt>
                <c:pt idx="35">
                  <c:v>1061.7846875163712</c:v>
                </c:pt>
                <c:pt idx="36">
                  <c:v>1061.7846875163712</c:v>
                </c:pt>
                <c:pt idx="37">
                  <c:v>1061.7846875163712</c:v>
                </c:pt>
                <c:pt idx="38">
                  <c:v>1061.7846875163712</c:v>
                </c:pt>
                <c:pt idx="39">
                  <c:v>1061.7846875163712</c:v>
                </c:pt>
                <c:pt idx="40">
                  <c:v>977.28279197008544</c:v>
                </c:pt>
                <c:pt idx="41">
                  <c:v>977.28279197008544</c:v>
                </c:pt>
                <c:pt idx="42">
                  <c:v>977.28279197008544</c:v>
                </c:pt>
                <c:pt idx="43">
                  <c:v>977.28279197008544</c:v>
                </c:pt>
                <c:pt idx="44">
                  <c:v>1307.9423832381597</c:v>
                </c:pt>
                <c:pt idx="45">
                  <c:v>1307.9423832381597</c:v>
                </c:pt>
                <c:pt idx="46">
                  <c:v>1307.9423832381597</c:v>
                </c:pt>
                <c:pt idx="47">
                  <c:v>1307.9423832381597</c:v>
                </c:pt>
                <c:pt idx="48">
                  <c:v>1285.8984104869546</c:v>
                </c:pt>
                <c:pt idx="49">
                  <c:v>1285.8984104869546</c:v>
                </c:pt>
                <c:pt idx="50">
                  <c:v>1285.8984104869546</c:v>
                </c:pt>
                <c:pt idx="51">
                  <c:v>1285.8984104869546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'TTL NORMAL'!$A$35:$B$35</c:f>
              <c:strCache>
                <c:ptCount val="1"/>
                <c:pt idx="0">
                  <c:v>B22-B 905</c:v>
                </c:pt>
              </c:strCache>
            </c:strRef>
          </c:tx>
          <c:marker>
            <c:symbol val="none"/>
          </c:marker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NORMAL'!$C$35:$BB$35</c:f>
              <c:numCache>
                <c:formatCode>0</c:formatCode>
                <c:ptCount val="52"/>
                <c:pt idx="0">
                  <c:v>657.64518707761385</c:v>
                </c:pt>
                <c:pt idx="1">
                  <c:v>657.64518707761385</c:v>
                </c:pt>
                <c:pt idx="2">
                  <c:v>657.64518707761385</c:v>
                </c:pt>
                <c:pt idx="3">
                  <c:v>657.64518707761385</c:v>
                </c:pt>
                <c:pt idx="4">
                  <c:v>760.51705991657047</c:v>
                </c:pt>
                <c:pt idx="5">
                  <c:v>760.51705991657047</c:v>
                </c:pt>
                <c:pt idx="6">
                  <c:v>760.51705991657047</c:v>
                </c:pt>
                <c:pt idx="7">
                  <c:v>760.51705991657047</c:v>
                </c:pt>
                <c:pt idx="8">
                  <c:v>999.32676472129037</c:v>
                </c:pt>
                <c:pt idx="9">
                  <c:v>999.32676472129037</c:v>
                </c:pt>
                <c:pt idx="10">
                  <c:v>999.32676472129037</c:v>
                </c:pt>
                <c:pt idx="11">
                  <c:v>999.32676472129037</c:v>
                </c:pt>
                <c:pt idx="12">
                  <c:v>1032.3927238480981</c:v>
                </c:pt>
                <c:pt idx="13">
                  <c:v>1032.3927238480981</c:v>
                </c:pt>
                <c:pt idx="14">
                  <c:v>1032.3927238480981</c:v>
                </c:pt>
                <c:pt idx="15">
                  <c:v>1032.3927238480981</c:v>
                </c:pt>
                <c:pt idx="16">
                  <c:v>1032.3927238480981</c:v>
                </c:pt>
                <c:pt idx="17">
                  <c:v>606.20925065813583</c:v>
                </c:pt>
                <c:pt idx="18">
                  <c:v>606.20925065813583</c:v>
                </c:pt>
                <c:pt idx="19">
                  <c:v>606.20925065813583</c:v>
                </c:pt>
                <c:pt idx="20">
                  <c:v>606.20925065813583</c:v>
                </c:pt>
                <c:pt idx="21">
                  <c:v>1028.7187283895637</c:v>
                </c:pt>
                <c:pt idx="22">
                  <c:v>1028.7187283895637</c:v>
                </c:pt>
                <c:pt idx="23">
                  <c:v>1028.7187283895637</c:v>
                </c:pt>
                <c:pt idx="24">
                  <c:v>1028.7187283895637</c:v>
                </c:pt>
                <c:pt idx="25">
                  <c:v>1028.7187283895637</c:v>
                </c:pt>
                <c:pt idx="26">
                  <c:v>569.46929607279424</c:v>
                </c:pt>
                <c:pt idx="27">
                  <c:v>569.46929607279424</c:v>
                </c:pt>
                <c:pt idx="28">
                  <c:v>569.46929607279424</c:v>
                </c:pt>
                <c:pt idx="29">
                  <c:v>569.46929607279424</c:v>
                </c:pt>
                <c:pt idx="30">
                  <c:v>569.46929607279424</c:v>
                </c:pt>
                <c:pt idx="31">
                  <c:v>554.77331423865758</c:v>
                </c:pt>
                <c:pt idx="32">
                  <c:v>554.77331423865758</c:v>
                </c:pt>
                <c:pt idx="33">
                  <c:v>554.77331423865758</c:v>
                </c:pt>
                <c:pt idx="34">
                  <c:v>554.77331423865758</c:v>
                </c:pt>
                <c:pt idx="35">
                  <c:v>1061.7846875163712</c:v>
                </c:pt>
                <c:pt idx="36">
                  <c:v>1061.7846875163712</c:v>
                </c:pt>
                <c:pt idx="37">
                  <c:v>1061.7846875163712</c:v>
                </c:pt>
                <c:pt idx="38">
                  <c:v>1061.7846875163712</c:v>
                </c:pt>
                <c:pt idx="39">
                  <c:v>1061.7846875163712</c:v>
                </c:pt>
                <c:pt idx="40">
                  <c:v>977.28279197008544</c:v>
                </c:pt>
                <c:pt idx="41">
                  <c:v>977.28279197008544</c:v>
                </c:pt>
                <c:pt idx="42">
                  <c:v>977.28279197008544</c:v>
                </c:pt>
                <c:pt idx="43">
                  <c:v>977.28279197008544</c:v>
                </c:pt>
                <c:pt idx="44">
                  <c:v>1307.9423832381597</c:v>
                </c:pt>
                <c:pt idx="45">
                  <c:v>1307.9423832381597</c:v>
                </c:pt>
                <c:pt idx="46">
                  <c:v>1307.9423832381597</c:v>
                </c:pt>
                <c:pt idx="47">
                  <c:v>1307.9423832381597</c:v>
                </c:pt>
                <c:pt idx="48">
                  <c:v>1285.8984104869546</c:v>
                </c:pt>
                <c:pt idx="49">
                  <c:v>1285.8984104869546</c:v>
                </c:pt>
                <c:pt idx="50">
                  <c:v>1285.8984104869546</c:v>
                </c:pt>
                <c:pt idx="51">
                  <c:v>1285.8984104869546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'TTL NORMAL'!$A$36:$B$36</c:f>
              <c:strCache>
                <c:ptCount val="1"/>
                <c:pt idx="0">
                  <c:v>B23-A 905</c:v>
                </c:pt>
              </c:strCache>
            </c:strRef>
          </c:tx>
          <c:marker>
            <c:symbol val="none"/>
          </c:marker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NORMAL'!$C$36:$BB$36</c:f>
              <c:numCache>
                <c:formatCode>0</c:formatCode>
                <c:ptCount val="52"/>
                <c:pt idx="0">
                  <c:v>657.64518707761385</c:v>
                </c:pt>
                <c:pt idx="1">
                  <c:v>657.64518707761385</c:v>
                </c:pt>
                <c:pt idx="2">
                  <c:v>657.64518707761385</c:v>
                </c:pt>
                <c:pt idx="3">
                  <c:v>657.64518707761385</c:v>
                </c:pt>
                <c:pt idx="4">
                  <c:v>760.51705991657047</c:v>
                </c:pt>
                <c:pt idx="5">
                  <c:v>760.51705991657047</c:v>
                </c:pt>
                <c:pt idx="6">
                  <c:v>760.51705991657047</c:v>
                </c:pt>
                <c:pt idx="7">
                  <c:v>760.51705991657047</c:v>
                </c:pt>
                <c:pt idx="8">
                  <c:v>999.32676472129037</c:v>
                </c:pt>
                <c:pt idx="9">
                  <c:v>999.32676472129037</c:v>
                </c:pt>
                <c:pt idx="10">
                  <c:v>999.32676472129037</c:v>
                </c:pt>
                <c:pt idx="11">
                  <c:v>999.32676472129037</c:v>
                </c:pt>
                <c:pt idx="12">
                  <c:v>1032.3927238480981</c:v>
                </c:pt>
                <c:pt idx="13">
                  <c:v>1032.3927238480981</c:v>
                </c:pt>
                <c:pt idx="14">
                  <c:v>1032.3927238480981</c:v>
                </c:pt>
                <c:pt idx="15">
                  <c:v>1032.3927238480981</c:v>
                </c:pt>
                <c:pt idx="16">
                  <c:v>1032.3927238480981</c:v>
                </c:pt>
                <c:pt idx="17">
                  <c:v>606.20925065813583</c:v>
                </c:pt>
                <c:pt idx="18">
                  <c:v>606.20925065813583</c:v>
                </c:pt>
                <c:pt idx="19">
                  <c:v>606.20925065813583</c:v>
                </c:pt>
                <c:pt idx="20">
                  <c:v>606.20925065813583</c:v>
                </c:pt>
                <c:pt idx="21">
                  <c:v>1028.7187283895637</c:v>
                </c:pt>
                <c:pt idx="22">
                  <c:v>1028.7187283895637</c:v>
                </c:pt>
                <c:pt idx="23">
                  <c:v>1028.7187283895637</c:v>
                </c:pt>
                <c:pt idx="24">
                  <c:v>1028.7187283895637</c:v>
                </c:pt>
                <c:pt idx="25">
                  <c:v>1028.7187283895637</c:v>
                </c:pt>
                <c:pt idx="26">
                  <c:v>569.46929607279424</c:v>
                </c:pt>
                <c:pt idx="27">
                  <c:v>569.46929607279424</c:v>
                </c:pt>
                <c:pt idx="28">
                  <c:v>569.46929607279424</c:v>
                </c:pt>
                <c:pt idx="29">
                  <c:v>569.46929607279424</c:v>
                </c:pt>
                <c:pt idx="30">
                  <c:v>569.46929607279424</c:v>
                </c:pt>
                <c:pt idx="31">
                  <c:v>554.77331423865758</c:v>
                </c:pt>
                <c:pt idx="32">
                  <c:v>554.77331423865758</c:v>
                </c:pt>
                <c:pt idx="33">
                  <c:v>554.77331423865758</c:v>
                </c:pt>
                <c:pt idx="34">
                  <c:v>554.77331423865758</c:v>
                </c:pt>
                <c:pt idx="35">
                  <c:v>1061.7846875163712</c:v>
                </c:pt>
                <c:pt idx="36">
                  <c:v>1061.7846875163712</c:v>
                </c:pt>
                <c:pt idx="37">
                  <c:v>1061.7846875163712</c:v>
                </c:pt>
                <c:pt idx="38">
                  <c:v>1061.7846875163712</c:v>
                </c:pt>
                <c:pt idx="39">
                  <c:v>1061.7846875163712</c:v>
                </c:pt>
                <c:pt idx="40">
                  <c:v>977.28279197008544</c:v>
                </c:pt>
                <c:pt idx="41">
                  <c:v>977.28279197008544</c:v>
                </c:pt>
                <c:pt idx="42">
                  <c:v>977.28279197008544</c:v>
                </c:pt>
                <c:pt idx="43">
                  <c:v>977.28279197008544</c:v>
                </c:pt>
                <c:pt idx="44">
                  <c:v>1307.9423832381597</c:v>
                </c:pt>
                <c:pt idx="45">
                  <c:v>1307.9423832381597</c:v>
                </c:pt>
                <c:pt idx="46">
                  <c:v>1307.9423832381597</c:v>
                </c:pt>
                <c:pt idx="47">
                  <c:v>1307.9423832381597</c:v>
                </c:pt>
                <c:pt idx="48">
                  <c:v>1285.8984104869546</c:v>
                </c:pt>
                <c:pt idx="49">
                  <c:v>1285.8984104869546</c:v>
                </c:pt>
                <c:pt idx="50">
                  <c:v>1285.8984104869546</c:v>
                </c:pt>
                <c:pt idx="51">
                  <c:v>1285.8984104869546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'TTL NORMAL'!$A$37:$B$37</c:f>
              <c:strCache>
                <c:ptCount val="1"/>
                <c:pt idx="0">
                  <c:v>B23-B 905</c:v>
                </c:pt>
              </c:strCache>
            </c:strRef>
          </c:tx>
          <c:marker>
            <c:symbol val="none"/>
          </c:marker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NORMAL'!$C$37:$BB$37</c:f>
              <c:numCache>
                <c:formatCode>0</c:formatCode>
                <c:ptCount val="52"/>
                <c:pt idx="0">
                  <c:v>657.64518707761385</c:v>
                </c:pt>
                <c:pt idx="1">
                  <c:v>657.64518707761385</c:v>
                </c:pt>
                <c:pt idx="2">
                  <c:v>657.64518707761385</c:v>
                </c:pt>
                <c:pt idx="3">
                  <c:v>657.64518707761385</c:v>
                </c:pt>
                <c:pt idx="4">
                  <c:v>760.51705991657047</c:v>
                </c:pt>
                <c:pt idx="5">
                  <c:v>760.51705991657047</c:v>
                </c:pt>
                <c:pt idx="6">
                  <c:v>760.51705991657047</c:v>
                </c:pt>
                <c:pt idx="7">
                  <c:v>760.51705991657047</c:v>
                </c:pt>
                <c:pt idx="8">
                  <c:v>999.32676472129037</c:v>
                </c:pt>
                <c:pt idx="9">
                  <c:v>999.32676472129037</c:v>
                </c:pt>
                <c:pt idx="10">
                  <c:v>999.32676472129037</c:v>
                </c:pt>
                <c:pt idx="11">
                  <c:v>999.32676472129037</c:v>
                </c:pt>
                <c:pt idx="12">
                  <c:v>1032.3927238480981</c:v>
                </c:pt>
                <c:pt idx="13">
                  <c:v>1032.3927238480981</c:v>
                </c:pt>
                <c:pt idx="14">
                  <c:v>1032.3927238480981</c:v>
                </c:pt>
                <c:pt idx="15">
                  <c:v>1032.3927238480981</c:v>
                </c:pt>
                <c:pt idx="16">
                  <c:v>1032.3927238480981</c:v>
                </c:pt>
                <c:pt idx="17">
                  <c:v>606.20925065813583</c:v>
                </c:pt>
                <c:pt idx="18">
                  <c:v>606.20925065813583</c:v>
                </c:pt>
                <c:pt idx="19">
                  <c:v>606.20925065813583</c:v>
                </c:pt>
                <c:pt idx="20">
                  <c:v>606.20925065813583</c:v>
                </c:pt>
                <c:pt idx="21">
                  <c:v>1028.7187283895637</c:v>
                </c:pt>
                <c:pt idx="22">
                  <c:v>1028.7187283895637</c:v>
                </c:pt>
                <c:pt idx="23">
                  <c:v>1028.7187283895637</c:v>
                </c:pt>
                <c:pt idx="24">
                  <c:v>1028.7187283895637</c:v>
                </c:pt>
                <c:pt idx="25">
                  <c:v>1028.7187283895637</c:v>
                </c:pt>
                <c:pt idx="26">
                  <c:v>569.46929607279424</c:v>
                </c:pt>
                <c:pt idx="27">
                  <c:v>569.46929607279424</c:v>
                </c:pt>
                <c:pt idx="28">
                  <c:v>569.46929607279424</c:v>
                </c:pt>
                <c:pt idx="29">
                  <c:v>569.46929607279424</c:v>
                </c:pt>
                <c:pt idx="30">
                  <c:v>569.46929607279424</c:v>
                </c:pt>
                <c:pt idx="31">
                  <c:v>554.77331423865758</c:v>
                </c:pt>
                <c:pt idx="32">
                  <c:v>554.77331423865758</c:v>
                </c:pt>
                <c:pt idx="33">
                  <c:v>554.77331423865758</c:v>
                </c:pt>
                <c:pt idx="34">
                  <c:v>554.77331423865758</c:v>
                </c:pt>
                <c:pt idx="35">
                  <c:v>1061.7846875163712</c:v>
                </c:pt>
                <c:pt idx="36">
                  <c:v>1061.7846875163712</c:v>
                </c:pt>
                <c:pt idx="37">
                  <c:v>1061.7846875163712</c:v>
                </c:pt>
                <c:pt idx="38">
                  <c:v>1061.7846875163712</c:v>
                </c:pt>
                <c:pt idx="39">
                  <c:v>1061.7846875163712</c:v>
                </c:pt>
                <c:pt idx="40">
                  <c:v>977.28279197008544</c:v>
                </c:pt>
                <c:pt idx="41">
                  <c:v>977.28279197008544</c:v>
                </c:pt>
                <c:pt idx="42">
                  <c:v>977.28279197008544</c:v>
                </c:pt>
                <c:pt idx="43">
                  <c:v>977.28279197008544</c:v>
                </c:pt>
                <c:pt idx="44">
                  <c:v>1307.9423832381597</c:v>
                </c:pt>
                <c:pt idx="45">
                  <c:v>1307.9423832381597</c:v>
                </c:pt>
                <c:pt idx="46">
                  <c:v>1307.9423832381597</c:v>
                </c:pt>
                <c:pt idx="47">
                  <c:v>1307.9423832381597</c:v>
                </c:pt>
                <c:pt idx="48">
                  <c:v>1285.8984104869546</c:v>
                </c:pt>
                <c:pt idx="49">
                  <c:v>1285.8984104869546</c:v>
                </c:pt>
                <c:pt idx="50">
                  <c:v>1285.8984104869546</c:v>
                </c:pt>
                <c:pt idx="51">
                  <c:v>1285.8984104869546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'TTL NORMAL'!$A$38:$B$38</c:f>
              <c:strCache>
                <c:ptCount val="1"/>
                <c:pt idx="0">
                  <c:v>B24-A 905</c:v>
                </c:pt>
              </c:strCache>
            </c:strRef>
          </c:tx>
          <c:marker>
            <c:symbol val="none"/>
          </c:marker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NORMAL'!$C$38:$BB$38</c:f>
              <c:numCache>
                <c:formatCode>0</c:formatCode>
                <c:ptCount val="52"/>
                <c:pt idx="0">
                  <c:v>657.64518707761385</c:v>
                </c:pt>
                <c:pt idx="1">
                  <c:v>657.64518707761385</c:v>
                </c:pt>
                <c:pt idx="2">
                  <c:v>657.64518707761385</c:v>
                </c:pt>
                <c:pt idx="3">
                  <c:v>657.64518707761385</c:v>
                </c:pt>
                <c:pt idx="4">
                  <c:v>760.51705991657047</c:v>
                </c:pt>
                <c:pt idx="5">
                  <c:v>760.51705991657047</c:v>
                </c:pt>
                <c:pt idx="6">
                  <c:v>760.51705991657047</c:v>
                </c:pt>
                <c:pt idx="7">
                  <c:v>760.51705991657047</c:v>
                </c:pt>
                <c:pt idx="8">
                  <c:v>999.32676472129037</c:v>
                </c:pt>
                <c:pt idx="9">
                  <c:v>999.32676472129037</c:v>
                </c:pt>
                <c:pt idx="10">
                  <c:v>999.32676472129037</c:v>
                </c:pt>
                <c:pt idx="11">
                  <c:v>999.32676472129037</c:v>
                </c:pt>
                <c:pt idx="12">
                  <c:v>1032.3927238480981</c:v>
                </c:pt>
                <c:pt idx="13">
                  <c:v>1032.3927238480981</c:v>
                </c:pt>
                <c:pt idx="14">
                  <c:v>1032.3927238480981</c:v>
                </c:pt>
                <c:pt idx="15">
                  <c:v>1032.3927238480981</c:v>
                </c:pt>
                <c:pt idx="16">
                  <c:v>1032.3927238480981</c:v>
                </c:pt>
                <c:pt idx="17">
                  <c:v>606.20925065813583</c:v>
                </c:pt>
                <c:pt idx="18">
                  <c:v>606.20925065813583</c:v>
                </c:pt>
                <c:pt idx="19">
                  <c:v>606.20925065813583</c:v>
                </c:pt>
                <c:pt idx="20">
                  <c:v>606.20925065813583</c:v>
                </c:pt>
                <c:pt idx="21">
                  <c:v>1028.7187283895637</c:v>
                </c:pt>
                <c:pt idx="22">
                  <c:v>1028.7187283895637</c:v>
                </c:pt>
                <c:pt idx="23">
                  <c:v>1028.7187283895637</c:v>
                </c:pt>
                <c:pt idx="24">
                  <c:v>1028.7187283895637</c:v>
                </c:pt>
                <c:pt idx="25">
                  <c:v>1028.7187283895637</c:v>
                </c:pt>
                <c:pt idx="26">
                  <c:v>569.46929607279424</c:v>
                </c:pt>
                <c:pt idx="27">
                  <c:v>569.46929607279424</c:v>
                </c:pt>
                <c:pt idx="28">
                  <c:v>569.46929607279424</c:v>
                </c:pt>
                <c:pt idx="29">
                  <c:v>569.46929607279424</c:v>
                </c:pt>
                <c:pt idx="30">
                  <c:v>569.46929607279424</c:v>
                </c:pt>
                <c:pt idx="31">
                  <c:v>554.77331423865758</c:v>
                </c:pt>
                <c:pt idx="32">
                  <c:v>554.77331423865758</c:v>
                </c:pt>
                <c:pt idx="33">
                  <c:v>554.77331423865758</c:v>
                </c:pt>
                <c:pt idx="34">
                  <c:v>554.77331423865758</c:v>
                </c:pt>
                <c:pt idx="35">
                  <c:v>1061.7846875163712</c:v>
                </c:pt>
                <c:pt idx="36">
                  <c:v>1061.7846875163712</c:v>
                </c:pt>
                <c:pt idx="37">
                  <c:v>1061.7846875163712</c:v>
                </c:pt>
                <c:pt idx="38">
                  <c:v>1061.7846875163712</c:v>
                </c:pt>
                <c:pt idx="39">
                  <c:v>1061.7846875163712</c:v>
                </c:pt>
                <c:pt idx="40">
                  <c:v>977.28279197008544</c:v>
                </c:pt>
                <c:pt idx="41">
                  <c:v>977.28279197008544</c:v>
                </c:pt>
                <c:pt idx="42">
                  <c:v>977.28279197008544</c:v>
                </c:pt>
                <c:pt idx="43">
                  <c:v>977.28279197008544</c:v>
                </c:pt>
                <c:pt idx="44">
                  <c:v>1307.9423832381597</c:v>
                </c:pt>
                <c:pt idx="45">
                  <c:v>1307.9423832381597</c:v>
                </c:pt>
                <c:pt idx="46">
                  <c:v>1307.9423832381597</c:v>
                </c:pt>
                <c:pt idx="47">
                  <c:v>1307.9423832381597</c:v>
                </c:pt>
                <c:pt idx="48">
                  <c:v>1285.8984104869546</c:v>
                </c:pt>
                <c:pt idx="49">
                  <c:v>1285.8984104869546</c:v>
                </c:pt>
                <c:pt idx="50">
                  <c:v>1285.8984104869546</c:v>
                </c:pt>
                <c:pt idx="51">
                  <c:v>1285.8984104869546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'TTL NORMAL'!$A$39:$B$39</c:f>
              <c:strCache>
                <c:ptCount val="1"/>
                <c:pt idx="0">
                  <c:v>B24-B 905</c:v>
                </c:pt>
              </c:strCache>
            </c:strRef>
          </c:tx>
          <c:marker>
            <c:symbol val="none"/>
          </c:marker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NORMAL'!$C$39:$BB$39</c:f>
              <c:numCache>
                <c:formatCode>0</c:formatCode>
                <c:ptCount val="52"/>
                <c:pt idx="0">
                  <c:v>657.64518707761385</c:v>
                </c:pt>
                <c:pt idx="1">
                  <c:v>657.64518707761385</c:v>
                </c:pt>
                <c:pt idx="2">
                  <c:v>657.64518707761385</c:v>
                </c:pt>
                <c:pt idx="3">
                  <c:v>657.64518707761385</c:v>
                </c:pt>
                <c:pt idx="4">
                  <c:v>760.51705991657047</c:v>
                </c:pt>
                <c:pt idx="5">
                  <c:v>760.51705991657047</c:v>
                </c:pt>
                <c:pt idx="6">
                  <c:v>760.51705991657047</c:v>
                </c:pt>
                <c:pt idx="7">
                  <c:v>760.51705991657047</c:v>
                </c:pt>
                <c:pt idx="8">
                  <c:v>999.32676472129037</c:v>
                </c:pt>
                <c:pt idx="9">
                  <c:v>999.32676472129037</c:v>
                </c:pt>
                <c:pt idx="10">
                  <c:v>999.32676472129037</c:v>
                </c:pt>
                <c:pt idx="11">
                  <c:v>999.32676472129037</c:v>
                </c:pt>
                <c:pt idx="12">
                  <c:v>1032.3927238480981</c:v>
                </c:pt>
                <c:pt idx="13">
                  <c:v>1032.3927238480981</c:v>
                </c:pt>
                <c:pt idx="14">
                  <c:v>1032.3927238480981</c:v>
                </c:pt>
                <c:pt idx="15">
                  <c:v>1032.3927238480981</c:v>
                </c:pt>
                <c:pt idx="16">
                  <c:v>1032.3927238480981</c:v>
                </c:pt>
                <c:pt idx="17">
                  <c:v>606.20925065813583</c:v>
                </c:pt>
                <c:pt idx="18">
                  <c:v>606.20925065813583</c:v>
                </c:pt>
                <c:pt idx="19">
                  <c:v>606.20925065813583</c:v>
                </c:pt>
                <c:pt idx="20">
                  <c:v>606.20925065813583</c:v>
                </c:pt>
                <c:pt idx="21">
                  <c:v>1028.7187283895637</c:v>
                </c:pt>
                <c:pt idx="22">
                  <c:v>1028.7187283895637</c:v>
                </c:pt>
                <c:pt idx="23">
                  <c:v>1028.7187283895637</c:v>
                </c:pt>
                <c:pt idx="24">
                  <c:v>1028.7187283895637</c:v>
                </c:pt>
                <c:pt idx="25">
                  <c:v>1028.7187283895637</c:v>
                </c:pt>
                <c:pt idx="26">
                  <c:v>569.46929607279424</c:v>
                </c:pt>
                <c:pt idx="27">
                  <c:v>569.46929607279424</c:v>
                </c:pt>
                <c:pt idx="28">
                  <c:v>569.46929607279424</c:v>
                </c:pt>
                <c:pt idx="29">
                  <c:v>569.46929607279424</c:v>
                </c:pt>
                <c:pt idx="30">
                  <c:v>569.46929607279424</c:v>
                </c:pt>
                <c:pt idx="31">
                  <c:v>554.77331423865758</c:v>
                </c:pt>
                <c:pt idx="32">
                  <c:v>554.77331423865758</c:v>
                </c:pt>
                <c:pt idx="33">
                  <c:v>554.77331423865758</c:v>
                </c:pt>
                <c:pt idx="34">
                  <c:v>554.77331423865758</c:v>
                </c:pt>
                <c:pt idx="35">
                  <c:v>1061.7846875163712</c:v>
                </c:pt>
                <c:pt idx="36">
                  <c:v>1061.7846875163712</c:v>
                </c:pt>
                <c:pt idx="37">
                  <c:v>1061.7846875163712</c:v>
                </c:pt>
                <c:pt idx="38">
                  <c:v>1061.7846875163712</c:v>
                </c:pt>
                <c:pt idx="39">
                  <c:v>1061.7846875163712</c:v>
                </c:pt>
                <c:pt idx="40">
                  <c:v>977.28279197008544</c:v>
                </c:pt>
                <c:pt idx="41">
                  <c:v>977.28279197008544</c:v>
                </c:pt>
                <c:pt idx="42">
                  <c:v>977.28279197008544</c:v>
                </c:pt>
                <c:pt idx="43">
                  <c:v>977.28279197008544</c:v>
                </c:pt>
                <c:pt idx="44">
                  <c:v>1307.9423832381597</c:v>
                </c:pt>
                <c:pt idx="45">
                  <c:v>1307.9423832381597</c:v>
                </c:pt>
                <c:pt idx="46">
                  <c:v>1307.9423832381597</c:v>
                </c:pt>
                <c:pt idx="47">
                  <c:v>1307.9423832381597</c:v>
                </c:pt>
                <c:pt idx="48">
                  <c:v>1285.8984104869546</c:v>
                </c:pt>
                <c:pt idx="49">
                  <c:v>1285.8984104869546</c:v>
                </c:pt>
                <c:pt idx="50">
                  <c:v>1285.8984104869546</c:v>
                </c:pt>
                <c:pt idx="51">
                  <c:v>1285.8984104869546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'TTL NORMAL'!$A$40:$B$40</c:f>
              <c:strCache>
                <c:ptCount val="1"/>
                <c:pt idx="0">
                  <c:v>B25-A 905</c:v>
                </c:pt>
              </c:strCache>
            </c:strRef>
          </c:tx>
          <c:marker>
            <c:symbol val="none"/>
          </c:marker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NORMAL'!$C$40:$BB$40</c:f>
              <c:numCache>
                <c:formatCode>0</c:formatCode>
                <c:ptCount val="52"/>
                <c:pt idx="0">
                  <c:v>657.64518707761385</c:v>
                </c:pt>
                <c:pt idx="1">
                  <c:v>657.64518707761385</c:v>
                </c:pt>
                <c:pt idx="2">
                  <c:v>657.64518707761385</c:v>
                </c:pt>
                <c:pt idx="3">
                  <c:v>657.64518707761385</c:v>
                </c:pt>
                <c:pt idx="4">
                  <c:v>760.51705991657047</c:v>
                </c:pt>
                <c:pt idx="5">
                  <c:v>760.51705991657047</c:v>
                </c:pt>
                <c:pt idx="6">
                  <c:v>760.51705991657047</c:v>
                </c:pt>
                <c:pt idx="7">
                  <c:v>760.51705991657047</c:v>
                </c:pt>
                <c:pt idx="8">
                  <c:v>999.32676472129037</c:v>
                </c:pt>
                <c:pt idx="9">
                  <c:v>999.32676472129037</c:v>
                </c:pt>
                <c:pt idx="10">
                  <c:v>999.32676472129037</c:v>
                </c:pt>
                <c:pt idx="11">
                  <c:v>999.32676472129037</c:v>
                </c:pt>
                <c:pt idx="12">
                  <c:v>1032.3927238480981</c:v>
                </c:pt>
                <c:pt idx="13">
                  <c:v>1032.3927238480981</c:v>
                </c:pt>
                <c:pt idx="14">
                  <c:v>1032.3927238480981</c:v>
                </c:pt>
                <c:pt idx="15">
                  <c:v>1032.3927238480981</c:v>
                </c:pt>
                <c:pt idx="16">
                  <c:v>1032.3927238480981</c:v>
                </c:pt>
                <c:pt idx="17">
                  <c:v>606.20925065813583</c:v>
                </c:pt>
                <c:pt idx="18">
                  <c:v>606.20925065813583</c:v>
                </c:pt>
                <c:pt idx="19">
                  <c:v>606.20925065813583</c:v>
                </c:pt>
                <c:pt idx="20">
                  <c:v>606.20925065813583</c:v>
                </c:pt>
                <c:pt idx="21">
                  <c:v>1028.7187283895637</c:v>
                </c:pt>
                <c:pt idx="22">
                  <c:v>1028.7187283895637</c:v>
                </c:pt>
                <c:pt idx="23">
                  <c:v>1028.7187283895637</c:v>
                </c:pt>
                <c:pt idx="24">
                  <c:v>1028.7187283895637</c:v>
                </c:pt>
                <c:pt idx="25">
                  <c:v>1028.7187283895637</c:v>
                </c:pt>
                <c:pt idx="26">
                  <c:v>569.46929607279424</c:v>
                </c:pt>
                <c:pt idx="27">
                  <c:v>569.46929607279424</c:v>
                </c:pt>
                <c:pt idx="28">
                  <c:v>569.46929607279424</c:v>
                </c:pt>
                <c:pt idx="29">
                  <c:v>569.46929607279424</c:v>
                </c:pt>
                <c:pt idx="30">
                  <c:v>569.46929607279424</c:v>
                </c:pt>
                <c:pt idx="31">
                  <c:v>554.77331423865758</c:v>
                </c:pt>
                <c:pt idx="32">
                  <c:v>554.77331423865758</c:v>
                </c:pt>
                <c:pt idx="33">
                  <c:v>554.77331423865758</c:v>
                </c:pt>
                <c:pt idx="34">
                  <c:v>554.77331423865758</c:v>
                </c:pt>
                <c:pt idx="35">
                  <c:v>1061.7846875163712</c:v>
                </c:pt>
                <c:pt idx="36">
                  <c:v>1061.7846875163712</c:v>
                </c:pt>
                <c:pt idx="37">
                  <c:v>1061.7846875163712</c:v>
                </c:pt>
                <c:pt idx="38">
                  <c:v>1061.7846875163712</c:v>
                </c:pt>
                <c:pt idx="39">
                  <c:v>1061.7846875163712</c:v>
                </c:pt>
                <c:pt idx="40">
                  <c:v>977.28279197008544</c:v>
                </c:pt>
                <c:pt idx="41">
                  <c:v>977.28279197008544</c:v>
                </c:pt>
                <c:pt idx="42">
                  <c:v>977.28279197008544</c:v>
                </c:pt>
                <c:pt idx="43">
                  <c:v>977.28279197008544</c:v>
                </c:pt>
                <c:pt idx="44">
                  <c:v>1307.9423832381597</c:v>
                </c:pt>
                <c:pt idx="45">
                  <c:v>1307.9423832381597</c:v>
                </c:pt>
                <c:pt idx="46">
                  <c:v>1307.9423832381597</c:v>
                </c:pt>
                <c:pt idx="47">
                  <c:v>1307.9423832381597</c:v>
                </c:pt>
                <c:pt idx="48">
                  <c:v>1285.8984104869546</c:v>
                </c:pt>
                <c:pt idx="49">
                  <c:v>1285.8984104869546</c:v>
                </c:pt>
                <c:pt idx="50">
                  <c:v>1285.8984104869546</c:v>
                </c:pt>
                <c:pt idx="51">
                  <c:v>1285.8984104869546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'TTL NORMAL'!$A$41:$B$41</c:f>
              <c:strCache>
                <c:ptCount val="1"/>
                <c:pt idx="0">
                  <c:v>B25-B 905</c:v>
                </c:pt>
              </c:strCache>
            </c:strRef>
          </c:tx>
          <c:marker>
            <c:symbol val="none"/>
          </c:marker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NORMAL'!$C$41:$BB$41</c:f>
              <c:numCache>
                <c:formatCode>0</c:formatCode>
                <c:ptCount val="52"/>
                <c:pt idx="0">
                  <c:v>657.64518707761385</c:v>
                </c:pt>
                <c:pt idx="1">
                  <c:v>657.64518707761385</c:v>
                </c:pt>
                <c:pt idx="2">
                  <c:v>657.64518707761385</c:v>
                </c:pt>
                <c:pt idx="3">
                  <c:v>657.64518707761385</c:v>
                </c:pt>
                <c:pt idx="4">
                  <c:v>760.51705991657047</c:v>
                </c:pt>
                <c:pt idx="5">
                  <c:v>760.51705991657047</c:v>
                </c:pt>
                <c:pt idx="6">
                  <c:v>760.51705991657047</c:v>
                </c:pt>
                <c:pt idx="7">
                  <c:v>760.51705991657047</c:v>
                </c:pt>
                <c:pt idx="8">
                  <c:v>999.32676472129037</c:v>
                </c:pt>
                <c:pt idx="9">
                  <c:v>999.32676472129037</c:v>
                </c:pt>
                <c:pt idx="10">
                  <c:v>999.32676472129037</c:v>
                </c:pt>
                <c:pt idx="11">
                  <c:v>999.32676472129037</c:v>
                </c:pt>
                <c:pt idx="12">
                  <c:v>1032.3927238480981</c:v>
                </c:pt>
                <c:pt idx="13">
                  <c:v>1032.3927238480981</c:v>
                </c:pt>
                <c:pt idx="14">
                  <c:v>1032.3927238480981</c:v>
                </c:pt>
                <c:pt idx="15">
                  <c:v>1032.3927238480981</c:v>
                </c:pt>
                <c:pt idx="16">
                  <c:v>1032.3927238480981</c:v>
                </c:pt>
                <c:pt idx="17">
                  <c:v>606.20925065813583</c:v>
                </c:pt>
                <c:pt idx="18">
                  <c:v>606.20925065813583</c:v>
                </c:pt>
                <c:pt idx="19">
                  <c:v>606.20925065813583</c:v>
                </c:pt>
                <c:pt idx="20">
                  <c:v>606.20925065813583</c:v>
                </c:pt>
                <c:pt idx="21">
                  <c:v>1028.7187283895637</c:v>
                </c:pt>
                <c:pt idx="22">
                  <c:v>1028.7187283895637</c:v>
                </c:pt>
                <c:pt idx="23">
                  <c:v>1028.7187283895637</c:v>
                </c:pt>
                <c:pt idx="24">
                  <c:v>1028.7187283895637</c:v>
                </c:pt>
                <c:pt idx="25">
                  <c:v>1028.7187283895637</c:v>
                </c:pt>
                <c:pt idx="26">
                  <c:v>569.46929607279424</c:v>
                </c:pt>
                <c:pt idx="27">
                  <c:v>569.46929607279424</c:v>
                </c:pt>
                <c:pt idx="28">
                  <c:v>569.46929607279424</c:v>
                </c:pt>
                <c:pt idx="29">
                  <c:v>569.46929607279424</c:v>
                </c:pt>
                <c:pt idx="30">
                  <c:v>569.46929607279424</c:v>
                </c:pt>
                <c:pt idx="31">
                  <c:v>554.77331423865758</c:v>
                </c:pt>
                <c:pt idx="32">
                  <c:v>554.77331423865758</c:v>
                </c:pt>
                <c:pt idx="33">
                  <c:v>554.77331423865758</c:v>
                </c:pt>
                <c:pt idx="34">
                  <c:v>554.77331423865758</c:v>
                </c:pt>
                <c:pt idx="35">
                  <c:v>1061.7846875163712</c:v>
                </c:pt>
                <c:pt idx="36">
                  <c:v>1061.7846875163712</c:v>
                </c:pt>
                <c:pt idx="37">
                  <c:v>1061.7846875163712</c:v>
                </c:pt>
                <c:pt idx="38">
                  <c:v>1061.7846875163712</c:v>
                </c:pt>
                <c:pt idx="39">
                  <c:v>1061.7846875163712</c:v>
                </c:pt>
                <c:pt idx="40">
                  <c:v>977.28279197008544</c:v>
                </c:pt>
                <c:pt idx="41">
                  <c:v>977.28279197008544</c:v>
                </c:pt>
                <c:pt idx="42">
                  <c:v>977.28279197008544</c:v>
                </c:pt>
                <c:pt idx="43">
                  <c:v>977.28279197008544</c:v>
                </c:pt>
                <c:pt idx="44">
                  <c:v>1307.9423832381597</c:v>
                </c:pt>
                <c:pt idx="45">
                  <c:v>1307.9423832381597</c:v>
                </c:pt>
                <c:pt idx="46">
                  <c:v>1307.9423832381597</c:v>
                </c:pt>
                <c:pt idx="47">
                  <c:v>1307.9423832381597</c:v>
                </c:pt>
                <c:pt idx="48">
                  <c:v>1285.8984104869546</c:v>
                </c:pt>
                <c:pt idx="49">
                  <c:v>1285.8984104869546</c:v>
                </c:pt>
                <c:pt idx="50">
                  <c:v>1285.8984104869546</c:v>
                </c:pt>
                <c:pt idx="51">
                  <c:v>1285.8984104869546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'TTL NORMAL'!$A$42:$B$42</c:f>
              <c:strCache>
                <c:ptCount val="1"/>
                <c:pt idx="0">
                  <c:v>M1-A 5839</c:v>
                </c:pt>
              </c:strCache>
            </c:strRef>
          </c:tx>
          <c:marker>
            <c:symbol val="none"/>
          </c:marker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NORMAL'!$C$42:$BB$42</c:f>
              <c:numCache>
                <c:formatCode>0</c:formatCode>
                <c:ptCount val="52"/>
                <c:pt idx="0">
                  <c:v>4242.7201228221147</c:v>
                </c:pt>
                <c:pt idx="1">
                  <c:v>4242.7201228221147</c:v>
                </c:pt>
                <c:pt idx="2">
                  <c:v>4242.7201228221147</c:v>
                </c:pt>
                <c:pt idx="3">
                  <c:v>4242.7201228221147</c:v>
                </c:pt>
                <c:pt idx="4">
                  <c:v>4906.3858403585364</c:v>
                </c:pt>
                <c:pt idx="5">
                  <c:v>4906.3858403585364</c:v>
                </c:pt>
                <c:pt idx="6">
                  <c:v>4906.3858403585364</c:v>
                </c:pt>
                <c:pt idx="7">
                  <c:v>4906.3858403585364</c:v>
                </c:pt>
                <c:pt idx="8">
                  <c:v>6447.038398925225</c:v>
                </c:pt>
                <c:pt idx="9">
                  <c:v>6447.038398925225</c:v>
                </c:pt>
                <c:pt idx="10">
                  <c:v>6447.038398925225</c:v>
                </c:pt>
                <c:pt idx="11">
                  <c:v>6447.038398925225</c:v>
                </c:pt>
                <c:pt idx="12">
                  <c:v>6660.3595224190758</c:v>
                </c:pt>
                <c:pt idx="13">
                  <c:v>6660.3595224190758</c:v>
                </c:pt>
                <c:pt idx="14">
                  <c:v>6660.3595224190758</c:v>
                </c:pt>
                <c:pt idx="15">
                  <c:v>6660.3595224190758</c:v>
                </c:pt>
                <c:pt idx="16">
                  <c:v>6660.3595224190758</c:v>
                </c:pt>
                <c:pt idx="17">
                  <c:v>3910.8872640539057</c:v>
                </c:pt>
                <c:pt idx="18">
                  <c:v>3910.8872640539057</c:v>
                </c:pt>
                <c:pt idx="19">
                  <c:v>3910.8872640539057</c:v>
                </c:pt>
                <c:pt idx="20">
                  <c:v>3910.8872640539057</c:v>
                </c:pt>
                <c:pt idx="21">
                  <c:v>6636.657175364202</c:v>
                </c:pt>
                <c:pt idx="22">
                  <c:v>6636.657175364202</c:v>
                </c:pt>
                <c:pt idx="23">
                  <c:v>6636.657175364202</c:v>
                </c:pt>
                <c:pt idx="24">
                  <c:v>6636.657175364202</c:v>
                </c:pt>
                <c:pt idx="25">
                  <c:v>6636.657175364202</c:v>
                </c:pt>
                <c:pt idx="26">
                  <c:v>3673.8637935051838</c:v>
                </c:pt>
                <c:pt idx="27">
                  <c:v>3673.8637935051838</c:v>
                </c:pt>
                <c:pt idx="28">
                  <c:v>3673.8637935051838</c:v>
                </c:pt>
                <c:pt idx="29">
                  <c:v>3673.8637935051838</c:v>
                </c:pt>
                <c:pt idx="30">
                  <c:v>3673.8637935051838</c:v>
                </c:pt>
                <c:pt idx="31">
                  <c:v>3579.0544052856953</c:v>
                </c:pt>
                <c:pt idx="32">
                  <c:v>3579.0544052856953</c:v>
                </c:pt>
                <c:pt idx="33">
                  <c:v>3579.0544052856953</c:v>
                </c:pt>
                <c:pt idx="34">
                  <c:v>3579.0544052856953</c:v>
                </c:pt>
                <c:pt idx="35">
                  <c:v>6849.9782988580528</c:v>
                </c:pt>
                <c:pt idx="36">
                  <c:v>6849.9782988580528</c:v>
                </c:pt>
                <c:pt idx="37">
                  <c:v>6849.9782988580528</c:v>
                </c:pt>
                <c:pt idx="38">
                  <c:v>6849.9782988580528</c:v>
                </c:pt>
                <c:pt idx="39">
                  <c:v>6849.9782988580528</c:v>
                </c:pt>
                <c:pt idx="40">
                  <c:v>6304.8243165959921</c:v>
                </c:pt>
                <c:pt idx="41">
                  <c:v>6304.8243165959921</c:v>
                </c:pt>
                <c:pt idx="42">
                  <c:v>6304.8243165959921</c:v>
                </c:pt>
                <c:pt idx="43">
                  <c:v>6304.8243165959921</c:v>
                </c:pt>
                <c:pt idx="44">
                  <c:v>8438.0355515344872</c:v>
                </c:pt>
                <c:pt idx="45">
                  <c:v>8438.0355515344872</c:v>
                </c:pt>
                <c:pt idx="46">
                  <c:v>8438.0355515344872</c:v>
                </c:pt>
                <c:pt idx="47">
                  <c:v>8438.0355515344872</c:v>
                </c:pt>
                <c:pt idx="48">
                  <c:v>8295.8214692052534</c:v>
                </c:pt>
                <c:pt idx="49">
                  <c:v>8295.8214692052534</c:v>
                </c:pt>
                <c:pt idx="50">
                  <c:v>8295.8214692052534</c:v>
                </c:pt>
                <c:pt idx="51">
                  <c:v>8295.8214692052534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'TTL NORMAL'!$A$43:$B$43</c:f>
              <c:strCache>
                <c:ptCount val="1"/>
                <c:pt idx="0">
                  <c:v>M2-A 5839</c:v>
                </c:pt>
              </c:strCache>
            </c:strRef>
          </c:tx>
          <c:marker>
            <c:symbol val="none"/>
          </c:marker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NORMAL'!$C$43:$BB$43</c:f>
              <c:numCache>
                <c:formatCode>0</c:formatCode>
                <c:ptCount val="52"/>
                <c:pt idx="0">
                  <c:v>4242.7201228221147</c:v>
                </c:pt>
                <c:pt idx="1">
                  <c:v>4242.7201228221147</c:v>
                </c:pt>
                <c:pt idx="2">
                  <c:v>4242.7201228221147</c:v>
                </c:pt>
                <c:pt idx="3">
                  <c:v>4242.7201228221147</c:v>
                </c:pt>
                <c:pt idx="4">
                  <c:v>4906.3858403585364</c:v>
                </c:pt>
                <c:pt idx="5">
                  <c:v>4906.3858403585364</c:v>
                </c:pt>
                <c:pt idx="6">
                  <c:v>4906.3858403585364</c:v>
                </c:pt>
                <c:pt idx="7">
                  <c:v>4906.3858403585364</c:v>
                </c:pt>
                <c:pt idx="8">
                  <c:v>6447.038398925225</c:v>
                </c:pt>
                <c:pt idx="9">
                  <c:v>6447.038398925225</c:v>
                </c:pt>
                <c:pt idx="10">
                  <c:v>6447.038398925225</c:v>
                </c:pt>
                <c:pt idx="11">
                  <c:v>6447.038398925225</c:v>
                </c:pt>
                <c:pt idx="12">
                  <c:v>6660.3595224190758</c:v>
                </c:pt>
                <c:pt idx="13">
                  <c:v>6660.3595224190758</c:v>
                </c:pt>
                <c:pt idx="14">
                  <c:v>6660.3595224190758</c:v>
                </c:pt>
                <c:pt idx="15">
                  <c:v>6660.3595224190758</c:v>
                </c:pt>
                <c:pt idx="16">
                  <c:v>6660.3595224190758</c:v>
                </c:pt>
                <c:pt idx="17">
                  <c:v>3910.8872640539057</c:v>
                </c:pt>
                <c:pt idx="18">
                  <c:v>3910.8872640539057</c:v>
                </c:pt>
                <c:pt idx="19">
                  <c:v>3910.8872640539057</c:v>
                </c:pt>
                <c:pt idx="20">
                  <c:v>3910.8872640539057</c:v>
                </c:pt>
                <c:pt idx="21">
                  <c:v>6636.657175364202</c:v>
                </c:pt>
                <c:pt idx="22">
                  <c:v>6636.657175364202</c:v>
                </c:pt>
                <c:pt idx="23">
                  <c:v>6636.657175364202</c:v>
                </c:pt>
                <c:pt idx="24">
                  <c:v>6636.657175364202</c:v>
                </c:pt>
                <c:pt idx="25">
                  <c:v>6636.657175364202</c:v>
                </c:pt>
                <c:pt idx="26">
                  <c:v>3673.8637935051838</c:v>
                </c:pt>
                <c:pt idx="27">
                  <c:v>3673.8637935051838</c:v>
                </c:pt>
                <c:pt idx="28">
                  <c:v>3673.8637935051838</c:v>
                </c:pt>
                <c:pt idx="29">
                  <c:v>3673.8637935051838</c:v>
                </c:pt>
                <c:pt idx="30">
                  <c:v>3673.8637935051838</c:v>
                </c:pt>
                <c:pt idx="31">
                  <c:v>3579.0544052856953</c:v>
                </c:pt>
                <c:pt idx="32">
                  <c:v>3579.0544052856953</c:v>
                </c:pt>
                <c:pt idx="33">
                  <c:v>3579.0544052856953</c:v>
                </c:pt>
                <c:pt idx="34">
                  <c:v>3579.0544052856953</c:v>
                </c:pt>
                <c:pt idx="35">
                  <c:v>6849.9782988580528</c:v>
                </c:pt>
                <c:pt idx="36">
                  <c:v>6849.9782988580528</c:v>
                </c:pt>
                <c:pt idx="37">
                  <c:v>6849.9782988580528</c:v>
                </c:pt>
                <c:pt idx="38">
                  <c:v>6849.9782988580528</c:v>
                </c:pt>
                <c:pt idx="39">
                  <c:v>6849.9782988580528</c:v>
                </c:pt>
                <c:pt idx="40">
                  <c:v>6304.8243165959921</c:v>
                </c:pt>
                <c:pt idx="41">
                  <c:v>6304.8243165959921</c:v>
                </c:pt>
                <c:pt idx="42">
                  <c:v>6304.8243165959921</c:v>
                </c:pt>
                <c:pt idx="43">
                  <c:v>6304.8243165959921</c:v>
                </c:pt>
                <c:pt idx="44">
                  <c:v>8438.0355515344872</c:v>
                </c:pt>
                <c:pt idx="45">
                  <c:v>8438.0355515344872</c:v>
                </c:pt>
                <c:pt idx="46">
                  <c:v>8438.0355515344872</c:v>
                </c:pt>
                <c:pt idx="47">
                  <c:v>8438.0355515344872</c:v>
                </c:pt>
                <c:pt idx="48">
                  <c:v>8295.8214692052534</c:v>
                </c:pt>
                <c:pt idx="49">
                  <c:v>8295.8214692052534</c:v>
                </c:pt>
                <c:pt idx="50">
                  <c:v>8295.8214692052534</c:v>
                </c:pt>
                <c:pt idx="51">
                  <c:v>8295.8214692052534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'TTL NORMAL'!$A$44:$B$44</c:f>
              <c:strCache>
                <c:ptCount val="1"/>
                <c:pt idx="0">
                  <c:v>M3-A 5839</c:v>
                </c:pt>
              </c:strCache>
            </c:strRef>
          </c:tx>
          <c:marker>
            <c:symbol val="none"/>
          </c:marker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NORMAL'!$C$44:$BB$44</c:f>
              <c:numCache>
                <c:formatCode>0</c:formatCode>
                <c:ptCount val="52"/>
                <c:pt idx="0">
                  <c:v>4242.7201228221147</c:v>
                </c:pt>
                <c:pt idx="1">
                  <c:v>4242.7201228221147</c:v>
                </c:pt>
                <c:pt idx="2">
                  <c:v>4242.7201228221147</c:v>
                </c:pt>
                <c:pt idx="3">
                  <c:v>4242.7201228221147</c:v>
                </c:pt>
                <c:pt idx="4">
                  <c:v>4906.3858403585364</c:v>
                </c:pt>
                <c:pt idx="5">
                  <c:v>4906.3858403585364</c:v>
                </c:pt>
                <c:pt idx="6">
                  <c:v>4906.3858403585364</c:v>
                </c:pt>
                <c:pt idx="7">
                  <c:v>4906.3858403585364</c:v>
                </c:pt>
                <c:pt idx="8">
                  <c:v>6447.038398925225</c:v>
                </c:pt>
                <c:pt idx="9">
                  <c:v>6447.038398925225</c:v>
                </c:pt>
                <c:pt idx="10">
                  <c:v>6447.038398925225</c:v>
                </c:pt>
                <c:pt idx="11">
                  <c:v>6447.038398925225</c:v>
                </c:pt>
                <c:pt idx="12">
                  <c:v>6660.3595224190758</c:v>
                </c:pt>
                <c:pt idx="13">
                  <c:v>6660.3595224190758</c:v>
                </c:pt>
                <c:pt idx="14">
                  <c:v>6660.3595224190758</c:v>
                </c:pt>
                <c:pt idx="15">
                  <c:v>6660.3595224190758</c:v>
                </c:pt>
                <c:pt idx="16">
                  <c:v>6660.3595224190758</c:v>
                </c:pt>
                <c:pt idx="17">
                  <c:v>3910.8872640539057</c:v>
                </c:pt>
                <c:pt idx="18">
                  <c:v>3910.8872640539057</c:v>
                </c:pt>
                <c:pt idx="19">
                  <c:v>3910.8872640539057</c:v>
                </c:pt>
                <c:pt idx="20">
                  <c:v>3910.8872640539057</c:v>
                </c:pt>
                <c:pt idx="21">
                  <c:v>6636.657175364202</c:v>
                </c:pt>
                <c:pt idx="22">
                  <c:v>6636.657175364202</c:v>
                </c:pt>
                <c:pt idx="23">
                  <c:v>6636.657175364202</c:v>
                </c:pt>
                <c:pt idx="24">
                  <c:v>6636.657175364202</c:v>
                </c:pt>
                <c:pt idx="25">
                  <c:v>6636.657175364202</c:v>
                </c:pt>
                <c:pt idx="26">
                  <c:v>3673.8637935051838</c:v>
                </c:pt>
                <c:pt idx="27">
                  <c:v>3673.8637935051838</c:v>
                </c:pt>
                <c:pt idx="28">
                  <c:v>3673.8637935051838</c:v>
                </c:pt>
                <c:pt idx="29">
                  <c:v>3673.8637935051838</c:v>
                </c:pt>
                <c:pt idx="30">
                  <c:v>3673.8637935051838</c:v>
                </c:pt>
                <c:pt idx="31">
                  <c:v>3579.0544052856953</c:v>
                </c:pt>
                <c:pt idx="32">
                  <c:v>3579.0544052856953</c:v>
                </c:pt>
                <c:pt idx="33">
                  <c:v>3579.0544052856953</c:v>
                </c:pt>
                <c:pt idx="34">
                  <c:v>3579.0544052856953</c:v>
                </c:pt>
                <c:pt idx="35">
                  <c:v>6849.9782988580528</c:v>
                </c:pt>
                <c:pt idx="36">
                  <c:v>6849.9782988580528</c:v>
                </c:pt>
                <c:pt idx="37">
                  <c:v>6849.9782988580528</c:v>
                </c:pt>
                <c:pt idx="38">
                  <c:v>6849.9782988580528</c:v>
                </c:pt>
                <c:pt idx="39">
                  <c:v>6849.9782988580528</c:v>
                </c:pt>
                <c:pt idx="40">
                  <c:v>6304.8243165959921</c:v>
                </c:pt>
                <c:pt idx="41">
                  <c:v>6304.8243165959921</c:v>
                </c:pt>
                <c:pt idx="42">
                  <c:v>6304.8243165959921</c:v>
                </c:pt>
                <c:pt idx="43">
                  <c:v>6304.8243165959921</c:v>
                </c:pt>
                <c:pt idx="44">
                  <c:v>8438.0355515344872</c:v>
                </c:pt>
                <c:pt idx="45">
                  <c:v>8438.0355515344872</c:v>
                </c:pt>
                <c:pt idx="46">
                  <c:v>8438.0355515344872</c:v>
                </c:pt>
                <c:pt idx="47">
                  <c:v>8438.0355515344872</c:v>
                </c:pt>
                <c:pt idx="48">
                  <c:v>8295.8214692052534</c:v>
                </c:pt>
                <c:pt idx="49">
                  <c:v>8295.8214692052534</c:v>
                </c:pt>
                <c:pt idx="50">
                  <c:v>8295.8214692052534</c:v>
                </c:pt>
                <c:pt idx="51">
                  <c:v>8295.8214692052534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'TTL NORMAL'!$A$45:$B$45</c:f>
              <c:strCache>
                <c:ptCount val="1"/>
                <c:pt idx="0">
                  <c:v>M4-A 5839</c:v>
                </c:pt>
              </c:strCache>
            </c:strRef>
          </c:tx>
          <c:marker>
            <c:symbol val="none"/>
          </c:marker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NORMAL'!$C$45:$BB$45</c:f>
              <c:numCache>
                <c:formatCode>0</c:formatCode>
                <c:ptCount val="52"/>
                <c:pt idx="0">
                  <c:v>4242.7201228221147</c:v>
                </c:pt>
                <c:pt idx="1">
                  <c:v>4242.7201228221147</c:v>
                </c:pt>
                <c:pt idx="2">
                  <c:v>4242.7201228221147</c:v>
                </c:pt>
                <c:pt idx="3">
                  <c:v>4242.7201228221147</c:v>
                </c:pt>
                <c:pt idx="4">
                  <c:v>4906.3858403585364</c:v>
                </c:pt>
                <c:pt idx="5">
                  <c:v>4906.3858403585364</c:v>
                </c:pt>
                <c:pt idx="6">
                  <c:v>4906.3858403585364</c:v>
                </c:pt>
                <c:pt idx="7">
                  <c:v>4906.3858403585364</c:v>
                </c:pt>
                <c:pt idx="8">
                  <c:v>6447.038398925225</c:v>
                </c:pt>
                <c:pt idx="9">
                  <c:v>6447.038398925225</c:v>
                </c:pt>
                <c:pt idx="10">
                  <c:v>6447.038398925225</c:v>
                </c:pt>
                <c:pt idx="11">
                  <c:v>6447.038398925225</c:v>
                </c:pt>
                <c:pt idx="12">
                  <c:v>6660.3595224190758</c:v>
                </c:pt>
                <c:pt idx="13">
                  <c:v>6660.3595224190758</c:v>
                </c:pt>
                <c:pt idx="14">
                  <c:v>6660.3595224190758</c:v>
                </c:pt>
                <c:pt idx="15">
                  <c:v>6660.3595224190758</c:v>
                </c:pt>
                <c:pt idx="16">
                  <c:v>6660.3595224190758</c:v>
                </c:pt>
                <c:pt idx="17">
                  <c:v>3910.8872640539057</c:v>
                </c:pt>
                <c:pt idx="18">
                  <c:v>3910.8872640539057</c:v>
                </c:pt>
                <c:pt idx="19">
                  <c:v>3910.8872640539057</c:v>
                </c:pt>
                <c:pt idx="20">
                  <c:v>3910.8872640539057</c:v>
                </c:pt>
                <c:pt idx="21">
                  <c:v>6636.657175364202</c:v>
                </c:pt>
                <c:pt idx="22">
                  <c:v>6636.657175364202</c:v>
                </c:pt>
                <c:pt idx="23">
                  <c:v>6636.657175364202</c:v>
                </c:pt>
                <c:pt idx="24">
                  <c:v>6636.657175364202</c:v>
                </c:pt>
                <c:pt idx="25">
                  <c:v>6636.657175364202</c:v>
                </c:pt>
                <c:pt idx="26">
                  <c:v>3673.8637935051838</c:v>
                </c:pt>
                <c:pt idx="27">
                  <c:v>3673.8637935051838</c:v>
                </c:pt>
                <c:pt idx="28">
                  <c:v>3673.8637935051838</c:v>
                </c:pt>
                <c:pt idx="29">
                  <c:v>3673.8637935051838</c:v>
                </c:pt>
                <c:pt idx="30">
                  <c:v>3673.8637935051838</c:v>
                </c:pt>
                <c:pt idx="31">
                  <c:v>3579.0544052856953</c:v>
                </c:pt>
                <c:pt idx="32">
                  <c:v>3579.0544052856953</c:v>
                </c:pt>
                <c:pt idx="33">
                  <c:v>3579.0544052856953</c:v>
                </c:pt>
                <c:pt idx="34">
                  <c:v>3579.0544052856953</c:v>
                </c:pt>
                <c:pt idx="35">
                  <c:v>6849.9782988580528</c:v>
                </c:pt>
                <c:pt idx="36">
                  <c:v>6849.9782988580528</c:v>
                </c:pt>
                <c:pt idx="37">
                  <c:v>6849.9782988580528</c:v>
                </c:pt>
                <c:pt idx="38">
                  <c:v>6849.9782988580528</c:v>
                </c:pt>
                <c:pt idx="39">
                  <c:v>6849.9782988580528</c:v>
                </c:pt>
                <c:pt idx="40">
                  <c:v>6304.8243165959921</c:v>
                </c:pt>
                <c:pt idx="41">
                  <c:v>6304.8243165959921</c:v>
                </c:pt>
                <c:pt idx="42">
                  <c:v>6304.8243165959921</c:v>
                </c:pt>
                <c:pt idx="43">
                  <c:v>6304.8243165959921</c:v>
                </c:pt>
                <c:pt idx="44">
                  <c:v>8438.0355515344872</c:v>
                </c:pt>
                <c:pt idx="45">
                  <c:v>8438.0355515344872</c:v>
                </c:pt>
                <c:pt idx="46">
                  <c:v>8438.0355515344872</c:v>
                </c:pt>
                <c:pt idx="47">
                  <c:v>8438.0355515344872</c:v>
                </c:pt>
                <c:pt idx="48">
                  <c:v>8295.8214692052534</c:v>
                </c:pt>
                <c:pt idx="49">
                  <c:v>8295.8214692052534</c:v>
                </c:pt>
                <c:pt idx="50">
                  <c:v>8295.8214692052534</c:v>
                </c:pt>
                <c:pt idx="51">
                  <c:v>8295.8214692052534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'TTL NORMAL'!$A$46:$B$46</c:f>
              <c:strCache>
                <c:ptCount val="1"/>
                <c:pt idx="0">
                  <c:v>M5-A 5839</c:v>
                </c:pt>
              </c:strCache>
            </c:strRef>
          </c:tx>
          <c:marker>
            <c:symbol val="none"/>
          </c:marker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NORMAL'!$C$46:$BB$46</c:f>
              <c:numCache>
                <c:formatCode>0</c:formatCode>
                <c:ptCount val="52"/>
                <c:pt idx="0">
                  <c:v>4242.7201228221147</c:v>
                </c:pt>
                <c:pt idx="1">
                  <c:v>4242.7201228221147</c:v>
                </c:pt>
                <c:pt idx="2">
                  <c:v>4242.7201228221147</c:v>
                </c:pt>
                <c:pt idx="3">
                  <c:v>4242.7201228221147</c:v>
                </c:pt>
                <c:pt idx="4">
                  <c:v>4906.3858403585364</c:v>
                </c:pt>
                <c:pt idx="5">
                  <c:v>4906.3858403585364</c:v>
                </c:pt>
                <c:pt idx="6">
                  <c:v>4906.3858403585364</c:v>
                </c:pt>
                <c:pt idx="7">
                  <c:v>4906.3858403585364</c:v>
                </c:pt>
                <c:pt idx="8">
                  <c:v>6447.038398925225</c:v>
                </c:pt>
                <c:pt idx="9">
                  <c:v>6447.038398925225</c:v>
                </c:pt>
                <c:pt idx="10">
                  <c:v>6447.038398925225</c:v>
                </c:pt>
                <c:pt idx="11">
                  <c:v>6447.038398925225</c:v>
                </c:pt>
                <c:pt idx="12">
                  <c:v>6660.3595224190758</c:v>
                </c:pt>
                <c:pt idx="13">
                  <c:v>6660.3595224190758</c:v>
                </c:pt>
                <c:pt idx="14">
                  <c:v>6660.3595224190758</c:v>
                </c:pt>
                <c:pt idx="15">
                  <c:v>6660.3595224190758</c:v>
                </c:pt>
                <c:pt idx="16">
                  <c:v>6660.3595224190758</c:v>
                </c:pt>
                <c:pt idx="17">
                  <c:v>3910.8872640539057</c:v>
                </c:pt>
                <c:pt idx="18">
                  <c:v>3910.8872640539057</c:v>
                </c:pt>
                <c:pt idx="19">
                  <c:v>3910.8872640539057</c:v>
                </c:pt>
                <c:pt idx="20">
                  <c:v>3910.8872640539057</c:v>
                </c:pt>
                <c:pt idx="21">
                  <c:v>6636.657175364202</c:v>
                </c:pt>
                <c:pt idx="22">
                  <c:v>6636.657175364202</c:v>
                </c:pt>
                <c:pt idx="23">
                  <c:v>6636.657175364202</c:v>
                </c:pt>
                <c:pt idx="24">
                  <c:v>6636.657175364202</c:v>
                </c:pt>
                <c:pt idx="25">
                  <c:v>6636.657175364202</c:v>
                </c:pt>
                <c:pt idx="26">
                  <c:v>3673.8637935051838</c:v>
                </c:pt>
                <c:pt idx="27">
                  <c:v>3673.8637935051838</c:v>
                </c:pt>
                <c:pt idx="28">
                  <c:v>3673.8637935051838</c:v>
                </c:pt>
                <c:pt idx="29">
                  <c:v>3673.8637935051838</c:v>
                </c:pt>
                <c:pt idx="30">
                  <c:v>3673.8637935051838</c:v>
                </c:pt>
                <c:pt idx="31">
                  <c:v>3579.0544052856953</c:v>
                </c:pt>
                <c:pt idx="32">
                  <c:v>3579.0544052856953</c:v>
                </c:pt>
                <c:pt idx="33">
                  <c:v>3579.0544052856953</c:v>
                </c:pt>
                <c:pt idx="34">
                  <c:v>3579.0544052856953</c:v>
                </c:pt>
                <c:pt idx="35">
                  <c:v>6849.9782988580528</c:v>
                </c:pt>
                <c:pt idx="36">
                  <c:v>6849.9782988580528</c:v>
                </c:pt>
                <c:pt idx="37">
                  <c:v>6849.9782988580528</c:v>
                </c:pt>
                <c:pt idx="38">
                  <c:v>6849.9782988580528</c:v>
                </c:pt>
                <c:pt idx="39">
                  <c:v>6849.9782988580528</c:v>
                </c:pt>
                <c:pt idx="40">
                  <c:v>6304.8243165959921</c:v>
                </c:pt>
                <c:pt idx="41">
                  <c:v>6304.8243165959921</c:v>
                </c:pt>
                <c:pt idx="42">
                  <c:v>6304.8243165959921</c:v>
                </c:pt>
                <c:pt idx="43">
                  <c:v>6304.8243165959921</c:v>
                </c:pt>
                <c:pt idx="44">
                  <c:v>8438.0355515344872</c:v>
                </c:pt>
                <c:pt idx="45">
                  <c:v>8438.0355515344872</c:v>
                </c:pt>
                <c:pt idx="46">
                  <c:v>8438.0355515344872</c:v>
                </c:pt>
                <c:pt idx="47">
                  <c:v>8438.0355515344872</c:v>
                </c:pt>
                <c:pt idx="48">
                  <c:v>8295.8214692052534</c:v>
                </c:pt>
                <c:pt idx="49">
                  <c:v>8295.8214692052534</c:v>
                </c:pt>
                <c:pt idx="50">
                  <c:v>8295.8214692052534</c:v>
                </c:pt>
                <c:pt idx="51">
                  <c:v>8295.8214692052534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82272"/>
        <c:axId val="88513856"/>
      </c:lineChart>
      <c:catAx>
        <c:axId val="43382272"/>
        <c:scaling>
          <c:orientation val="minMax"/>
        </c:scaling>
        <c:delete val="0"/>
        <c:axPos val="b"/>
        <c:majorTickMark val="out"/>
        <c:minorTickMark val="none"/>
        <c:tickLblPos val="nextTo"/>
        <c:crossAx val="88513856"/>
        <c:crosses val="autoZero"/>
        <c:auto val="1"/>
        <c:lblAlgn val="ctr"/>
        <c:lblOffset val="100"/>
        <c:noMultiLvlLbl val="0"/>
      </c:catAx>
      <c:valAx>
        <c:axId val="88513856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433822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57150</xdr:colOff>
      <xdr:row>28</xdr:row>
      <xdr:rowOff>147637</xdr:rowOff>
    </xdr:from>
    <xdr:to>
      <xdr:col>18</xdr:col>
      <xdr:colOff>361950</xdr:colOff>
      <xdr:row>43</xdr:row>
      <xdr:rowOff>33337</xdr:rowOff>
    </xdr:to>
    <xdr:graphicFrame macro="">
      <xdr:nvGraphicFramePr>
        <xdr:cNvPr id="2" name="Grafiek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Grijswaarden">
      <a:dk1>
        <a:sysClr val="windowText" lastClr="000000"/>
      </a:dk1>
      <a:lt1>
        <a:sysClr val="window" lastClr="FFFFFF"/>
      </a:lt1>
      <a:dk2>
        <a:srgbClr val="000000"/>
      </a:dk2>
      <a:lt2>
        <a:srgbClr val="F8F8F8"/>
      </a:lt2>
      <a:accent1>
        <a:srgbClr val="DDDDDD"/>
      </a:accent1>
      <a:accent2>
        <a:srgbClr val="B2B2B2"/>
      </a:accent2>
      <a:accent3>
        <a:srgbClr val="969696"/>
      </a:accent3>
      <a:accent4>
        <a:srgbClr val="808080"/>
      </a:accent4>
      <a:accent5>
        <a:srgbClr val="5F5F5F"/>
      </a:accent5>
      <a:accent6>
        <a:srgbClr val="4D4D4D"/>
      </a:accent6>
      <a:hlink>
        <a:srgbClr val="5F5F5F"/>
      </a:hlink>
      <a:folHlink>
        <a:srgbClr val="919191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B63"/>
  <sheetViews>
    <sheetView workbookViewId="0">
      <selection activeCell="A2" sqref="A2"/>
    </sheetView>
  </sheetViews>
  <sheetFormatPr defaultRowHeight="15" x14ac:dyDescent="0.25"/>
  <sheetData>
    <row r="1" spans="1:54" x14ac:dyDescent="0.25"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20</v>
      </c>
      <c r="X1" t="s">
        <v>21</v>
      </c>
      <c r="Y1" t="s">
        <v>22</v>
      </c>
      <c r="Z1" t="s">
        <v>23</v>
      </c>
      <c r="AA1" t="s">
        <v>24</v>
      </c>
      <c r="AB1" t="s">
        <v>25</v>
      </c>
      <c r="AC1" t="s">
        <v>26</v>
      </c>
      <c r="AD1" t="s">
        <v>27</v>
      </c>
      <c r="AE1" t="s">
        <v>28</v>
      </c>
      <c r="AF1" t="s">
        <v>29</v>
      </c>
      <c r="AG1" t="s">
        <v>30</v>
      </c>
      <c r="AH1" t="s">
        <v>31</v>
      </c>
      <c r="AI1" t="s">
        <v>32</v>
      </c>
      <c r="AJ1" t="s">
        <v>33</v>
      </c>
      <c r="AK1" t="s">
        <v>34</v>
      </c>
      <c r="AL1" t="s">
        <v>35</v>
      </c>
      <c r="AM1" t="s">
        <v>36</v>
      </c>
      <c r="AN1" t="s">
        <v>37</v>
      </c>
      <c r="AO1" t="s">
        <v>38</v>
      </c>
      <c r="AP1" t="s">
        <v>39</v>
      </c>
      <c r="AQ1" t="s">
        <v>40</v>
      </c>
      <c r="AR1" t="s">
        <v>41</v>
      </c>
      <c r="AS1" t="s">
        <v>42</v>
      </c>
      <c r="AT1" t="s">
        <v>43</v>
      </c>
      <c r="AU1" t="s">
        <v>44</v>
      </c>
      <c r="AV1" t="s">
        <v>45</v>
      </c>
      <c r="AW1" t="s">
        <v>46</v>
      </c>
      <c r="AX1" t="s">
        <v>47</v>
      </c>
      <c r="AY1" t="s">
        <v>48</v>
      </c>
      <c r="AZ1" t="s">
        <v>49</v>
      </c>
      <c r="BA1" t="s">
        <v>50</v>
      </c>
      <c r="BB1" t="s">
        <v>51</v>
      </c>
    </row>
    <row r="2" spans="1:54" x14ac:dyDescent="0.25">
      <c r="A2" t="s">
        <v>52</v>
      </c>
      <c r="B2" s="2">
        <f>AVERAGE(C2:BB2)</f>
        <v>13266.54909923967</v>
      </c>
      <c r="C2" s="2">
        <v>9640.4902034290644</v>
      </c>
      <c r="D2" s="2">
        <v>9640.4902034290644</v>
      </c>
      <c r="E2" s="2">
        <v>9640.4902034290644</v>
      </c>
      <c r="F2" s="2">
        <v>9640.4902034290644</v>
      </c>
      <c r="G2" s="2">
        <v>11148.49984418892</v>
      </c>
      <c r="H2" s="2">
        <v>11148.49984418892</v>
      </c>
      <c r="I2" s="2">
        <v>11148.49984418892</v>
      </c>
      <c r="J2" s="2">
        <v>11148.49984418892</v>
      </c>
      <c r="K2" s="2">
        <v>14649.236510238579</v>
      </c>
      <c r="L2" s="2">
        <v>14649.236510238579</v>
      </c>
      <c r="M2" s="2">
        <v>14649.236510238579</v>
      </c>
      <c r="N2" s="2">
        <v>14649.236510238579</v>
      </c>
      <c r="O2" s="2">
        <v>15133.953894768534</v>
      </c>
      <c r="P2" s="2">
        <v>15133.953894768534</v>
      </c>
      <c r="Q2" s="2">
        <v>15133.953894768534</v>
      </c>
      <c r="R2" s="2">
        <v>15133.953894768534</v>
      </c>
      <c r="S2" s="2">
        <v>15133.953894768534</v>
      </c>
      <c r="T2" s="2">
        <v>8886.4853830491393</v>
      </c>
      <c r="U2" s="2">
        <v>8886.4853830491393</v>
      </c>
      <c r="V2" s="2">
        <v>8886.4853830491393</v>
      </c>
      <c r="W2" s="2">
        <v>8886.4853830491393</v>
      </c>
      <c r="X2" s="2">
        <v>15080.096407598536</v>
      </c>
      <c r="Y2" s="2">
        <v>15080.096407598536</v>
      </c>
      <c r="Z2" s="2">
        <v>15080.096407598536</v>
      </c>
      <c r="AA2" s="2">
        <v>15080.096407598536</v>
      </c>
      <c r="AB2" s="2">
        <v>15080.096407598536</v>
      </c>
      <c r="AC2" s="2">
        <v>8347.9105113491914</v>
      </c>
      <c r="AD2" s="2">
        <v>8347.9105113491914</v>
      </c>
      <c r="AE2" s="2">
        <v>8347.9105113491914</v>
      </c>
      <c r="AF2" s="2">
        <v>8347.9105113491914</v>
      </c>
      <c r="AG2" s="2">
        <v>8347.9105113491914</v>
      </c>
      <c r="AH2" s="2">
        <v>8132.4805626692123</v>
      </c>
      <c r="AI2" s="2">
        <v>8132.4805626692123</v>
      </c>
      <c r="AJ2" s="2">
        <v>8132.4805626692123</v>
      </c>
      <c r="AK2" s="2">
        <v>8132.4805626692123</v>
      </c>
      <c r="AL2" s="2">
        <v>15564.813792128491</v>
      </c>
      <c r="AM2" s="2">
        <v>15564.813792128491</v>
      </c>
      <c r="AN2" s="2">
        <v>15564.813792128491</v>
      </c>
      <c r="AO2" s="2">
        <v>15564.813792128491</v>
      </c>
      <c r="AP2" s="2">
        <v>15564.813792128491</v>
      </c>
      <c r="AQ2" s="2">
        <v>14326.091587218611</v>
      </c>
      <c r="AR2" s="2">
        <v>14326.091587218611</v>
      </c>
      <c r="AS2" s="2">
        <v>14326.091587218611</v>
      </c>
      <c r="AT2" s="2">
        <v>14326.091587218611</v>
      </c>
      <c r="AU2" s="2">
        <v>19173.265432518143</v>
      </c>
      <c r="AV2" s="2">
        <v>19173.265432518143</v>
      </c>
      <c r="AW2" s="2">
        <v>19173.265432518143</v>
      </c>
      <c r="AX2" s="2">
        <v>19173.265432518143</v>
      </c>
      <c r="AY2" s="2">
        <v>18850.120509498171</v>
      </c>
      <c r="AZ2" s="2">
        <v>18850.120509498171</v>
      </c>
      <c r="BA2" s="2">
        <v>18850.120509498171</v>
      </c>
      <c r="BB2" s="2">
        <v>18850.120509498171</v>
      </c>
    </row>
    <row r="3" spans="1:54" x14ac:dyDescent="0.25">
      <c r="A3" t="s">
        <v>53</v>
      </c>
      <c r="B3" s="2">
        <f t="shared" ref="B3:B46" si="0">AVERAGE(C3:BB3)</f>
        <v>13266.54909923967</v>
      </c>
      <c r="C3" s="2">
        <v>9640.4902034290644</v>
      </c>
      <c r="D3" s="2">
        <v>9640.4902034290644</v>
      </c>
      <c r="E3" s="2">
        <v>9640.4902034290644</v>
      </c>
      <c r="F3" s="2">
        <v>9640.4902034290644</v>
      </c>
      <c r="G3" s="2">
        <v>11148.49984418892</v>
      </c>
      <c r="H3" s="2">
        <v>11148.49984418892</v>
      </c>
      <c r="I3" s="2">
        <v>11148.49984418892</v>
      </c>
      <c r="J3" s="2">
        <v>11148.49984418892</v>
      </c>
      <c r="K3" s="2">
        <v>14649.236510238579</v>
      </c>
      <c r="L3" s="2">
        <v>14649.236510238579</v>
      </c>
      <c r="M3" s="2">
        <v>14649.236510238579</v>
      </c>
      <c r="N3" s="2">
        <v>14649.236510238579</v>
      </c>
      <c r="O3" s="2">
        <v>15133.953894768534</v>
      </c>
      <c r="P3" s="2">
        <v>15133.953894768534</v>
      </c>
      <c r="Q3" s="2">
        <v>15133.953894768534</v>
      </c>
      <c r="R3" s="2">
        <v>15133.953894768534</v>
      </c>
      <c r="S3" s="2">
        <v>15133.953894768534</v>
      </c>
      <c r="T3" s="2">
        <v>8886.4853830491393</v>
      </c>
      <c r="U3" s="2">
        <v>8886.4853830491393</v>
      </c>
      <c r="V3" s="2">
        <v>8886.4853830491393</v>
      </c>
      <c r="W3" s="2">
        <v>8886.4853830491393</v>
      </c>
      <c r="X3" s="2">
        <v>15080.096407598536</v>
      </c>
      <c r="Y3" s="2">
        <v>15080.096407598536</v>
      </c>
      <c r="Z3" s="2">
        <v>15080.096407598536</v>
      </c>
      <c r="AA3" s="2">
        <v>15080.096407598536</v>
      </c>
      <c r="AB3" s="2">
        <v>15080.096407598536</v>
      </c>
      <c r="AC3" s="2">
        <v>8347.9105113491914</v>
      </c>
      <c r="AD3" s="2">
        <v>8347.9105113491914</v>
      </c>
      <c r="AE3" s="2">
        <v>8347.9105113491914</v>
      </c>
      <c r="AF3" s="2">
        <v>8347.9105113491914</v>
      </c>
      <c r="AG3" s="2">
        <v>8347.9105113491914</v>
      </c>
      <c r="AH3" s="2">
        <v>8132.4805626692123</v>
      </c>
      <c r="AI3" s="2">
        <v>8132.4805626692123</v>
      </c>
      <c r="AJ3" s="2">
        <v>8132.4805626692123</v>
      </c>
      <c r="AK3" s="2">
        <v>8132.4805626692123</v>
      </c>
      <c r="AL3" s="2">
        <v>15564.813792128491</v>
      </c>
      <c r="AM3" s="2">
        <v>15564.813792128491</v>
      </c>
      <c r="AN3" s="2">
        <v>15564.813792128491</v>
      </c>
      <c r="AO3" s="2">
        <v>15564.813792128491</v>
      </c>
      <c r="AP3" s="2">
        <v>15564.813792128491</v>
      </c>
      <c r="AQ3" s="2">
        <v>14326.091587218611</v>
      </c>
      <c r="AR3" s="2">
        <v>14326.091587218611</v>
      </c>
      <c r="AS3" s="2">
        <v>14326.091587218611</v>
      </c>
      <c r="AT3" s="2">
        <v>14326.091587218611</v>
      </c>
      <c r="AU3" s="2">
        <v>19173.265432518143</v>
      </c>
      <c r="AV3" s="2">
        <v>19173.265432518143</v>
      </c>
      <c r="AW3" s="2">
        <v>19173.265432518143</v>
      </c>
      <c r="AX3" s="2">
        <v>19173.265432518143</v>
      </c>
      <c r="AY3" s="2">
        <v>18850.120509498171</v>
      </c>
      <c r="AZ3" s="2">
        <v>18850.120509498171</v>
      </c>
      <c r="BA3" s="2">
        <v>18850.120509498171</v>
      </c>
      <c r="BB3" s="2">
        <v>18850.120509498171</v>
      </c>
    </row>
    <row r="4" spans="1:54" x14ac:dyDescent="0.25">
      <c r="A4" t="s">
        <v>54</v>
      </c>
      <c r="B4" s="2">
        <f t="shared" si="0"/>
        <v>13266.54909923967</v>
      </c>
      <c r="C4" s="2">
        <v>9640.4902034290644</v>
      </c>
      <c r="D4" s="2">
        <v>9640.4902034290644</v>
      </c>
      <c r="E4" s="2">
        <v>9640.4902034290644</v>
      </c>
      <c r="F4" s="2">
        <v>9640.4902034290644</v>
      </c>
      <c r="G4" s="2">
        <v>11148.49984418892</v>
      </c>
      <c r="H4" s="2">
        <v>11148.49984418892</v>
      </c>
      <c r="I4" s="2">
        <v>11148.49984418892</v>
      </c>
      <c r="J4" s="2">
        <v>11148.49984418892</v>
      </c>
      <c r="K4" s="2">
        <v>14649.236510238579</v>
      </c>
      <c r="L4" s="2">
        <v>14649.236510238579</v>
      </c>
      <c r="M4" s="2">
        <v>14649.236510238579</v>
      </c>
      <c r="N4" s="2">
        <v>14649.236510238579</v>
      </c>
      <c r="O4" s="2">
        <v>15133.953894768534</v>
      </c>
      <c r="P4" s="2">
        <v>15133.953894768534</v>
      </c>
      <c r="Q4" s="2">
        <v>15133.953894768534</v>
      </c>
      <c r="R4" s="2">
        <v>15133.953894768534</v>
      </c>
      <c r="S4" s="2">
        <v>15133.953894768534</v>
      </c>
      <c r="T4" s="2">
        <v>8886.4853830491393</v>
      </c>
      <c r="U4" s="2">
        <v>8886.4853830491393</v>
      </c>
      <c r="V4" s="2">
        <v>8886.4853830491393</v>
      </c>
      <c r="W4" s="2">
        <v>8886.4853830491393</v>
      </c>
      <c r="X4" s="2">
        <v>15080.096407598536</v>
      </c>
      <c r="Y4" s="2">
        <v>15080.096407598536</v>
      </c>
      <c r="Z4" s="2">
        <v>15080.096407598536</v>
      </c>
      <c r="AA4" s="2">
        <v>15080.096407598536</v>
      </c>
      <c r="AB4" s="2">
        <v>15080.096407598536</v>
      </c>
      <c r="AC4" s="2">
        <v>8347.9105113491914</v>
      </c>
      <c r="AD4" s="2">
        <v>8347.9105113491914</v>
      </c>
      <c r="AE4" s="2">
        <v>8347.9105113491914</v>
      </c>
      <c r="AF4" s="2">
        <v>8347.9105113491914</v>
      </c>
      <c r="AG4" s="2">
        <v>8347.9105113491914</v>
      </c>
      <c r="AH4" s="2">
        <v>8132.4805626692123</v>
      </c>
      <c r="AI4" s="2">
        <v>8132.4805626692123</v>
      </c>
      <c r="AJ4" s="2">
        <v>8132.4805626692123</v>
      </c>
      <c r="AK4" s="2">
        <v>8132.4805626692123</v>
      </c>
      <c r="AL4" s="2">
        <v>15564.813792128491</v>
      </c>
      <c r="AM4" s="2">
        <v>15564.813792128491</v>
      </c>
      <c r="AN4" s="2">
        <v>15564.813792128491</v>
      </c>
      <c r="AO4" s="2">
        <v>15564.813792128491</v>
      </c>
      <c r="AP4" s="2">
        <v>15564.813792128491</v>
      </c>
      <c r="AQ4" s="2">
        <v>14326.091587218611</v>
      </c>
      <c r="AR4" s="2">
        <v>14326.091587218611</v>
      </c>
      <c r="AS4" s="2">
        <v>14326.091587218611</v>
      </c>
      <c r="AT4" s="2">
        <v>14326.091587218611</v>
      </c>
      <c r="AU4" s="2">
        <v>19173.265432518143</v>
      </c>
      <c r="AV4" s="2">
        <v>19173.265432518143</v>
      </c>
      <c r="AW4" s="2">
        <v>19173.265432518143</v>
      </c>
      <c r="AX4" s="2">
        <v>19173.265432518143</v>
      </c>
      <c r="AY4" s="2">
        <v>18850.120509498171</v>
      </c>
      <c r="AZ4" s="2">
        <v>18850.120509498171</v>
      </c>
      <c r="BA4" s="2">
        <v>18850.120509498171</v>
      </c>
      <c r="BB4" s="2">
        <v>18850.120509498171</v>
      </c>
    </row>
    <row r="5" spans="1:54" x14ac:dyDescent="0.25">
      <c r="A5" t="s">
        <v>55</v>
      </c>
      <c r="B5" s="2">
        <f t="shared" si="0"/>
        <v>13266.54909923967</v>
      </c>
      <c r="C5" s="2">
        <v>9640.4902034290644</v>
      </c>
      <c r="D5" s="2">
        <v>9640.4902034290644</v>
      </c>
      <c r="E5" s="2">
        <v>9640.4902034290644</v>
      </c>
      <c r="F5" s="2">
        <v>9640.4902034290644</v>
      </c>
      <c r="G5" s="2">
        <v>11148.49984418892</v>
      </c>
      <c r="H5" s="2">
        <v>11148.49984418892</v>
      </c>
      <c r="I5" s="2">
        <v>11148.49984418892</v>
      </c>
      <c r="J5" s="2">
        <v>11148.49984418892</v>
      </c>
      <c r="K5" s="2">
        <v>14649.236510238579</v>
      </c>
      <c r="L5" s="2">
        <v>14649.236510238579</v>
      </c>
      <c r="M5" s="2">
        <v>14649.236510238579</v>
      </c>
      <c r="N5" s="2">
        <v>14649.236510238579</v>
      </c>
      <c r="O5" s="2">
        <v>15133.953894768534</v>
      </c>
      <c r="P5" s="2">
        <v>15133.953894768534</v>
      </c>
      <c r="Q5" s="2">
        <v>15133.953894768534</v>
      </c>
      <c r="R5" s="2">
        <v>15133.953894768534</v>
      </c>
      <c r="S5" s="2">
        <v>15133.953894768534</v>
      </c>
      <c r="T5" s="2">
        <v>8886.4853830491393</v>
      </c>
      <c r="U5" s="2">
        <v>8886.4853830491393</v>
      </c>
      <c r="V5" s="2">
        <v>8886.4853830491393</v>
      </c>
      <c r="W5" s="2">
        <v>8886.4853830491393</v>
      </c>
      <c r="X5" s="2">
        <v>15080.096407598536</v>
      </c>
      <c r="Y5" s="2">
        <v>15080.096407598536</v>
      </c>
      <c r="Z5" s="2">
        <v>15080.096407598536</v>
      </c>
      <c r="AA5" s="2">
        <v>15080.096407598536</v>
      </c>
      <c r="AB5" s="2">
        <v>15080.096407598536</v>
      </c>
      <c r="AC5" s="2">
        <v>8347.9105113491914</v>
      </c>
      <c r="AD5" s="2">
        <v>8347.9105113491914</v>
      </c>
      <c r="AE5" s="2">
        <v>8347.9105113491914</v>
      </c>
      <c r="AF5" s="2">
        <v>8347.9105113491914</v>
      </c>
      <c r="AG5" s="2">
        <v>8347.9105113491914</v>
      </c>
      <c r="AH5" s="2">
        <v>8132.4805626692123</v>
      </c>
      <c r="AI5" s="2">
        <v>8132.4805626692123</v>
      </c>
      <c r="AJ5" s="2">
        <v>8132.4805626692123</v>
      </c>
      <c r="AK5" s="2">
        <v>8132.4805626692123</v>
      </c>
      <c r="AL5" s="2">
        <v>15564.813792128491</v>
      </c>
      <c r="AM5" s="2">
        <v>15564.813792128491</v>
      </c>
      <c r="AN5" s="2">
        <v>15564.813792128491</v>
      </c>
      <c r="AO5" s="2">
        <v>15564.813792128491</v>
      </c>
      <c r="AP5" s="2">
        <v>15564.813792128491</v>
      </c>
      <c r="AQ5" s="2">
        <v>14326.091587218611</v>
      </c>
      <c r="AR5" s="2">
        <v>14326.091587218611</v>
      </c>
      <c r="AS5" s="2">
        <v>14326.091587218611</v>
      </c>
      <c r="AT5" s="2">
        <v>14326.091587218611</v>
      </c>
      <c r="AU5" s="2">
        <v>19173.265432518143</v>
      </c>
      <c r="AV5" s="2">
        <v>19173.265432518143</v>
      </c>
      <c r="AW5" s="2">
        <v>19173.265432518143</v>
      </c>
      <c r="AX5" s="2">
        <v>19173.265432518143</v>
      </c>
      <c r="AY5" s="2">
        <v>18850.120509498171</v>
      </c>
      <c r="AZ5" s="2">
        <v>18850.120509498171</v>
      </c>
      <c r="BA5" s="2">
        <v>18850.120509498171</v>
      </c>
      <c r="BB5" s="2">
        <v>18850.120509498171</v>
      </c>
    </row>
    <row r="6" spans="1:54" x14ac:dyDescent="0.25">
      <c r="A6" t="s">
        <v>56</v>
      </c>
      <c r="B6" s="2">
        <f t="shared" si="0"/>
        <v>13266.54909923967</v>
      </c>
      <c r="C6" s="2">
        <v>9640.4902034290644</v>
      </c>
      <c r="D6" s="2">
        <v>9640.4902034290644</v>
      </c>
      <c r="E6" s="2">
        <v>9640.4902034290644</v>
      </c>
      <c r="F6" s="2">
        <v>9640.4902034290644</v>
      </c>
      <c r="G6" s="2">
        <v>11148.49984418892</v>
      </c>
      <c r="H6" s="2">
        <v>11148.49984418892</v>
      </c>
      <c r="I6" s="2">
        <v>11148.49984418892</v>
      </c>
      <c r="J6" s="2">
        <v>11148.49984418892</v>
      </c>
      <c r="K6" s="2">
        <v>14649.236510238579</v>
      </c>
      <c r="L6" s="2">
        <v>14649.236510238579</v>
      </c>
      <c r="M6" s="2">
        <v>14649.236510238579</v>
      </c>
      <c r="N6" s="2">
        <v>14649.236510238579</v>
      </c>
      <c r="O6" s="2">
        <v>15133.953894768534</v>
      </c>
      <c r="P6" s="2">
        <v>15133.953894768534</v>
      </c>
      <c r="Q6" s="2">
        <v>15133.953894768534</v>
      </c>
      <c r="R6" s="2">
        <v>15133.953894768534</v>
      </c>
      <c r="S6" s="2">
        <v>15133.953894768534</v>
      </c>
      <c r="T6" s="2">
        <v>8886.4853830491393</v>
      </c>
      <c r="U6" s="2">
        <v>8886.4853830491393</v>
      </c>
      <c r="V6" s="2">
        <v>8886.4853830491393</v>
      </c>
      <c r="W6" s="2">
        <v>8886.4853830491393</v>
      </c>
      <c r="X6" s="2">
        <v>15080.096407598536</v>
      </c>
      <c r="Y6" s="2">
        <v>15080.096407598536</v>
      </c>
      <c r="Z6" s="2">
        <v>15080.096407598536</v>
      </c>
      <c r="AA6" s="2">
        <v>15080.096407598536</v>
      </c>
      <c r="AB6" s="2">
        <v>15080.096407598536</v>
      </c>
      <c r="AC6" s="2">
        <v>8347.9105113491914</v>
      </c>
      <c r="AD6" s="2">
        <v>8347.9105113491914</v>
      </c>
      <c r="AE6" s="2">
        <v>8347.9105113491914</v>
      </c>
      <c r="AF6" s="2">
        <v>8347.9105113491914</v>
      </c>
      <c r="AG6" s="2">
        <v>8347.9105113491914</v>
      </c>
      <c r="AH6" s="2">
        <v>8132.4805626692123</v>
      </c>
      <c r="AI6" s="2">
        <v>8132.4805626692123</v>
      </c>
      <c r="AJ6" s="2">
        <v>8132.4805626692123</v>
      </c>
      <c r="AK6" s="2">
        <v>8132.4805626692123</v>
      </c>
      <c r="AL6" s="2">
        <v>15564.813792128491</v>
      </c>
      <c r="AM6" s="2">
        <v>15564.813792128491</v>
      </c>
      <c r="AN6" s="2">
        <v>15564.813792128491</v>
      </c>
      <c r="AO6" s="2">
        <v>15564.813792128491</v>
      </c>
      <c r="AP6" s="2">
        <v>15564.813792128491</v>
      </c>
      <c r="AQ6" s="2">
        <v>14326.091587218611</v>
      </c>
      <c r="AR6" s="2">
        <v>14326.091587218611</v>
      </c>
      <c r="AS6" s="2">
        <v>14326.091587218611</v>
      </c>
      <c r="AT6" s="2">
        <v>14326.091587218611</v>
      </c>
      <c r="AU6" s="2">
        <v>19173.265432518143</v>
      </c>
      <c r="AV6" s="2">
        <v>19173.265432518143</v>
      </c>
      <c r="AW6" s="2">
        <v>19173.265432518143</v>
      </c>
      <c r="AX6" s="2">
        <v>19173.265432518143</v>
      </c>
      <c r="AY6" s="2">
        <v>18850.120509498171</v>
      </c>
      <c r="AZ6" s="2">
        <v>18850.120509498171</v>
      </c>
      <c r="BA6" s="2">
        <v>18850.120509498171</v>
      </c>
      <c r="BB6" s="2">
        <v>18850.120509498171</v>
      </c>
    </row>
    <row r="7" spans="1:54" x14ac:dyDescent="0.25">
      <c r="A7" t="s">
        <v>57</v>
      </c>
      <c r="B7" s="2">
        <f t="shared" si="0"/>
        <v>2321.6460923669433</v>
      </c>
      <c r="C7" s="2">
        <v>1687.085785600086</v>
      </c>
      <c r="D7" s="2">
        <v>1687.085785600086</v>
      </c>
      <c r="E7" s="2">
        <v>1687.085785600086</v>
      </c>
      <c r="F7" s="2">
        <v>1687.085785600086</v>
      </c>
      <c r="G7" s="2">
        <v>1950.9874727330609</v>
      </c>
      <c r="H7" s="2">
        <v>1950.9874727330609</v>
      </c>
      <c r="I7" s="2">
        <v>1950.9874727330609</v>
      </c>
      <c r="J7" s="2">
        <v>1950.9874727330609</v>
      </c>
      <c r="K7" s="2">
        <v>2563.6163892917511</v>
      </c>
      <c r="L7" s="2">
        <v>2563.6163892917511</v>
      </c>
      <c r="M7" s="2">
        <v>2563.6163892917511</v>
      </c>
      <c r="N7" s="2">
        <v>2563.6163892917511</v>
      </c>
      <c r="O7" s="2">
        <v>2648.441931584493</v>
      </c>
      <c r="P7" s="2">
        <v>2648.441931584493</v>
      </c>
      <c r="Q7" s="2">
        <v>2648.441931584493</v>
      </c>
      <c r="R7" s="2">
        <v>2648.441931584493</v>
      </c>
      <c r="S7" s="2">
        <v>2648.441931584493</v>
      </c>
      <c r="T7" s="2">
        <v>1555.1349420335991</v>
      </c>
      <c r="U7" s="2">
        <v>1555.1349420335991</v>
      </c>
      <c r="V7" s="2">
        <v>1555.1349420335991</v>
      </c>
      <c r="W7" s="2">
        <v>1555.1349420335991</v>
      </c>
      <c r="X7" s="2">
        <v>2639.0168713297435</v>
      </c>
      <c r="Y7" s="2">
        <v>2639.0168713297435</v>
      </c>
      <c r="Z7" s="2">
        <v>2639.0168713297435</v>
      </c>
      <c r="AA7" s="2">
        <v>2639.0168713297435</v>
      </c>
      <c r="AB7" s="2">
        <v>2639.0168713297435</v>
      </c>
      <c r="AC7" s="2">
        <v>1460.8843394861083</v>
      </c>
      <c r="AD7" s="2">
        <v>1460.8843394861083</v>
      </c>
      <c r="AE7" s="2">
        <v>1460.8843394861083</v>
      </c>
      <c r="AF7" s="2">
        <v>1460.8843394861083</v>
      </c>
      <c r="AG7" s="2">
        <v>1460.8843394861083</v>
      </c>
      <c r="AH7" s="2">
        <v>1423.1840984671119</v>
      </c>
      <c r="AI7" s="2">
        <v>1423.1840984671119</v>
      </c>
      <c r="AJ7" s="2">
        <v>1423.1840984671119</v>
      </c>
      <c r="AK7" s="2">
        <v>1423.1840984671119</v>
      </c>
      <c r="AL7" s="2">
        <v>2723.8424136224858</v>
      </c>
      <c r="AM7" s="2">
        <v>2723.8424136224858</v>
      </c>
      <c r="AN7" s="2">
        <v>2723.8424136224858</v>
      </c>
      <c r="AO7" s="2">
        <v>2723.8424136224858</v>
      </c>
      <c r="AP7" s="2">
        <v>2723.8424136224858</v>
      </c>
      <c r="AQ7" s="2">
        <v>2507.0660277632564</v>
      </c>
      <c r="AR7" s="2">
        <v>2507.0660277632564</v>
      </c>
      <c r="AS7" s="2">
        <v>2507.0660277632564</v>
      </c>
      <c r="AT7" s="2">
        <v>2507.0660277632564</v>
      </c>
      <c r="AU7" s="2">
        <v>3355.3214506906743</v>
      </c>
      <c r="AV7" s="2">
        <v>3355.3214506906743</v>
      </c>
      <c r="AW7" s="2">
        <v>3355.3214506906743</v>
      </c>
      <c r="AX7" s="2">
        <v>3355.3214506906743</v>
      </c>
      <c r="AY7" s="2">
        <v>3298.7710891621796</v>
      </c>
      <c r="AZ7" s="2">
        <v>3298.7710891621796</v>
      </c>
      <c r="BA7" s="2">
        <v>3298.7710891621796</v>
      </c>
      <c r="BB7" s="2">
        <v>3298.7710891621796</v>
      </c>
    </row>
    <row r="8" spans="1:54" x14ac:dyDescent="0.25">
      <c r="A8" t="s">
        <v>58</v>
      </c>
      <c r="B8" s="2">
        <f t="shared" si="0"/>
        <v>22884.79719618845</v>
      </c>
      <c r="C8" s="2">
        <v>16629.845600915138</v>
      </c>
      <c r="D8" s="2">
        <v>16629.845600915138</v>
      </c>
      <c r="E8" s="2">
        <v>16629.845600915138</v>
      </c>
      <c r="F8" s="2">
        <v>16629.845600915138</v>
      </c>
      <c r="G8" s="2">
        <v>19231.162231225888</v>
      </c>
      <c r="H8" s="2">
        <v>19231.162231225888</v>
      </c>
      <c r="I8" s="2">
        <v>19231.162231225888</v>
      </c>
      <c r="J8" s="2">
        <v>19231.162231225888</v>
      </c>
      <c r="K8" s="2">
        <v>25269.932980161549</v>
      </c>
      <c r="L8" s="2">
        <v>25269.932980161549</v>
      </c>
      <c r="M8" s="2">
        <v>25269.932980161549</v>
      </c>
      <c r="N8" s="2">
        <v>25269.932980161549</v>
      </c>
      <c r="O8" s="2">
        <v>26106.070468475722</v>
      </c>
      <c r="P8" s="2">
        <v>26106.070468475722</v>
      </c>
      <c r="Q8" s="2">
        <v>26106.070468475722</v>
      </c>
      <c r="R8" s="2">
        <v>26106.070468475722</v>
      </c>
      <c r="S8" s="2">
        <v>26106.070468475722</v>
      </c>
      <c r="T8" s="2">
        <v>15329.187285759765</v>
      </c>
      <c r="U8" s="2">
        <v>15329.187285759765</v>
      </c>
      <c r="V8" s="2">
        <v>15329.187285759765</v>
      </c>
      <c r="W8" s="2">
        <v>15329.187285759765</v>
      </c>
      <c r="X8" s="2">
        <v>26013.166303107479</v>
      </c>
      <c r="Y8" s="2">
        <v>26013.166303107479</v>
      </c>
      <c r="Z8" s="2">
        <v>26013.166303107479</v>
      </c>
      <c r="AA8" s="2">
        <v>26013.166303107479</v>
      </c>
      <c r="AB8" s="2">
        <v>26013.166303107479</v>
      </c>
      <c r="AC8" s="2">
        <v>14400.145632077356</v>
      </c>
      <c r="AD8" s="2">
        <v>14400.145632077356</v>
      </c>
      <c r="AE8" s="2">
        <v>14400.145632077356</v>
      </c>
      <c r="AF8" s="2">
        <v>14400.145632077356</v>
      </c>
      <c r="AG8" s="2">
        <v>14400.145632077356</v>
      </c>
      <c r="AH8" s="2">
        <v>14028.528970604391</v>
      </c>
      <c r="AI8" s="2">
        <v>14028.528970604391</v>
      </c>
      <c r="AJ8" s="2">
        <v>14028.528970604391</v>
      </c>
      <c r="AK8" s="2">
        <v>14028.528970604391</v>
      </c>
      <c r="AL8" s="2">
        <v>26849.303791421651</v>
      </c>
      <c r="AM8" s="2">
        <v>26849.303791421651</v>
      </c>
      <c r="AN8" s="2">
        <v>26849.303791421651</v>
      </c>
      <c r="AO8" s="2">
        <v>26849.303791421651</v>
      </c>
      <c r="AP8" s="2">
        <v>26849.303791421651</v>
      </c>
      <c r="AQ8" s="2">
        <v>24712.507987952104</v>
      </c>
      <c r="AR8" s="2">
        <v>24712.507987952104</v>
      </c>
      <c r="AS8" s="2">
        <v>24712.507987952104</v>
      </c>
      <c r="AT8" s="2">
        <v>24712.507987952104</v>
      </c>
      <c r="AU8" s="2">
        <v>33073.882871093796</v>
      </c>
      <c r="AV8" s="2">
        <v>33073.882871093796</v>
      </c>
      <c r="AW8" s="2">
        <v>33073.882871093796</v>
      </c>
      <c r="AX8" s="2">
        <v>33073.882871093796</v>
      </c>
      <c r="AY8" s="2">
        <v>32516.457878884346</v>
      </c>
      <c r="AZ8" s="2">
        <v>32516.457878884346</v>
      </c>
      <c r="BA8" s="2">
        <v>32516.457878884346</v>
      </c>
      <c r="BB8" s="2">
        <v>32516.457878884346</v>
      </c>
    </row>
    <row r="9" spans="1:54" x14ac:dyDescent="0.25">
      <c r="A9" t="s">
        <v>59</v>
      </c>
      <c r="B9" s="2">
        <f t="shared" si="0"/>
        <v>2321.6460923669433</v>
      </c>
      <c r="C9" s="2">
        <v>1687.085785600086</v>
      </c>
      <c r="D9" s="2">
        <v>1687.085785600086</v>
      </c>
      <c r="E9" s="2">
        <v>1687.085785600086</v>
      </c>
      <c r="F9" s="2">
        <v>1687.085785600086</v>
      </c>
      <c r="G9" s="2">
        <v>1950.9874727330609</v>
      </c>
      <c r="H9" s="2">
        <v>1950.9874727330609</v>
      </c>
      <c r="I9" s="2">
        <v>1950.9874727330609</v>
      </c>
      <c r="J9" s="2">
        <v>1950.9874727330609</v>
      </c>
      <c r="K9" s="2">
        <v>2563.6163892917511</v>
      </c>
      <c r="L9" s="2">
        <v>2563.6163892917511</v>
      </c>
      <c r="M9" s="2">
        <v>2563.6163892917511</v>
      </c>
      <c r="N9" s="2">
        <v>2563.6163892917511</v>
      </c>
      <c r="O9" s="2">
        <v>2648.441931584493</v>
      </c>
      <c r="P9" s="2">
        <v>2648.441931584493</v>
      </c>
      <c r="Q9" s="2">
        <v>2648.441931584493</v>
      </c>
      <c r="R9" s="2">
        <v>2648.441931584493</v>
      </c>
      <c r="S9" s="2">
        <v>2648.441931584493</v>
      </c>
      <c r="T9" s="2">
        <v>1555.1349420335991</v>
      </c>
      <c r="U9" s="2">
        <v>1555.1349420335991</v>
      </c>
      <c r="V9" s="2">
        <v>1555.1349420335991</v>
      </c>
      <c r="W9" s="2">
        <v>1555.1349420335991</v>
      </c>
      <c r="X9" s="2">
        <v>2639.0168713297435</v>
      </c>
      <c r="Y9" s="2">
        <v>2639.0168713297435</v>
      </c>
      <c r="Z9" s="2">
        <v>2639.0168713297435</v>
      </c>
      <c r="AA9" s="2">
        <v>2639.0168713297435</v>
      </c>
      <c r="AB9" s="2">
        <v>2639.0168713297435</v>
      </c>
      <c r="AC9" s="2">
        <v>1460.8843394861083</v>
      </c>
      <c r="AD9" s="2">
        <v>1460.8843394861083</v>
      </c>
      <c r="AE9" s="2">
        <v>1460.8843394861083</v>
      </c>
      <c r="AF9" s="2">
        <v>1460.8843394861083</v>
      </c>
      <c r="AG9" s="2">
        <v>1460.8843394861083</v>
      </c>
      <c r="AH9" s="2">
        <v>1423.1840984671119</v>
      </c>
      <c r="AI9" s="2">
        <v>1423.1840984671119</v>
      </c>
      <c r="AJ9" s="2">
        <v>1423.1840984671119</v>
      </c>
      <c r="AK9" s="2">
        <v>1423.1840984671119</v>
      </c>
      <c r="AL9" s="2">
        <v>2723.8424136224858</v>
      </c>
      <c r="AM9" s="2">
        <v>2723.8424136224858</v>
      </c>
      <c r="AN9" s="2">
        <v>2723.8424136224858</v>
      </c>
      <c r="AO9" s="2">
        <v>2723.8424136224858</v>
      </c>
      <c r="AP9" s="2">
        <v>2723.8424136224858</v>
      </c>
      <c r="AQ9" s="2">
        <v>2507.0660277632564</v>
      </c>
      <c r="AR9" s="2">
        <v>2507.0660277632564</v>
      </c>
      <c r="AS9" s="2">
        <v>2507.0660277632564</v>
      </c>
      <c r="AT9" s="2">
        <v>2507.0660277632564</v>
      </c>
      <c r="AU9" s="2">
        <v>3355.3214506906743</v>
      </c>
      <c r="AV9" s="2">
        <v>3355.3214506906743</v>
      </c>
      <c r="AW9" s="2">
        <v>3355.3214506906743</v>
      </c>
      <c r="AX9" s="2">
        <v>3355.3214506906743</v>
      </c>
      <c r="AY9" s="2">
        <v>3298.7710891621796</v>
      </c>
      <c r="AZ9" s="2">
        <v>3298.7710891621796</v>
      </c>
      <c r="BA9" s="2">
        <v>3298.7710891621796</v>
      </c>
      <c r="BB9" s="2">
        <v>3298.7710891621796</v>
      </c>
    </row>
    <row r="10" spans="1:54" x14ac:dyDescent="0.25">
      <c r="A10" t="s">
        <v>60</v>
      </c>
      <c r="B10" s="2">
        <f t="shared" si="0"/>
        <v>22884.79719618845</v>
      </c>
      <c r="C10" s="2">
        <v>16629.845600915138</v>
      </c>
      <c r="D10" s="2">
        <v>16629.845600915138</v>
      </c>
      <c r="E10" s="2">
        <v>16629.845600915138</v>
      </c>
      <c r="F10" s="2">
        <v>16629.845600915138</v>
      </c>
      <c r="G10" s="2">
        <v>19231.162231225888</v>
      </c>
      <c r="H10" s="2">
        <v>19231.162231225888</v>
      </c>
      <c r="I10" s="2">
        <v>19231.162231225888</v>
      </c>
      <c r="J10" s="2">
        <v>19231.162231225888</v>
      </c>
      <c r="K10" s="2">
        <v>25269.932980161549</v>
      </c>
      <c r="L10" s="2">
        <v>25269.932980161549</v>
      </c>
      <c r="M10" s="2">
        <v>25269.932980161549</v>
      </c>
      <c r="N10" s="2">
        <v>25269.932980161549</v>
      </c>
      <c r="O10" s="2">
        <v>26106.070468475722</v>
      </c>
      <c r="P10" s="2">
        <v>26106.070468475722</v>
      </c>
      <c r="Q10" s="2">
        <v>26106.070468475722</v>
      </c>
      <c r="R10" s="2">
        <v>26106.070468475722</v>
      </c>
      <c r="S10" s="2">
        <v>26106.070468475722</v>
      </c>
      <c r="T10" s="2">
        <v>15329.187285759765</v>
      </c>
      <c r="U10" s="2">
        <v>15329.187285759765</v>
      </c>
      <c r="V10" s="2">
        <v>15329.187285759765</v>
      </c>
      <c r="W10" s="2">
        <v>15329.187285759765</v>
      </c>
      <c r="X10" s="2">
        <v>26013.166303107479</v>
      </c>
      <c r="Y10" s="2">
        <v>26013.166303107479</v>
      </c>
      <c r="Z10" s="2">
        <v>26013.166303107479</v>
      </c>
      <c r="AA10" s="2">
        <v>26013.166303107479</v>
      </c>
      <c r="AB10" s="2">
        <v>26013.166303107479</v>
      </c>
      <c r="AC10" s="2">
        <v>14400.145632077356</v>
      </c>
      <c r="AD10" s="2">
        <v>14400.145632077356</v>
      </c>
      <c r="AE10" s="2">
        <v>14400.145632077356</v>
      </c>
      <c r="AF10" s="2">
        <v>14400.145632077356</v>
      </c>
      <c r="AG10" s="2">
        <v>14400.145632077356</v>
      </c>
      <c r="AH10" s="2">
        <v>14028.528970604391</v>
      </c>
      <c r="AI10" s="2">
        <v>14028.528970604391</v>
      </c>
      <c r="AJ10" s="2">
        <v>14028.528970604391</v>
      </c>
      <c r="AK10" s="2">
        <v>14028.528970604391</v>
      </c>
      <c r="AL10" s="2">
        <v>26849.303791421651</v>
      </c>
      <c r="AM10" s="2">
        <v>26849.303791421651</v>
      </c>
      <c r="AN10" s="2">
        <v>26849.303791421651</v>
      </c>
      <c r="AO10" s="2">
        <v>26849.303791421651</v>
      </c>
      <c r="AP10" s="2">
        <v>26849.303791421651</v>
      </c>
      <c r="AQ10" s="2">
        <v>24712.507987952104</v>
      </c>
      <c r="AR10" s="2">
        <v>24712.507987952104</v>
      </c>
      <c r="AS10" s="2">
        <v>24712.507987952104</v>
      </c>
      <c r="AT10" s="2">
        <v>24712.507987952104</v>
      </c>
      <c r="AU10" s="2">
        <v>33073.882871093796</v>
      </c>
      <c r="AV10" s="2">
        <v>33073.882871093796</v>
      </c>
      <c r="AW10" s="2">
        <v>33073.882871093796</v>
      </c>
      <c r="AX10" s="2">
        <v>33073.882871093796</v>
      </c>
      <c r="AY10" s="2">
        <v>32516.457878884346</v>
      </c>
      <c r="AZ10" s="2">
        <v>32516.457878884346</v>
      </c>
      <c r="BA10" s="2">
        <v>32516.457878884346</v>
      </c>
      <c r="BB10" s="2">
        <v>32516.457878884346</v>
      </c>
    </row>
    <row r="11" spans="1:54" x14ac:dyDescent="0.25">
      <c r="A11" t="s">
        <v>61</v>
      </c>
      <c r="B11" s="2">
        <f t="shared" si="0"/>
        <v>2321.6460923669433</v>
      </c>
      <c r="C11" s="2">
        <v>1687.085785600086</v>
      </c>
      <c r="D11" s="2">
        <v>1687.085785600086</v>
      </c>
      <c r="E11" s="2">
        <v>1687.085785600086</v>
      </c>
      <c r="F11" s="2">
        <v>1687.085785600086</v>
      </c>
      <c r="G11" s="2">
        <v>1950.9874727330609</v>
      </c>
      <c r="H11" s="2">
        <v>1950.9874727330609</v>
      </c>
      <c r="I11" s="2">
        <v>1950.9874727330609</v>
      </c>
      <c r="J11" s="2">
        <v>1950.9874727330609</v>
      </c>
      <c r="K11" s="2">
        <v>2563.6163892917511</v>
      </c>
      <c r="L11" s="2">
        <v>2563.6163892917511</v>
      </c>
      <c r="M11" s="2">
        <v>2563.6163892917511</v>
      </c>
      <c r="N11" s="2">
        <v>2563.6163892917511</v>
      </c>
      <c r="O11" s="2">
        <v>2648.441931584493</v>
      </c>
      <c r="P11" s="2">
        <v>2648.441931584493</v>
      </c>
      <c r="Q11" s="2">
        <v>2648.441931584493</v>
      </c>
      <c r="R11" s="2">
        <v>2648.441931584493</v>
      </c>
      <c r="S11" s="2">
        <v>2648.441931584493</v>
      </c>
      <c r="T11" s="2">
        <v>1555.1349420335991</v>
      </c>
      <c r="U11" s="2">
        <v>1555.1349420335991</v>
      </c>
      <c r="V11" s="2">
        <v>1555.1349420335991</v>
      </c>
      <c r="W11" s="2">
        <v>1555.1349420335991</v>
      </c>
      <c r="X11" s="2">
        <v>2639.0168713297435</v>
      </c>
      <c r="Y11" s="2">
        <v>2639.0168713297435</v>
      </c>
      <c r="Z11" s="2">
        <v>2639.0168713297435</v>
      </c>
      <c r="AA11" s="2">
        <v>2639.0168713297435</v>
      </c>
      <c r="AB11" s="2">
        <v>2639.0168713297435</v>
      </c>
      <c r="AC11" s="2">
        <v>1460.8843394861083</v>
      </c>
      <c r="AD11" s="2">
        <v>1460.8843394861083</v>
      </c>
      <c r="AE11" s="2">
        <v>1460.8843394861083</v>
      </c>
      <c r="AF11" s="2">
        <v>1460.8843394861083</v>
      </c>
      <c r="AG11" s="2">
        <v>1460.8843394861083</v>
      </c>
      <c r="AH11" s="2">
        <v>1423.1840984671119</v>
      </c>
      <c r="AI11" s="2">
        <v>1423.1840984671119</v>
      </c>
      <c r="AJ11" s="2">
        <v>1423.1840984671119</v>
      </c>
      <c r="AK11" s="2">
        <v>1423.1840984671119</v>
      </c>
      <c r="AL11" s="2">
        <v>2723.8424136224858</v>
      </c>
      <c r="AM11" s="2">
        <v>2723.8424136224858</v>
      </c>
      <c r="AN11" s="2">
        <v>2723.8424136224858</v>
      </c>
      <c r="AO11" s="2">
        <v>2723.8424136224858</v>
      </c>
      <c r="AP11" s="2">
        <v>2723.8424136224858</v>
      </c>
      <c r="AQ11" s="2">
        <v>2507.0660277632564</v>
      </c>
      <c r="AR11" s="2">
        <v>2507.0660277632564</v>
      </c>
      <c r="AS11" s="2">
        <v>2507.0660277632564</v>
      </c>
      <c r="AT11" s="2">
        <v>2507.0660277632564</v>
      </c>
      <c r="AU11" s="2">
        <v>3355.3214506906743</v>
      </c>
      <c r="AV11" s="2">
        <v>3355.3214506906743</v>
      </c>
      <c r="AW11" s="2">
        <v>3355.3214506906743</v>
      </c>
      <c r="AX11" s="2">
        <v>3355.3214506906743</v>
      </c>
      <c r="AY11" s="2">
        <v>3298.7710891621796</v>
      </c>
      <c r="AZ11" s="2">
        <v>3298.7710891621796</v>
      </c>
      <c r="BA11" s="2">
        <v>3298.7710891621796</v>
      </c>
      <c r="BB11" s="2">
        <v>3298.7710891621796</v>
      </c>
    </row>
    <row r="12" spans="1:54" x14ac:dyDescent="0.25">
      <c r="A12" t="s">
        <v>62</v>
      </c>
      <c r="B12" s="2">
        <f t="shared" si="0"/>
        <v>22884.79719618845</v>
      </c>
      <c r="C12" s="2">
        <v>16629.845600915138</v>
      </c>
      <c r="D12" s="2">
        <v>16629.845600915138</v>
      </c>
      <c r="E12" s="2">
        <v>16629.845600915138</v>
      </c>
      <c r="F12" s="2">
        <v>16629.845600915138</v>
      </c>
      <c r="G12" s="2">
        <v>19231.162231225888</v>
      </c>
      <c r="H12" s="2">
        <v>19231.162231225888</v>
      </c>
      <c r="I12" s="2">
        <v>19231.162231225888</v>
      </c>
      <c r="J12" s="2">
        <v>19231.162231225888</v>
      </c>
      <c r="K12" s="2">
        <v>25269.932980161549</v>
      </c>
      <c r="L12" s="2">
        <v>25269.932980161549</v>
      </c>
      <c r="M12" s="2">
        <v>25269.932980161549</v>
      </c>
      <c r="N12" s="2">
        <v>25269.932980161549</v>
      </c>
      <c r="O12" s="2">
        <v>26106.070468475722</v>
      </c>
      <c r="P12" s="2">
        <v>26106.070468475722</v>
      </c>
      <c r="Q12" s="2">
        <v>26106.070468475722</v>
      </c>
      <c r="R12" s="2">
        <v>26106.070468475722</v>
      </c>
      <c r="S12" s="2">
        <v>26106.070468475722</v>
      </c>
      <c r="T12" s="2">
        <v>15329.187285759765</v>
      </c>
      <c r="U12" s="2">
        <v>15329.187285759765</v>
      </c>
      <c r="V12" s="2">
        <v>15329.187285759765</v>
      </c>
      <c r="W12" s="2">
        <v>15329.187285759765</v>
      </c>
      <c r="X12" s="2">
        <v>26013.166303107479</v>
      </c>
      <c r="Y12" s="2">
        <v>26013.166303107479</v>
      </c>
      <c r="Z12" s="2">
        <v>26013.166303107479</v>
      </c>
      <c r="AA12" s="2">
        <v>26013.166303107479</v>
      </c>
      <c r="AB12" s="2">
        <v>26013.166303107479</v>
      </c>
      <c r="AC12" s="2">
        <v>14400.145632077356</v>
      </c>
      <c r="AD12" s="2">
        <v>14400.145632077356</v>
      </c>
      <c r="AE12" s="2">
        <v>14400.145632077356</v>
      </c>
      <c r="AF12" s="2">
        <v>14400.145632077356</v>
      </c>
      <c r="AG12" s="2">
        <v>14400.145632077356</v>
      </c>
      <c r="AH12" s="2">
        <v>14028.528970604391</v>
      </c>
      <c r="AI12" s="2">
        <v>14028.528970604391</v>
      </c>
      <c r="AJ12" s="2">
        <v>14028.528970604391</v>
      </c>
      <c r="AK12" s="2">
        <v>14028.528970604391</v>
      </c>
      <c r="AL12" s="2">
        <v>26849.303791421651</v>
      </c>
      <c r="AM12" s="2">
        <v>26849.303791421651</v>
      </c>
      <c r="AN12" s="2">
        <v>26849.303791421651</v>
      </c>
      <c r="AO12" s="2">
        <v>26849.303791421651</v>
      </c>
      <c r="AP12" s="2">
        <v>26849.303791421651</v>
      </c>
      <c r="AQ12" s="2">
        <v>24712.507987952104</v>
      </c>
      <c r="AR12" s="2">
        <v>24712.507987952104</v>
      </c>
      <c r="AS12" s="2">
        <v>24712.507987952104</v>
      </c>
      <c r="AT12" s="2">
        <v>24712.507987952104</v>
      </c>
      <c r="AU12" s="2">
        <v>33073.882871093796</v>
      </c>
      <c r="AV12" s="2">
        <v>33073.882871093796</v>
      </c>
      <c r="AW12" s="2">
        <v>33073.882871093796</v>
      </c>
      <c r="AX12" s="2">
        <v>33073.882871093796</v>
      </c>
      <c r="AY12" s="2">
        <v>32516.457878884346</v>
      </c>
      <c r="AZ12" s="2">
        <v>32516.457878884346</v>
      </c>
      <c r="BA12" s="2">
        <v>32516.457878884346</v>
      </c>
      <c r="BB12" s="2">
        <v>32516.457878884346</v>
      </c>
    </row>
    <row r="13" spans="1:54" x14ac:dyDescent="0.25">
      <c r="A13" t="s">
        <v>63</v>
      </c>
      <c r="B13" s="2">
        <f t="shared" si="0"/>
        <v>2321.6460923669433</v>
      </c>
      <c r="C13" s="2">
        <v>1687.085785600086</v>
      </c>
      <c r="D13" s="2">
        <v>1687.085785600086</v>
      </c>
      <c r="E13" s="2">
        <v>1687.085785600086</v>
      </c>
      <c r="F13" s="2">
        <v>1687.085785600086</v>
      </c>
      <c r="G13" s="2">
        <v>1950.9874727330609</v>
      </c>
      <c r="H13" s="2">
        <v>1950.9874727330609</v>
      </c>
      <c r="I13" s="2">
        <v>1950.9874727330609</v>
      </c>
      <c r="J13" s="2">
        <v>1950.9874727330609</v>
      </c>
      <c r="K13" s="2">
        <v>2563.6163892917511</v>
      </c>
      <c r="L13" s="2">
        <v>2563.6163892917511</v>
      </c>
      <c r="M13" s="2">
        <v>2563.6163892917511</v>
      </c>
      <c r="N13" s="2">
        <v>2563.6163892917511</v>
      </c>
      <c r="O13" s="2">
        <v>2648.441931584493</v>
      </c>
      <c r="P13" s="2">
        <v>2648.441931584493</v>
      </c>
      <c r="Q13" s="2">
        <v>2648.441931584493</v>
      </c>
      <c r="R13" s="2">
        <v>2648.441931584493</v>
      </c>
      <c r="S13" s="2">
        <v>2648.441931584493</v>
      </c>
      <c r="T13" s="2">
        <v>1555.1349420335991</v>
      </c>
      <c r="U13" s="2">
        <v>1555.1349420335991</v>
      </c>
      <c r="V13" s="2">
        <v>1555.1349420335991</v>
      </c>
      <c r="W13" s="2">
        <v>1555.1349420335991</v>
      </c>
      <c r="X13" s="2">
        <v>2639.0168713297435</v>
      </c>
      <c r="Y13" s="2">
        <v>2639.0168713297435</v>
      </c>
      <c r="Z13" s="2">
        <v>2639.0168713297435</v>
      </c>
      <c r="AA13" s="2">
        <v>2639.0168713297435</v>
      </c>
      <c r="AB13" s="2">
        <v>2639.0168713297435</v>
      </c>
      <c r="AC13" s="2">
        <v>1460.8843394861083</v>
      </c>
      <c r="AD13" s="2">
        <v>1460.8843394861083</v>
      </c>
      <c r="AE13" s="2">
        <v>1460.8843394861083</v>
      </c>
      <c r="AF13" s="2">
        <v>1460.8843394861083</v>
      </c>
      <c r="AG13" s="2">
        <v>1460.8843394861083</v>
      </c>
      <c r="AH13" s="2">
        <v>1423.1840984671119</v>
      </c>
      <c r="AI13" s="2">
        <v>1423.1840984671119</v>
      </c>
      <c r="AJ13" s="2">
        <v>1423.1840984671119</v>
      </c>
      <c r="AK13" s="2">
        <v>1423.1840984671119</v>
      </c>
      <c r="AL13" s="2">
        <v>2723.8424136224858</v>
      </c>
      <c r="AM13" s="2">
        <v>2723.8424136224858</v>
      </c>
      <c r="AN13" s="2">
        <v>2723.8424136224858</v>
      </c>
      <c r="AO13" s="2">
        <v>2723.8424136224858</v>
      </c>
      <c r="AP13" s="2">
        <v>2723.8424136224858</v>
      </c>
      <c r="AQ13" s="2">
        <v>2507.0660277632564</v>
      </c>
      <c r="AR13" s="2">
        <v>2507.0660277632564</v>
      </c>
      <c r="AS13" s="2">
        <v>2507.0660277632564</v>
      </c>
      <c r="AT13" s="2">
        <v>2507.0660277632564</v>
      </c>
      <c r="AU13" s="2">
        <v>3355.3214506906743</v>
      </c>
      <c r="AV13" s="2">
        <v>3355.3214506906743</v>
      </c>
      <c r="AW13" s="2">
        <v>3355.3214506906743</v>
      </c>
      <c r="AX13" s="2">
        <v>3355.3214506906743</v>
      </c>
      <c r="AY13" s="2">
        <v>3298.7710891621796</v>
      </c>
      <c r="AZ13" s="2">
        <v>3298.7710891621796</v>
      </c>
      <c r="BA13" s="2">
        <v>3298.7710891621796</v>
      </c>
      <c r="BB13" s="2">
        <v>3298.7710891621796</v>
      </c>
    </row>
    <row r="14" spans="1:54" x14ac:dyDescent="0.25">
      <c r="A14" t="s">
        <v>64</v>
      </c>
      <c r="B14" s="2">
        <f t="shared" si="0"/>
        <v>22884.79719618845</v>
      </c>
      <c r="C14" s="2">
        <v>16629.845600915138</v>
      </c>
      <c r="D14" s="2">
        <v>16629.845600915138</v>
      </c>
      <c r="E14" s="2">
        <v>16629.845600915138</v>
      </c>
      <c r="F14" s="2">
        <v>16629.845600915138</v>
      </c>
      <c r="G14" s="2">
        <v>19231.162231225888</v>
      </c>
      <c r="H14" s="2">
        <v>19231.162231225888</v>
      </c>
      <c r="I14" s="2">
        <v>19231.162231225888</v>
      </c>
      <c r="J14" s="2">
        <v>19231.162231225888</v>
      </c>
      <c r="K14" s="2">
        <v>25269.932980161549</v>
      </c>
      <c r="L14" s="2">
        <v>25269.932980161549</v>
      </c>
      <c r="M14" s="2">
        <v>25269.932980161549</v>
      </c>
      <c r="N14" s="2">
        <v>25269.932980161549</v>
      </c>
      <c r="O14" s="2">
        <v>26106.070468475722</v>
      </c>
      <c r="P14" s="2">
        <v>26106.070468475722</v>
      </c>
      <c r="Q14" s="2">
        <v>26106.070468475722</v>
      </c>
      <c r="R14" s="2">
        <v>26106.070468475722</v>
      </c>
      <c r="S14" s="2">
        <v>26106.070468475722</v>
      </c>
      <c r="T14" s="2">
        <v>15329.187285759765</v>
      </c>
      <c r="U14" s="2">
        <v>15329.187285759765</v>
      </c>
      <c r="V14" s="2">
        <v>15329.187285759765</v>
      </c>
      <c r="W14" s="2">
        <v>15329.187285759765</v>
      </c>
      <c r="X14" s="2">
        <v>26013.166303107479</v>
      </c>
      <c r="Y14" s="2">
        <v>26013.166303107479</v>
      </c>
      <c r="Z14" s="2">
        <v>26013.166303107479</v>
      </c>
      <c r="AA14" s="2">
        <v>26013.166303107479</v>
      </c>
      <c r="AB14" s="2">
        <v>26013.166303107479</v>
      </c>
      <c r="AC14" s="2">
        <v>14400.145632077356</v>
      </c>
      <c r="AD14" s="2">
        <v>14400.145632077356</v>
      </c>
      <c r="AE14" s="2">
        <v>14400.145632077356</v>
      </c>
      <c r="AF14" s="2">
        <v>14400.145632077356</v>
      </c>
      <c r="AG14" s="2">
        <v>14400.145632077356</v>
      </c>
      <c r="AH14" s="2">
        <v>14028.528970604391</v>
      </c>
      <c r="AI14" s="2">
        <v>14028.528970604391</v>
      </c>
      <c r="AJ14" s="2">
        <v>14028.528970604391</v>
      </c>
      <c r="AK14" s="2">
        <v>14028.528970604391</v>
      </c>
      <c r="AL14" s="2">
        <v>26849.303791421651</v>
      </c>
      <c r="AM14" s="2">
        <v>26849.303791421651</v>
      </c>
      <c r="AN14" s="2">
        <v>26849.303791421651</v>
      </c>
      <c r="AO14" s="2">
        <v>26849.303791421651</v>
      </c>
      <c r="AP14" s="2">
        <v>26849.303791421651</v>
      </c>
      <c r="AQ14" s="2">
        <v>24712.507987952104</v>
      </c>
      <c r="AR14" s="2">
        <v>24712.507987952104</v>
      </c>
      <c r="AS14" s="2">
        <v>24712.507987952104</v>
      </c>
      <c r="AT14" s="2">
        <v>24712.507987952104</v>
      </c>
      <c r="AU14" s="2">
        <v>33073.882871093796</v>
      </c>
      <c r="AV14" s="2">
        <v>33073.882871093796</v>
      </c>
      <c r="AW14" s="2">
        <v>33073.882871093796</v>
      </c>
      <c r="AX14" s="2">
        <v>33073.882871093796</v>
      </c>
      <c r="AY14" s="2">
        <v>32516.457878884346</v>
      </c>
      <c r="AZ14" s="2">
        <v>32516.457878884346</v>
      </c>
      <c r="BA14" s="2">
        <v>32516.457878884346</v>
      </c>
      <c r="BB14" s="2">
        <v>32516.457878884346</v>
      </c>
    </row>
    <row r="15" spans="1:54" x14ac:dyDescent="0.25">
      <c r="A15" t="s">
        <v>65</v>
      </c>
      <c r="B15" s="2">
        <f t="shared" si="0"/>
        <v>2321.6460923669433</v>
      </c>
      <c r="C15" s="2">
        <v>1687.085785600086</v>
      </c>
      <c r="D15" s="2">
        <v>1687.085785600086</v>
      </c>
      <c r="E15" s="2">
        <v>1687.085785600086</v>
      </c>
      <c r="F15" s="2">
        <v>1687.085785600086</v>
      </c>
      <c r="G15" s="2">
        <v>1950.9874727330609</v>
      </c>
      <c r="H15" s="2">
        <v>1950.9874727330609</v>
      </c>
      <c r="I15" s="2">
        <v>1950.9874727330609</v>
      </c>
      <c r="J15" s="2">
        <v>1950.9874727330609</v>
      </c>
      <c r="K15" s="2">
        <v>2563.6163892917511</v>
      </c>
      <c r="L15" s="2">
        <v>2563.6163892917511</v>
      </c>
      <c r="M15" s="2">
        <v>2563.6163892917511</v>
      </c>
      <c r="N15" s="2">
        <v>2563.6163892917511</v>
      </c>
      <c r="O15" s="2">
        <v>2648.441931584493</v>
      </c>
      <c r="P15" s="2">
        <v>2648.441931584493</v>
      </c>
      <c r="Q15" s="2">
        <v>2648.441931584493</v>
      </c>
      <c r="R15" s="2">
        <v>2648.441931584493</v>
      </c>
      <c r="S15" s="2">
        <v>2648.441931584493</v>
      </c>
      <c r="T15" s="2">
        <v>1555.1349420335991</v>
      </c>
      <c r="U15" s="2">
        <v>1555.1349420335991</v>
      </c>
      <c r="V15" s="2">
        <v>1555.1349420335991</v>
      </c>
      <c r="W15" s="2">
        <v>1555.1349420335991</v>
      </c>
      <c r="X15" s="2">
        <v>2639.0168713297435</v>
      </c>
      <c r="Y15" s="2">
        <v>2639.0168713297435</v>
      </c>
      <c r="Z15" s="2">
        <v>2639.0168713297435</v>
      </c>
      <c r="AA15" s="2">
        <v>2639.0168713297435</v>
      </c>
      <c r="AB15" s="2">
        <v>2639.0168713297435</v>
      </c>
      <c r="AC15" s="2">
        <v>1460.8843394861083</v>
      </c>
      <c r="AD15" s="2">
        <v>1460.8843394861083</v>
      </c>
      <c r="AE15" s="2">
        <v>1460.8843394861083</v>
      </c>
      <c r="AF15" s="2">
        <v>1460.8843394861083</v>
      </c>
      <c r="AG15" s="2">
        <v>1460.8843394861083</v>
      </c>
      <c r="AH15" s="2">
        <v>1423.1840984671119</v>
      </c>
      <c r="AI15" s="2">
        <v>1423.1840984671119</v>
      </c>
      <c r="AJ15" s="2">
        <v>1423.1840984671119</v>
      </c>
      <c r="AK15" s="2">
        <v>1423.1840984671119</v>
      </c>
      <c r="AL15" s="2">
        <v>2723.8424136224858</v>
      </c>
      <c r="AM15" s="2">
        <v>2723.8424136224858</v>
      </c>
      <c r="AN15" s="2">
        <v>2723.8424136224858</v>
      </c>
      <c r="AO15" s="2">
        <v>2723.8424136224858</v>
      </c>
      <c r="AP15" s="2">
        <v>2723.8424136224858</v>
      </c>
      <c r="AQ15" s="2">
        <v>2507.0660277632564</v>
      </c>
      <c r="AR15" s="2">
        <v>2507.0660277632564</v>
      </c>
      <c r="AS15" s="2">
        <v>2507.0660277632564</v>
      </c>
      <c r="AT15" s="2">
        <v>2507.0660277632564</v>
      </c>
      <c r="AU15" s="2">
        <v>3355.3214506906743</v>
      </c>
      <c r="AV15" s="2">
        <v>3355.3214506906743</v>
      </c>
      <c r="AW15" s="2">
        <v>3355.3214506906743</v>
      </c>
      <c r="AX15" s="2">
        <v>3355.3214506906743</v>
      </c>
      <c r="AY15" s="2">
        <v>3298.7710891621796</v>
      </c>
      <c r="AZ15" s="2">
        <v>3298.7710891621796</v>
      </c>
      <c r="BA15" s="2">
        <v>3298.7710891621796</v>
      </c>
      <c r="BB15" s="2">
        <v>3298.7710891621796</v>
      </c>
    </row>
    <row r="16" spans="1:54" x14ac:dyDescent="0.25">
      <c r="A16" t="s">
        <v>66</v>
      </c>
      <c r="B16" s="2">
        <f t="shared" si="0"/>
        <v>22884.79719618845</v>
      </c>
      <c r="C16" s="2">
        <v>16629.845600915138</v>
      </c>
      <c r="D16" s="2">
        <v>16629.845600915138</v>
      </c>
      <c r="E16" s="2">
        <v>16629.845600915138</v>
      </c>
      <c r="F16" s="2">
        <v>16629.845600915138</v>
      </c>
      <c r="G16" s="2">
        <v>19231.162231225888</v>
      </c>
      <c r="H16" s="2">
        <v>19231.162231225888</v>
      </c>
      <c r="I16" s="2">
        <v>19231.162231225888</v>
      </c>
      <c r="J16" s="2">
        <v>19231.162231225888</v>
      </c>
      <c r="K16" s="2">
        <v>25269.932980161549</v>
      </c>
      <c r="L16" s="2">
        <v>25269.932980161549</v>
      </c>
      <c r="M16" s="2">
        <v>25269.932980161549</v>
      </c>
      <c r="N16" s="2">
        <v>25269.932980161549</v>
      </c>
      <c r="O16" s="2">
        <v>26106.070468475722</v>
      </c>
      <c r="P16" s="2">
        <v>26106.070468475722</v>
      </c>
      <c r="Q16" s="2">
        <v>26106.070468475722</v>
      </c>
      <c r="R16" s="2">
        <v>26106.070468475722</v>
      </c>
      <c r="S16" s="2">
        <v>26106.070468475722</v>
      </c>
      <c r="T16" s="2">
        <v>15329.187285759765</v>
      </c>
      <c r="U16" s="2">
        <v>15329.187285759765</v>
      </c>
      <c r="V16" s="2">
        <v>15329.187285759765</v>
      </c>
      <c r="W16" s="2">
        <v>15329.187285759765</v>
      </c>
      <c r="X16" s="2">
        <v>26013.166303107479</v>
      </c>
      <c r="Y16" s="2">
        <v>26013.166303107479</v>
      </c>
      <c r="Z16" s="2">
        <v>26013.166303107479</v>
      </c>
      <c r="AA16" s="2">
        <v>26013.166303107479</v>
      </c>
      <c r="AB16" s="2">
        <v>26013.166303107479</v>
      </c>
      <c r="AC16" s="2">
        <v>14400.145632077356</v>
      </c>
      <c r="AD16" s="2">
        <v>14400.145632077356</v>
      </c>
      <c r="AE16" s="2">
        <v>14400.145632077356</v>
      </c>
      <c r="AF16" s="2">
        <v>14400.145632077356</v>
      </c>
      <c r="AG16" s="2">
        <v>14400.145632077356</v>
      </c>
      <c r="AH16" s="2">
        <v>14028.528970604391</v>
      </c>
      <c r="AI16" s="2">
        <v>14028.528970604391</v>
      </c>
      <c r="AJ16" s="2">
        <v>14028.528970604391</v>
      </c>
      <c r="AK16" s="2">
        <v>14028.528970604391</v>
      </c>
      <c r="AL16" s="2">
        <v>26849.303791421651</v>
      </c>
      <c r="AM16" s="2">
        <v>26849.303791421651</v>
      </c>
      <c r="AN16" s="2">
        <v>26849.303791421651</v>
      </c>
      <c r="AO16" s="2">
        <v>26849.303791421651</v>
      </c>
      <c r="AP16" s="2">
        <v>26849.303791421651</v>
      </c>
      <c r="AQ16" s="2">
        <v>24712.507987952104</v>
      </c>
      <c r="AR16" s="2">
        <v>24712.507987952104</v>
      </c>
      <c r="AS16" s="2">
        <v>24712.507987952104</v>
      </c>
      <c r="AT16" s="2">
        <v>24712.507987952104</v>
      </c>
      <c r="AU16" s="2">
        <v>33073.882871093796</v>
      </c>
      <c r="AV16" s="2">
        <v>33073.882871093796</v>
      </c>
      <c r="AW16" s="2">
        <v>33073.882871093796</v>
      </c>
      <c r="AX16" s="2">
        <v>33073.882871093796</v>
      </c>
      <c r="AY16" s="2">
        <v>32516.457878884346</v>
      </c>
      <c r="AZ16" s="2">
        <v>32516.457878884346</v>
      </c>
      <c r="BA16" s="2">
        <v>32516.457878884346</v>
      </c>
      <c r="BB16" s="2">
        <v>32516.457878884346</v>
      </c>
    </row>
    <row r="17" spans="1:54" x14ac:dyDescent="0.25">
      <c r="A17" t="s">
        <v>67</v>
      </c>
      <c r="B17" s="2">
        <f t="shared" si="0"/>
        <v>2666.8780539054455</v>
      </c>
      <c r="C17" s="2">
        <v>1937.9577582755794</v>
      </c>
      <c r="D17" s="2">
        <v>1937.9577582755794</v>
      </c>
      <c r="E17" s="2">
        <v>1937.9577582755794</v>
      </c>
      <c r="F17" s="2">
        <v>1937.9577582755794</v>
      </c>
      <c r="G17" s="2">
        <v>2241.1019886203635</v>
      </c>
      <c r="H17" s="2">
        <v>2241.1019886203635</v>
      </c>
      <c r="I17" s="2">
        <v>2241.1019886203635</v>
      </c>
      <c r="J17" s="2">
        <v>2241.1019886203635</v>
      </c>
      <c r="K17" s="2">
        <v>2944.8296662064672</v>
      </c>
      <c r="L17" s="2">
        <v>2944.8296662064672</v>
      </c>
      <c r="M17" s="2">
        <v>2944.8296662064672</v>
      </c>
      <c r="N17" s="2">
        <v>2944.8296662064672</v>
      </c>
      <c r="O17" s="2">
        <v>3042.268883103005</v>
      </c>
      <c r="P17" s="2">
        <v>3042.268883103005</v>
      </c>
      <c r="Q17" s="2">
        <v>3042.268883103005</v>
      </c>
      <c r="R17" s="2">
        <v>3042.268883103005</v>
      </c>
      <c r="S17" s="2">
        <v>3042.268883103005</v>
      </c>
      <c r="T17" s="2">
        <v>1786.3856431031882</v>
      </c>
      <c r="U17" s="2">
        <v>1786.3856431031882</v>
      </c>
      <c r="V17" s="2">
        <v>1786.3856431031882</v>
      </c>
      <c r="W17" s="2">
        <v>1786.3856431031882</v>
      </c>
      <c r="X17" s="2">
        <v>3031.4423034478341</v>
      </c>
      <c r="Y17" s="2">
        <v>3031.4423034478341</v>
      </c>
      <c r="Z17" s="2">
        <v>3031.4423034478341</v>
      </c>
      <c r="AA17" s="2">
        <v>3031.4423034478341</v>
      </c>
      <c r="AB17" s="2">
        <v>3031.4423034478341</v>
      </c>
      <c r="AC17" s="2">
        <v>1678.1198465514797</v>
      </c>
      <c r="AD17" s="2">
        <v>1678.1198465514797</v>
      </c>
      <c r="AE17" s="2">
        <v>1678.1198465514797</v>
      </c>
      <c r="AF17" s="2">
        <v>1678.1198465514797</v>
      </c>
      <c r="AG17" s="2">
        <v>1678.1198465514797</v>
      </c>
      <c r="AH17" s="2">
        <v>1634.8135279307965</v>
      </c>
      <c r="AI17" s="2">
        <v>1634.8135279307965</v>
      </c>
      <c r="AJ17" s="2">
        <v>1634.8135279307965</v>
      </c>
      <c r="AK17" s="2">
        <v>1634.8135279307965</v>
      </c>
      <c r="AL17" s="2">
        <v>3128.8815203443719</v>
      </c>
      <c r="AM17" s="2">
        <v>3128.8815203443719</v>
      </c>
      <c r="AN17" s="2">
        <v>3128.8815203443719</v>
      </c>
      <c r="AO17" s="2">
        <v>3128.8815203443719</v>
      </c>
      <c r="AP17" s="2">
        <v>3128.8815203443719</v>
      </c>
      <c r="AQ17" s="2">
        <v>2879.8701882754422</v>
      </c>
      <c r="AR17" s="2">
        <v>2879.8701882754422</v>
      </c>
      <c r="AS17" s="2">
        <v>2879.8701882754422</v>
      </c>
      <c r="AT17" s="2">
        <v>2879.8701882754422</v>
      </c>
      <c r="AU17" s="2">
        <v>3854.2623572408179</v>
      </c>
      <c r="AV17" s="2">
        <v>3854.2623572408179</v>
      </c>
      <c r="AW17" s="2">
        <v>3854.2623572408179</v>
      </c>
      <c r="AX17" s="2">
        <v>3854.2623572408179</v>
      </c>
      <c r="AY17" s="2">
        <v>3789.3028793097924</v>
      </c>
      <c r="AZ17" s="2">
        <v>3789.3028793097924</v>
      </c>
      <c r="BA17" s="2">
        <v>3789.3028793097924</v>
      </c>
      <c r="BB17" s="2">
        <v>3789.3028793097924</v>
      </c>
    </row>
    <row r="18" spans="1:54" x14ac:dyDescent="0.25">
      <c r="A18" t="s">
        <v>68</v>
      </c>
      <c r="B18" s="2">
        <f t="shared" si="0"/>
        <v>4838.4235849736515</v>
      </c>
      <c r="C18" s="2">
        <v>3515.9689850054447</v>
      </c>
      <c r="D18" s="2">
        <v>3515.9689850054447</v>
      </c>
      <c r="E18" s="2">
        <v>3515.9689850054447</v>
      </c>
      <c r="F18" s="2">
        <v>3515.9689850054447</v>
      </c>
      <c r="G18" s="2">
        <v>4065.9529603135602</v>
      </c>
      <c r="H18" s="2">
        <v>4065.9529603135602</v>
      </c>
      <c r="I18" s="2">
        <v>4065.9529603135602</v>
      </c>
      <c r="J18" s="2">
        <v>4065.9529603135602</v>
      </c>
      <c r="K18" s="2">
        <v>5342.7014744216813</v>
      </c>
      <c r="L18" s="2">
        <v>5342.7014744216813</v>
      </c>
      <c r="M18" s="2">
        <v>5342.7014744216813</v>
      </c>
      <c r="N18" s="2">
        <v>5342.7014744216813</v>
      </c>
      <c r="O18" s="2">
        <v>5519.4820379135763</v>
      </c>
      <c r="P18" s="2">
        <v>5519.4820379135763</v>
      </c>
      <c r="Q18" s="2">
        <v>5519.4820379135763</v>
      </c>
      <c r="R18" s="2">
        <v>5519.4820379135763</v>
      </c>
      <c r="S18" s="2">
        <v>5519.4820379135763</v>
      </c>
      <c r="T18" s="2">
        <v>3240.976997351388</v>
      </c>
      <c r="U18" s="2">
        <v>3240.976997351388</v>
      </c>
      <c r="V18" s="2">
        <v>3240.976997351388</v>
      </c>
      <c r="W18" s="2">
        <v>3240.976997351388</v>
      </c>
      <c r="X18" s="2">
        <v>5499.8397530811426</v>
      </c>
      <c r="Y18" s="2">
        <v>5499.8397530811426</v>
      </c>
      <c r="Z18" s="2">
        <v>5499.8397530811426</v>
      </c>
      <c r="AA18" s="2">
        <v>5499.8397530811426</v>
      </c>
      <c r="AB18" s="2">
        <v>5499.8397530811426</v>
      </c>
      <c r="AC18" s="2">
        <v>3044.5541490270616</v>
      </c>
      <c r="AD18" s="2">
        <v>3044.5541490270616</v>
      </c>
      <c r="AE18" s="2">
        <v>3044.5541490270616</v>
      </c>
      <c r="AF18" s="2">
        <v>3044.5541490270616</v>
      </c>
      <c r="AG18" s="2">
        <v>3044.5541490270616</v>
      </c>
      <c r="AH18" s="2">
        <v>2965.985009697331</v>
      </c>
      <c r="AI18" s="2">
        <v>2965.985009697331</v>
      </c>
      <c r="AJ18" s="2">
        <v>2965.985009697331</v>
      </c>
      <c r="AK18" s="2">
        <v>2965.985009697331</v>
      </c>
      <c r="AL18" s="2">
        <v>5676.6203165730376</v>
      </c>
      <c r="AM18" s="2">
        <v>5676.6203165730376</v>
      </c>
      <c r="AN18" s="2">
        <v>5676.6203165730376</v>
      </c>
      <c r="AO18" s="2">
        <v>5676.6203165730376</v>
      </c>
      <c r="AP18" s="2">
        <v>5676.6203165730376</v>
      </c>
      <c r="AQ18" s="2">
        <v>5224.8477654270855</v>
      </c>
      <c r="AR18" s="2">
        <v>5224.8477654270855</v>
      </c>
      <c r="AS18" s="2">
        <v>5224.8477654270855</v>
      </c>
      <c r="AT18" s="2">
        <v>5224.8477654270855</v>
      </c>
      <c r="AU18" s="2">
        <v>6992.6534003460256</v>
      </c>
      <c r="AV18" s="2">
        <v>6992.6534003460256</v>
      </c>
      <c r="AW18" s="2">
        <v>6992.6534003460256</v>
      </c>
      <c r="AX18" s="2">
        <v>6992.6534003460256</v>
      </c>
      <c r="AY18" s="2">
        <v>6874.799691351428</v>
      </c>
      <c r="AZ18" s="2">
        <v>6874.799691351428</v>
      </c>
      <c r="BA18" s="2">
        <v>6874.799691351428</v>
      </c>
      <c r="BB18" s="2">
        <v>6874.799691351428</v>
      </c>
    </row>
    <row r="19" spans="1:54" x14ac:dyDescent="0.25">
      <c r="A19" t="s">
        <v>69</v>
      </c>
      <c r="B19" s="2">
        <f t="shared" si="0"/>
        <v>2666.8780539054455</v>
      </c>
      <c r="C19" s="2">
        <v>1937.9577582755794</v>
      </c>
      <c r="D19" s="2">
        <v>1937.9577582755794</v>
      </c>
      <c r="E19" s="2">
        <v>1937.9577582755794</v>
      </c>
      <c r="F19" s="2">
        <v>1937.9577582755794</v>
      </c>
      <c r="G19" s="2">
        <v>2241.1019886203635</v>
      </c>
      <c r="H19" s="2">
        <v>2241.1019886203635</v>
      </c>
      <c r="I19" s="2">
        <v>2241.1019886203635</v>
      </c>
      <c r="J19" s="2">
        <v>2241.1019886203635</v>
      </c>
      <c r="K19" s="2">
        <v>2944.8296662064672</v>
      </c>
      <c r="L19" s="2">
        <v>2944.8296662064672</v>
      </c>
      <c r="M19" s="2">
        <v>2944.8296662064672</v>
      </c>
      <c r="N19" s="2">
        <v>2944.8296662064672</v>
      </c>
      <c r="O19" s="2">
        <v>3042.268883103005</v>
      </c>
      <c r="P19" s="2">
        <v>3042.268883103005</v>
      </c>
      <c r="Q19" s="2">
        <v>3042.268883103005</v>
      </c>
      <c r="R19" s="2">
        <v>3042.268883103005</v>
      </c>
      <c r="S19" s="2">
        <v>3042.268883103005</v>
      </c>
      <c r="T19" s="2">
        <v>1786.3856431031882</v>
      </c>
      <c r="U19" s="2">
        <v>1786.3856431031882</v>
      </c>
      <c r="V19" s="2">
        <v>1786.3856431031882</v>
      </c>
      <c r="W19" s="2">
        <v>1786.3856431031882</v>
      </c>
      <c r="X19" s="2">
        <v>3031.4423034478341</v>
      </c>
      <c r="Y19" s="2">
        <v>3031.4423034478341</v>
      </c>
      <c r="Z19" s="2">
        <v>3031.4423034478341</v>
      </c>
      <c r="AA19" s="2">
        <v>3031.4423034478341</v>
      </c>
      <c r="AB19" s="2">
        <v>3031.4423034478341</v>
      </c>
      <c r="AC19" s="2">
        <v>1678.1198465514797</v>
      </c>
      <c r="AD19" s="2">
        <v>1678.1198465514797</v>
      </c>
      <c r="AE19" s="2">
        <v>1678.1198465514797</v>
      </c>
      <c r="AF19" s="2">
        <v>1678.1198465514797</v>
      </c>
      <c r="AG19" s="2">
        <v>1678.1198465514797</v>
      </c>
      <c r="AH19" s="2">
        <v>1634.8135279307965</v>
      </c>
      <c r="AI19" s="2">
        <v>1634.8135279307965</v>
      </c>
      <c r="AJ19" s="2">
        <v>1634.8135279307965</v>
      </c>
      <c r="AK19" s="2">
        <v>1634.8135279307965</v>
      </c>
      <c r="AL19" s="2">
        <v>3128.8815203443719</v>
      </c>
      <c r="AM19" s="2">
        <v>3128.8815203443719</v>
      </c>
      <c r="AN19" s="2">
        <v>3128.8815203443719</v>
      </c>
      <c r="AO19" s="2">
        <v>3128.8815203443719</v>
      </c>
      <c r="AP19" s="2">
        <v>3128.8815203443719</v>
      </c>
      <c r="AQ19" s="2">
        <v>2879.8701882754422</v>
      </c>
      <c r="AR19" s="2">
        <v>2879.8701882754422</v>
      </c>
      <c r="AS19" s="2">
        <v>2879.8701882754422</v>
      </c>
      <c r="AT19" s="2">
        <v>2879.8701882754422</v>
      </c>
      <c r="AU19" s="2">
        <v>3854.2623572408179</v>
      </c>
      <c r="AV19" s="2">
        <v>3854.2623572408179</v>
      </c>
      <c r="AW19" s="2">
        <v>3854.2623572408179</v>
      </c>
      <c r="AX19" s="2">
        <v>3854.2623572408179</v>
      </c>
      <c r="AY19" s="2">
        <v>3789.3028793097924</v>
      </c>
      <c r="AZ19" s="2">
        <v>3789.3028793097924</v>
      </c>
      <c r="BA19" s="2">
        <v>3789.3028793097924</v>
      </c>
      <c r="BB19" s="2">
        <v>3789.3028793097924</v>
      </c>
    </row>
    <row r="20" spans="1:54" x14ac:dyDescent="0.25">
      <c r="A20" t="s">
        <v>70</v>
      </c>
      <c r="B20" s="2">
        <f t="shared" si="0"/>
        <v>2666.8780539054455</v>
      </c>
      <c r="C20" s="2">
        <v>1937.9577582755794</v>
      </c>
      <c r="D20" s="2">
        <v>1937.9577582755794</v>
      </c>
      <c r="E20" s="2">
        <v>1937.9577582755794</v>
      </c>
      <c r="F20" s="2">
        <v>1937.9577582755794</v>
      </c>
      <c r="G20" s="2">
        <v>2241.1019886203635</v>
      </c>
      <c r="H20" s="2">
        <v>2241.1019886203635</v>
      </c>
      <c r="I20" s="2">
        <v>2241.1019886203635</v>
      </c>
      <c r="J20" s="2">
        <v>2241.1019886203635</v>
      </c>
      <c r="K20" s="2">
        <v>2944.8296662064672</v>
      </c>
      <c r="L20" s="2">
        <v>2944.8296662064672</v>
      </c>
      <c r="M20" s="2">
        <v>2944.8296662064672</v>
      </c>
      <c r="N20" s="2">
        <v>2944.8296662064672</v>
      </c>
      <c r="O20" s="2">
        <v>3042.268883103005</v>
      </c>
      <c r="P20" s="2">
        <v>3042.268883103005</v>
      </c>
      <c r="Q20" s="2">
        <v>3042.268883103005</v>
      </c>
      <c r="R20" s="2">
        <v>3042.268883103005</v>
      </c>
      <c r="S20" s="2">
        <v>3042.268883103005</v>
      </c>
      <c r="T20" s="2">
        <v>1786.3856431031882</v>
      </c>
      <c r="U20" s="2">
        <v>1786.3856431031882</v>
      </c>
      <c r="V20" s="2">
        <v>1786.3856431031882</v>
      </c>
      <c r="W20" s="2">
        <v>1786.3856431031882</v>
      </c>
      <c r="X20" s="2">
        <v>3031.4423034478341</v>
      </c>
      <c r="Y20" s="2">
        <v>3031.4423034478341</v>
      </c>
      <c r="Z20" s="2">
        <v>3031.4423034478341</v>
      </c>
      <c r="AA20" s="2">
        <v>3031.4423034478341</v>
      </c>
      <c r="AB20" s="2">
        <v>3031.4423034478341</v>
      </c>
      <c r="AC20" s="2">
        <v>1678.1198465514797</v>
      </c>
      <c r="AD20" s="2">
        <v>1678.1198465514797</v>
      </c>
      <c r="AE20" s="2">
        <v>1678.1198465514797</v>
      </c>
      <c r="AF20" s="2">
        <v>1678.1198465514797</v>
      </c>
      <c r="AG20" s="2">
        <v>1678.1198465514797</v>
      </c>
      <c r="AH20" s="2">
        <v>1634.8135279307965</v>
      </c>
      <c r="AI20" s="2">
        <v>1634.8135279307965</v>
      </c>
      <c r="AJ20" s="2">
        <v>1634.8135279307965</v>
      </c>
      <c r="AK20" s="2">
        <v>1634.8135279307965</v>
      </c>
      <c r="AL20" s="2">
        <v>3128.8815203443719</v>
      </c>
      <c r="AM20" s="2">
        <v>3128.8815203443719</v>
      </c>
      <c r="AN20" s="2">
        <v>3128.8815203443719</v>
      </c>
      <c r="AO20" s="2">
        <v>3128.8815203443719</v>
      </c>
      <c r="AP20" s="2">
        <v>3128.8815203443719</v>
      </c>
      <c r="AQ20" s="2">
        <v>2879.8701882754422</v>
      </c>
      <c r="AR20" s="2">
        <v>2879.8701882754422</v>
      </c>
      <c r="AS20" s="2">
        <v>2879.8701882754422</v>
      </c>
      <c r="AT20" s="2">
        <v>2879.8701882754422</v>
      </c>
      <c r="AU20" s="2">
        <v>3854.2623572408179</v>
      </c>
      <c r="AV20" s="2">
        <v>3854.2623572408179</v>
      </c>
      <c r="AW20" s="2">
        <v>3854.2623572408179</v>
      </c>
      <c r="AX20" s="2">
        <v>3854.2623572408179</v>
      </c>
      <c r="AY20" s="2">
        <v>3789.3028793097924</v>
      </c>
      <c r="AZ20" s="2">
        <v>3789.3028793097924</v>
      </c>
      <c r="BA20" s="2">
        <v>3789.3028793097924</v>
      </c>
      <c r="BB20" s="2">
        <v>3789.3028793097924</v>
      </c>
    </row>
    <row r="21" spans="1:54" x14ac:dyDescent="0.25">
      <c r="A21" t="s">
        <v>71</v>
      </c>
      <c r="B21" s="2">
        <f t="shared" si="0"/>
        <v>4838.4235849736515</v>
      </c>
      <c r="C21" s="2">
        <v>3515.9689850054447</v>
      </c>
      <c r="D21" s="2">
        <v>3515.9689850054447</v>
      </c>
      <c r="E21" s="2">
        <v>3515.9689850054447</v>
      </c>
      <c r="F21" s="2">
        <v>3515.9689850054447</v>
      </c>
      <c r="G21" s="2">
        <v>4065.9529603135602</v>
      </c>
      <c r="H21" s="2">
        <v>4065.9529603135602</v>
      </c>
      <c r="I21" s="2">
        <v>4065.9529603135602</v>
      </c>
      <c r="J21" s="2">
        <v>4065.9529603135602</v>
      </c>
      <c r="K21" s="2">
        <v>5342.7014744216813</v>
      </c>
      <c r="L21" s="2">
        <v>5342.7014744216813</v>
      </c>
      <c r="M21" s="2">
        <v>5342.7014744216813</v>
      </c>
      <c r="N21" s="2">
        <v>5342.7014744216813</v>
      </c>
      <c r="O21" s="2">
        <v>5519.4820379135763</v>
      </c>
      <c r="P21" s="2">
        <v>5519.4820379135763</v>
      </c>
      <c r="Q21" s="2">
        <v>5519.4820379135763</v>
      </c>
      <c r="R21" s="2">
        <v>5519.4820379135763</v>
      </c>
      <c r="S21" s="2">
        <v>5519.4820379135763</v>
      </c>
      <c r="T21" s="2">
        <v>3240.976997351388</v>
      </c>
      <c r="U21" s="2">
        <v>3240.976997351388</v>
      </c>
      <c r="V21" s="2">
        <v>3240.976997351388</v>
      </c>
      <c r="W21" s="2">
        <v>3240.976997351388</v>
      </c>
      <c r="X21" s="2">
        <v>5499.8397530811426</v>
      </c>
      <c r="Y21" s="2">
        <v>5499.8397530811426</v>
      </c>
      <c r="Z21" s="2">
        <v>5499.8397530811426</v>
      </c>
      <c r="AA21" s="2">
        <v>5499.8397530811426</v>
      </c>
      <c r="AB21" s="2">
        <v>5499.8397530811426</v>
      </c>
      <c r="AC21" s="2">
        <v>3044.5541490270616</v>
      </c>
      <c r="AD21" s="2">
        <v>3044.5541490270616</v>
      </c>
      <c r="AE21" s="2">
        <v>3044.5541490270616</v>
      </c>
      <c r="AF21" s="2">
        <v>3044.5541490270616</v>
      </c>
      <c r="AG21" s="2">
        <v>3044.5541490270616</v>
      </c>
      <c r="AH21" s="2">
        <v>2965.985009697331</v>
      </c>
      <c r="AI21" s="2">
        <v>2965.985009697331</v>
      </c>
      <c r="AJ21" s="2">
        <v>2965.985009697331</v>
      </c>
      <c r="AK21" s="2">
        <v>2965.985009697331</v>
      </c>
      <c r="AL21" s="2">
        <v>5676.6203165730376</v>
      </c>
      <c r="AM21" s="2">
        <v>5676.6203165730376</v>
      </c>
      <c r="AN21" s="2">
        <v>5676.6203165730376</v>
      </c>
      <c r="AO21" s="2">
        <v>5676.6203165730376</v>
      </c>
      <c r="AP21" s="2">
        <v>5676.6203165730376</v>
      </c>
      <c r="AQ21" s="2">
        <v>5224.8477654270855</v>
      </c>
      <c r="AR21" s="2">
        <v>5224.8477654270855</v>
      </c>
      <c r="AS21" s="2">
        <v>5224.8477654270855</v>
      </c>
      <c r="AT21" s="2">
        <v>5224.8477654270855</v>
      </c>
      <c r="AU21" s="2">
        <v>6992.6534003460256</v>
      </c>
      <c r="AV21" s="2">
        <v>6992.6534003460256</v>
      </c>
      <c r="AW21" s="2">
        <v>6992.6534003460256</v>
      </c>
      <c r="AX21" s="2">
        <v>6992.6534003460256</v>
      </c>
      <c r="AY21" s="2">
        <v>6874.799691351428</v>
      </c>
      <c r="AZ21" s="2">
        <v>6874.799691351428</v>
      </c>
      <c r="BA21" s="2">
        <v>6874.799691351428</v>
      </c>
      <c r="BB21" s="2">
        <v>6874.799691351428</v>
      </c>
    </row>
    <row r="22" spans="1:54" x14ac:dyDescent="0.25">
      <c r="A22" t="s">
        <v>72</v>
      </c>
      <c r="B22" s="2">
        <f t="shared" si="0"/>
        <v>2666.8780539054455</v>
      </c>
      <c r="C22" s="2">
        <v>1937.9577582755794</v>
      </c>
      <c r="D22" s="2">
        <v>1937.9577582755794</v>
      </c>
      <c r="E22" s="2">
        <v>1937.9577582755794</v>
      </c>
      <c r="F22" s="2">
        <v>1937.9577582755794</v>
      </c>
      <c r="G22" s="2">
        <v>2241.1019886203635</v>
      </c>
      <c r="H22" s="2">
        <v>2241.1019886203635</v>
      </c>
      <c r="I22" s="2">
        <v>2241.1019886203635</v>
      </c>
      <c r="J22" s="2">
        <v>2241.1019886203635</v>
      </c>
      <c r="K22" s="2">
        <v>2944.8296662064672</v>
      </c>
      <c r="L22" s="2">
        <v>2944.8296662064672</v>
      </c>
      <c r="M22" s="2">
        <v>2944.8296662064672</v>
      </c>
      <c r="N22" s="2">
        <v>2944.8296662064672</v>
      </c>
      <c r="O22" s="2">
        <v>3042.268883103005</v>
      </c>
      <c r="P22" s="2">
        <v>3042.268883103005</v>
      </c>
      <c r="Q22" s="2">
        <v>3042.268883103005</v>
      </c>
      <c r="R22" s="2">
        <v>3042.268883103005</v>
      </c>
      <c r="S22" s="2">
        <v>3042.268883103005</v>
      </c>
      <c r="T22" s="2">
        <v>1786.3856431031882</v>
      </c>
      <c r="U22" s="2">
        <v>1786.3856431031882</v>
      </c>
      <c r="V22" s="2">
        <v>1786.3856431031882</v>
      </c>
      <c r="W22" s="2">
        <v>1786.3856431031882</v>
      </c>
      <c r="X22" s="2">
        <v>3031.4423034478341</v>
      </c>
      <c r="Y22" s="2">
        <v>3031.4423034478341</v>
      </c>
      <c r="Z22" s="2">
        <v>3031.4423034478341</v>
      </c>
      <c r="AA22" s="2">
        <v>3031.4423034478341</v>
      </c>
      <c r="AB22" s="2">
        <v>3031.4423034478341</v>
      </c>
      <c r="AC22" s="2">
        <v>1678.1198465514797</v>
      </c>
      <c r="AD22" s="2">
        <v>1678.1198465514797</v>
      </c>
      <c r="AE22" s="2">
        <v>1678.1198465514797</v>
      </c>
      <c r="AF22" s="2">
        <v>1678.1198465514797</v>
      </c>
      <c r="AG22" s="2">
        <v>1678.1198465514797</v>
      </c>
      <c r="AH22" s="2">
        <v>1634.8135279307965</v>
      </c>
      <c r="AI22" s="2">
        <v>1634.8135279307965</v>
      </c>
      <c r="AJ22" s="2">
        <v>1634.8135279307965</v>
      </c>
      <c r="AK22" s="2">
        <v>1634.8135279307965</v>
      </c>
      <c r="AL22" s="2">
        <v>3128.8815203443719</v>
      </c>
      <c r="AM22" s="2">
        <v>3128.8815203443719</v>
      </c>
      <c r="AN22" s="2">
        <v>3128.8815203443719</v>
      </c>
      <c r="AO22" s="2">
        <v>3128.8815203443719</v>
      </c>
      <c r="AP22" s="2">
        <v>3128.8815203443719</v>
      </c>
      <c r="AQ22" s="2">
        <v>2879.8701882754422</v>
      </c>
      <c r="AR22" s="2">
        <v>2879.8701882754422</v>
      </c>
      <c r="AS22" s="2">
        <v>2879.8701882754422</v>
      </c>
      <c r="AT22" s="2">
        <v>2879.8701882754422</v>
      </c>
      <c r="AU22" s="2">
        <v>3854.2623572408179</v>
      </c>
      <c r="AV22" s="2">
        <v>3854.2623572408179</v>
      </c>
      <c r="AW22" s="2">
        <v>3854.2623572408179</v>
      </c>
      <c r="AX22" s="2">
        <v>3854.2623572408179</v>
      </c>
      <c r="AY22" s="2">
        <v>3789.3028793097924</v>
      </c>
      <c r="AZ22" s="2">
        <v>3789.3028793097924</v>
      </c>
      <c r="BA22" s="2">
        <v>3789.3028793097924</v>
      </c>
      <c r="BB22" s="2">
        <v>3789.3028793097924</v>
      </c>
    </row>
    <row r="23" spans="1:54" x14ac:dyDescent="0.25">
      <c r="A23" t="s">
        <v>73</v>
      </c>
      <c r="B23" s="2">
        <f t="shared" si="0"/>
        <v>2666.8780539054455</v>
      </c>
      <c r="C23" s="2">
        <v>1937.9577582755794</v>
      </c>
      <c r="D23" s="2">
        <v>1937.9577582755794</v>
      </c>
      <c r="E23" s="2">
        <v>1937.9577582755794</v>
      </c>
      <c r="F23" s="2">
        <v>1937.9577582755794</v>
      </c>
      <c r="G23" s="2">
        <v>2241.1019886203635</v>
      </c>
      <c r="H23" s="2">
        <v>2241.1019886203635</v>
      </c>
      <c r="I23" s="2">
        <v>2241.1019886203635</v>
      </c>
      <c r="J23" s="2">
        <v>2241.1019886203635</v>
      </c>
      <c r="K23" s="2">
        <v>2944.8296662064672</v>
      </c>
      <c r="L23" s="2">
        <v>2944.8296662064672</v>
      </c>
      <c r="M23" s="2">
        <v>2944.8296662064672</v>
      </c>
      <c r="N23" s="2">
        <v>2944.8296662064672</v>
      </c>
      <c r="O23" s="2">
        <v>3042.268883103005</v>
      </c>
      <c r="P23" s="2">
        <v>3042.268883103005</v>
      </c>
      <c r="Q23" s="2">
        <v>3042.268883103005</v>
      </c>
      <c r="R23" s="2">
        <v>3042.268883103005</v>
      </c>
      <c r="S23" s="2">
        <v>3042.268883103005</v>
      </c>
      <c r="T23" s="2">
        <v>1786.3856431031882</v>
      </c>
      <c r="U23" s="2">
        <v>1786.3856431031882</v>
      </c>
      <c r="V23" s="2">
        <v>1786.3856431031882</v>
      </c>
      <c r="W23" s="2">
        <v>1786.3856431031882</v>
      </c>
      <c r="X23" s="2">
        <v>3031.4423034478341</v>
      </c>
      <c r="Y23" s="2">
        <v>3031.4423034478341</v>
      </c>
      <c r="Z23" s="2">
        <v>3031.4423034478341</v>
      </c>
      <c r="AA23" s="2">
        <v>3031.4423034478341</v>
      </c>
      <c r="AB23" s="2">
        <v>3031.4423034478341</v>
      </c>
      <c r="AC23" s="2">
        <v>1678.1198465514797</v>
      </c>
      <c r="AD23" s="2">
        <v>1678.1198465514797</v>
      </c>
      <c r="AE23" s="2">
        <v>1678.1198465514797</v>
      </c>
      <c r="AF23" s="2">
        <v>1678.1198465514797</v>
      </c>
      <c r="AG23" s="2">
        <v>1678.1198465514797</v>
      </c>
      <c r="AH23" s="2">
        <v>1634.8135279307965</v>
      </c>
      <c r="AI23" s="2">
        <v>1634.8135279307965</v>
      </c>
      <c r="AJ23" s="2">
        <v>1634.8135279307965</v>
      </c>
      <c r="AK23" s="2">
        <v>1634.8135279307965</v>
      </c>
      <c r="AL23" s="2">
        <v>3128.8815203443719</v>
      </c>
      <c r="AM23" s="2">
        <v>3128.8815203443719</v>
      </c>
      <c r="AN23" s="2">
        <v>3128.8815203443719</v>
      </c>
      <c r="AO23" s="2">
        <v>3128.8815203443719</v>
      </c>
      <c r="AP23" s="2">
        <v>3128.8815203443719</v>
      </c>
      <c r="AQ23" s="2">
        <v>2879.8701882754422</v>
      </c>
      <c r="AR23" s="2">
        <v>2879.8701882754422</v>
      </c>
      <c r="AS23" s="2">
        <v>2879.8701882754422</v>
      </c>
      <c r="AT23" s="2">
        <v>2879.8701882754422</v>
      </c>
      <c r="AU23" s="2">
        <v>3854.2623572408179</v>
      </c>
      <c r="AV23" s="2">
        <v>3854.2623572408179</v>
      </c>
      <c r="AW23" s="2">
        <v>3854.2623572408179</v>
      </c>
      <c r="AX23" s="2">
        <v>3854.2623572408179</v>
      </c>
      <c r="AY23" s="2">
        <v>3789.3028793097924</v>
      </c>
      <c r="AZ23" s="2">
        <v>3789.3028793097924</v>
      </c>
      <c r="BA23" s="2">
        <v>3789.3028793097924</v>
      </c>
      <c r="BB23" s="2">
        <v>3789.3028793097924</v>
      </c>
    </row>
    <row r="24" spans="1:54" x14ac:dyDescent="0.25">
      <c r="A24" t="s">
        <v>74</v>
      </c>
      <c r="B24" s="2">
        <f t="shared" si="0"/>
        <v>4838.4235849736515</v>
      </c>
      <c r="C24" s="2">
        <v>3515.9689850054447</v>
      </c>
      <c r="D24" s="2">
        <v>3515.9689850054447</v>
      </c>
      <c r="E24" s="2">
        <v>3515.9689850054447</v>
      </c>
      <c r="F24" s="2">
        <v>3515.9689850054447</v>
      </c>
      <c r="G24" s="2">
        <v>4065.9529603135602</v>
      </c>
      <c r="H24" s="2">
        <v>4065.9529603135602</v>
      </c>
      <c r="I24" s="2">
        <v>4065.9529603135602</v>
      </c>
      <c r="J24" s="2">
        <v>4065.9529603135602</v>
      </c>
      <c r="K24" s="2">
        <v>5342.7014744216813</v>
      </c>
      <c r="L24" s="2">
        <v>5342.7014744216813</v>
      </c>
      <c r="M24" s="2">
        <v>5342.7014744216813</v>
      </c>
      <c r="N24" s="2">
        <v>5342.7014744216813</v>
      </c>
      <c r="O24" s="2">
        <v>5519.4820379135763</v>
      </c>
      <c r="P24" s="2">
        <v>5519.4820379135763</v>
      </c>
      <c r="Q24" s="2">
        <v>5519.4820379135763</v>
      </c>
      <c r="R24" s="2">
        <v>5519.4820379135763</v>
      </c>
      <c r="S24" s="2">
        <v>5519.4820379135763</v>
      </c>
      <c r="T24" s="2">
        <v>3240.976997351388</v>
      </c>
      <c r="U24" s="2">
        <v>3240.976997351388</v>
      </c>
      <c r="V24" s="2">
        <v>3240.976997351388</v>
      </c>
      <c r="W24" s="2">
        <v>3240.976997351388</v>
      </c>
      <c r="X24" s="2">
        <v>5499.8397530811426</v>
      </c>
      <c r="Y24" s="2">
        <v>5499.8397530811426</v>
      </c>
      <c r="Z24" s="2">
        <v>5499.8397530811426</v>
      </c>
      <c r="AA24" s="2">
        <v>5499.8397530811426</v>
      </c>
      <c r="AB24" s="2">
        <v>5499.8397530811426</v>
      </c>
      <c r="AC24" s="2">
        <v>3044.5541490270616</v>
      </c>
      <c r="AD24" s="2">
        <v>3044.5541490270616</v>
      </c>
      <c r="AE24" s="2">
        <v>3044.5541490270616</v>
      </c>
      <c r="AF24" s="2">
        <v>3044.5541490270616</v>
      </c>
      <c r="AG24" s="2">
        <v>3044.5541490270616</v>
      </c>
      <c r="AH24" s="2">
        <v>2965.985009697331</v>
      </c>
      <c r="AI24" s="2">
        <v>2965.985009697331</v>
      </c>
      <c r="AJ24" s="2">
        <v>2965.985009697331</v>
      </c>
      <c r="AK24" s="2">
        <v>2965.985009697331</v>
      </c>
      <c r="AL24" s="2">
        <v>5676.6203165730376</v>
      </c>
      <c r="AM24" s="2">
        <v>5676.6203165730376</v>
      </c>
      <c r="AN24" s="2">
        <v>5676.6203165730376</v>
      </c>
      <c r="AO24" s="2">
        <v>5676.6203165730376</v>
      </c>
      <c r="AP24" s="2">
        <v>5676.6203165730376</v>
      </c>
      <c r="AQ24" s="2">
        <v>5224.8477654270855</v>
      </c>
      <c r="AR24" s="2">
        <v>5224.8477654270855</v>
      </c>
      <c r="AS24" s="2">
        <v>5224.8477654270855</v>
      </c>
      <c r="AT24" s="2">
        <v>5224.8477654270855</v>
      </c>
      <c r="AU24" s="2">
        <v>6992.6534003460256</v>
      </c>
      <c r="AV24" s="2">
        <v>6992.6534003460256</v>
      </c>
      <c r="AW24" s="2">
        <v>6992.6534003460256</v>
      </c>
      <c r="AX24" s="2">
        <v>6992.6534003460256</v>
      </c>
      <c r="AY24" s="2">
        <v>6874.799691351428</v>
      </c>
      <c r="AZ24" s="2">
        <v>6874.799691351428</v>
      </c>
      <c r="BA24" s="2">
        <v>6874.799691351428</v>
      </c>
      <c r="BB24" s="2">
        <v>6874.799691351428</v>
      </c>
    </row>
    <row r="25" spans="1:54" x14ac:dyDescent="0.25">
      <c r="A25" t="s">
        <v>75</v>
      </c>
      <c r="B25" s="2">
        <f t="shared" si="0"/>
        <v>2666.8780539054455</v>
      </c>
      <c r="C25" s="2">
        <v>1937.9577582755794</v>
      </c>
      <c r="D25" s="2">
        <v>1937.9577582755794</v>
      </c>
      <c r="E25" s="2">
        <v>1937.9577582755794</v>
      </c>
      <c r="F25" s="2">
        <v>1937.9577582755794</v>
      </c>
      <c r="G25" s="2">
        <v>2241.1019886203635</v>
      </c>
      <c r="H25" s="2">
        <v>2241.1019886203635</v>
      </c>
      <c r="I25" s="2">
        <v>2241.1019886203635</v>
      </c>
      <c r="J25" s="2">
        <v>2241.1019886203635</v>
      </c>
      <c r="K25" s="2">
        <v>2944.8296662064672</v>
      </c>
      <c r="L25" s="2">
        <v>2944.8296662064672</v>
      </c>
      <c r="M25" s="2">
        <v>2944.8296662064672</v>
      </c>
      <c r="N25" s="2">
        <v>2944.8296662064672</v>
      </c>
      <c r="O25" s="2">
        <v>3042.268883103005</v>
      </c>
      <c r="P25" s="2">
        <v>3042.268883103005</v>
      </c>
      <c r="Q25" s="2">
        <v>3042.268883103005</v>
      </c>
      <c r="R25" s="2">
        <v>3042.268883103005</v>
      </c>
      <c r="S25" s="2">
        <v>3042.268883103005</v>
      </c>
      <c r="T25" s="2">
        <v>1786.3856431031882</v>
      </c>
      <c r="U25" s="2">
        <v>1786.3856431031882</v>
      </c>
      <c r="V25" s="2">
        <v>1786.3856431031882</v>
      </c>
      <c r="W25" s="2">
        <v>1786.3856431031882</v>
      </c>
      <c r="X25" s="2">
        <v>3031.4423034478341</v>
      </c>
      <c r="Y25" s="2">
        <v>3031.4423034478341</v>
      </c>
      <c r="Z25" s="2">
        <v>3031.4423034478341</v>
      </c>
      <c r="AA25" s="2">
        <v>3031.4423034478341</v>
      </c>
      <c r="AB25" s="2">
        <v>3031.4423034478341</v>
      </c>
      <c r="AC25" s="2">
        <v>1678.1198465514797</v>
      </c>
      <c r="AD25" s="2">
        <v>1678.1198465514797</v>
      </c>
      <c r="AE25" s="2">
        <v>1678.1198465514797</v>
      </c>
      <c r="AF25" s="2">
        <v>1678.1198465514797</v>
      </c>
      <c r="AG25" s="2">
        <v>1678.1198465514797</v>
      </c>
      <c r="AH25" s="2">
        <v>1634.8135279307965</v>
      </c>
      <c r="AI25" s="2">
        <v>1634.8135279307965</v>
      </c>
      <c r="AJ25" s="2">
        <v>1634.8135279307965</v>
      </c>
      <c r="AK25" s="2">
        <v>1634.8135279307965</v>
      </c>
      <c r="AL25" s="2">
        <v>3128.8815203443719</v>
      </c>
      <c r="AM25" s="2">
        <v>3128.8815203443719</v>
      </c>
      <c r="AN25" s="2">
        <v>3128.8815203443719</v>
      </c>
      <c r="AO25" s="2">
        <v>3128.8815203443719</v>
      </c>
      <c r="AP25" s="2">
        <v>3128.8815203443719</v>
      </c>
      <c r="AQ25" s="2">
        <v>2879.8701882754422</v>
      </c>
      <c r="AR25" s="2">
        <v>2879.8701882754422</v>
      </c>
      <c r="AS25" s="2">
        <v>2879.8701882754422</v>
      </c>
      <c r="AT25" s="2">
        <v>2879.8701882754422</v>
      </c>
      <c r="AU25" s="2">
        <v>3854.2623572408179</v>
      </c>
      <c r="AV25" s="2">
        <v>3854.2623572408179</v>
      </c>
      <c r="AW25" s="2">
        <v>3854.2623572408179</v>
      </c>
      <c r="AX25" s="2">
        <v>3854.2623572408179</v>
      </c>
      <c r="AY25" s="2">
        <v>3789.3028793097924</v>
      </c>
      <c r="AZ25" s="2">
        <v>3789.3028793097924</v>
      </c>
      <c r="BA25" s="2">
        <v>3789.3028793097924</v>
      </c>
      <c r="BB25" s="2">
        <v>3789.3028793097924</v>
      </c>
    </row>
    <row r="26" spans="1:54" x14ac:dyDescent="0.25">
      <c r="A26" t="s">
        <v>76</v>
      </c>
      <c r="B26" s="2">
        <f t="shared" si="0"/>
        <v>2666.8780539054455</v>
      </c>
      <c r="C26" s="2">
        <v>1937.9577582755794</v>
      </c>
      <c r="D26" s="2">
        <v>1937.9577582755794</v>
      </c>
      <c r="E26" s="2">
        <v>1937.9577582755794</v>
      </c>
      <c r="F26" s="2">
        <v>1937.9577582755794</v>
      </c>
      <c r="G26" s="2">
        <v>2241.1019886203635</v>
      </c>
      <c r="H26" s="2">
        <v>2241.1019886203635</v>
      </c>
      <c r="I26" s="2">
        <v>2241.1019886203635</v>
      </c>
      <c r="J26" s="2">
        <v>2241.1019886203635</v>
      </c>
      <c r="K26" s="2">
        <v>2944.8296662064672</v>
      </c>
      <c r="L26" s="2">
        <v>2944.8296662064672</v>
      </c>
      <c r="M26" s="2">
        <v>2944.8296662064672</v>
      </c>
      <c r="N26" s="2">
        <v>2944.8296662064672</v>
      </c>
      <c r="O26" s="2">
        <v>3042.268883103005</v>
      </c>
      <c r="P26" s="2">
        <v>3042.268883103005</v>
      </c>
      <c r="Q26" s="2">
        <v>3042.268883103005</v>
      </c>
      <c r="R26" s="2">
        <v>3042.268883103005</v>
      </c>
      <c r="S26" s="2">
        <v>3042.268883103005</v>
      </c>
      <c r="T26" s="2">
        <v>1786.3856431031882</v>
      </c>
      <c r="U26" s="2">
        <v>1786.3856431031882</v>
      </c>
      <c r="V26" s="2">
        <v>1786.3856431031882</v>
      </c>
      <c r="W26" s="2">
        <v>1786.3856431031882</v>
      </c>
      <c r="X26" s="2">
        <v>3031.4423034478341</v>
      </c>
      <c r="Y26" s="2">
        <v>3031.4423034478341</v>
      </c>
      <c r="Z26" s="2">
        <v>3031.4423034478341</v>
      </c>
      <c r="AA26" s="2">
        <v>3031.4423034478341</v>
      </c>
      <c r="AB26" s="2">
        <v>3031.4423034478341</v>
      </c>
      <c r="AC26" s="2">
        <v>1678.1198465514797</v>
      </c>
      <c r="AD26" s="2">
        <v>1678.1198465514797</v>
      </c>
      <c r="AE26" s="2">
        <v>1678.1198465514797</v>
      </c>
      <c r="AF26" s="2">
        <v>1678.1198465514797</v>
      </c>
      <c r="AG26" s="2">
        <v>1678.1198465514797</v>
      </c>
      <c r="AH26" s="2">
        <v>1634.8135279307965</v>
      </c>
      <c r="AI26" s="2">
        <v>1634.8135279307965</v>
      </c>
      <c r="AJ26" s="2">
        <v>1634.8135279307965</v>
      </c>
      <c r="AK26" s="2">
        <v>1634.8135279307965</v>
      </c>
      <c r="AL26" s="2">
        <v>3128.8815203443719</v>
      </c>
      <c r="AM26" s="2">
        <v>3128.8815203443719</v>
      </c>
      <c r="AN26" s="2">
        <v>3128.8815203443719</v>
      </c>
      <c r="AO26" s="2">
        <v>3128.8815203443719</v>
      </c>
      <c r="AP26" s="2">
        <v>3128.8815203443719</v>
      </c>
      <c r="AQ26" s="2">
        <v>2879.8701882754422</v>
      </c>
      <c r="AR26" s="2">
        <v>2879.8701882754422</v>
      </c>
      <c r="AS26" s="2">
        <v>2879.8701882754422</v>
      </c>
      <c r="AT26" s="2">
        <v>2879.8701882754422</v>
      </c>
      <c r="AU26" s="2">
        <v>3854.2623572408179</v>
      </c>
      <c r="AV26" s="2">
        <v>3854.2623572408179</v>
      </c>
      <c r="AW26" s="2">
        <v>3854.2623572408179</v>
      </c>
      <c r="AX26" s="2">
        <v>3854.2623572408179</v>
      </c>
      <c r="AY26" s="2">
        <v>3789.3028793097924</v>
      </c>
      <c r="AZ26" s="2">
        <v>3789.3028793097924</v>
      </c>
      <c r="BA26" s="2">
        <v>3789.3028793097924</v>
      </c>
      <c r="BB26" s="2">
        <v>3789.3028793097924</v>
      </c>
    </row>
    <row r="27" spans="1:54" x14ac:dyDescent="0.25">
      <c r="A27" t="s">
        <v>77</v>
      </c>
      <c r="B27" s="2">
        <f t="shared" si="0"/>
        <v>4838.4235849736515</v>
      </c>
      <c r="C27" s="2">
        <v>3515.9689850054447</v>
      </c>
      <c r="D27" s="2">
        <v>3515.9689850054447</v>
      </c>
      <c r="E27" s="2">
        <v>3515.9689850054447</v>
      </c>
      <c r="F27" s="2">
        <v>3515.9689850054447</v>
      </c>
      <c r="G27" s="2">
        <v>4065.9529603135602</v>
      </c>
      <c r="H27" s="2">
        <v>4065.9529603135602</v>
      </c>
      <c r="I27" s="2">
        <v>4065.9529603135602</v>
      </c>
      <c r="J27" s="2">
        <v>4065.9529603135602</v>
      </c>
      <c r="K27" s="2">
        <v>5342.7014744216813</v>
      </c>
      <c r="L27" s="2">
        <v>5342.7014744216813</v>
      </c>
      <c r="M27" s="2">
        <v>5342.7014744216813</v>
      </c>
      <c r="N27" s="2">
        <v>5342.7014744216813</v>
      </c>
      <c r="O27" s="2">
        <v>5519.4820379135763</v>
      </c>
      <c r="P27" s="2">
        <v>5519.4820379135763</v>
      </c>
      <c r="Q27" s="2">
        <v>5519.4820379135763</v>
      </c>
      <c r="R27" s="2">
        <v>5519.4820379135763</v>
      </c>
      <c r="S27" s="2">
        <v>5519.4820379135763</v>
      </c>
      <c r="T27" s="2">
        <v>3240.976997351388</v>
      </c>
      <c r="U27" s="2">
        <v>3240.976997351388</v>
      </c>
      <c r="V27" s="2">
        <v>3240.976997351388</v>
      </c>
      <c r="W27" s="2">
        <v>3240.976997351388</v>
      </c>
      <c r="X27" s="2">
        <v>5499.8397530811426</v>
      </c>
      <c r="Y27" s="2">
        <v>5499.8397530811426</v>
      </c>
      <c r="Z27" s="2">
        <v>5499.8397530811426</v>
      </c>
      <c r="AA27" s="2">
        <v>5499.8397530811426</v>
      </c>
      <c r="AB27" s="2">
        <v>5499.8397530811426</v>
      </c>
      <c r="AC27" s="2">
        <v>3044.5541490270616</v>
      </c>
      <c r="AD27" s="2">
        <v>3044.5541490270616</v>
      </c>
      <c r="AE27" s="2">
        <v>3044.5541490270616</v>
      </c>
      <c r="AF27" s="2">
        <v>3044.5541490270616</v>
      </c>
      <c r="AG27" s="2">
        <v>3044.5541490270616</v>
      </c>
      <c r="AH27" s="2">
        <v>2965.985009697331</v>
      </c>
      <c r="AI27" s="2">
        <v>2965.985009697331</v>
      </c>
      <c r="AJ27" s="2">
        <v>2965.985009697331</v>
      </c>
      <c r="AK27" s="2">
        <v>2965.985009697331</v>
      </c>
      <c r="AL27" s="2">
        <v>5676.6203165730376</v>
      </c>
      <c r="AM27" s="2">
        <v>5676.6203165730376</v>
      </c>
      <c r="AN27" s="2">
        <v>5676.6203165730376</v>
      </c>
      <c r="AO27" s="2">
        <v>5676.6203165730376</v>
      </c>
      <c r="AP27" s="2">
        <v>5676.6203165730376</v>
      </c>
      <c r="AQ27" s="2">
        <v>5224.8477654270855</v>
      </c>
      <c r="AR27" s="2">
        <v>5224.8477654270855</v>
      </c>
      <c r="AS27" s="2">
        <v>5224.8477654270855</v>
      </c>
      <c r="AT27" s="2">
        <v>5224.8477654270855</v>
      </c>
      <c r="AU27" s="2">
        <v>6992.6534003460256</v>
      </c>
      <c r="AV27" s="2">
        <v>6992.6534003460256</v>
      </c>
      <c r="AW27" s="2">
        <v>6992.6534003460256</v>
      </c>
      <c r="AX27" s="2">
        <v>6992.6534003460256</v>
      </c>
      <c r="AY27" s="2">
        <v>6874.799691351428</v>
      </c>
      <c r="AZ27" s="2">
        <v>6874.799691351428</v>
      </c>
      <c r="BA27" s="2">
        <v>6874.799691351428</v>
      </c>
      <c r="BB27" s="2">
        <v>6874.799691351428</v>
      </c>
    </row>
    <row r="28" spans="1:54" x14ac:dyDescent="0.25">
      <c r="A28" t="s">
        <v>78</v>
      </c>
      <c r="B28" s="2">
        <f t="shared" si="0"/>
        <v>2666.8780539054455</v>
      </c>
      <c r="C28" s="2">
        <v>1937.9577582755794</v>
      </c>
      <c r="D28" s="2">
        <v>1937.9577582755794</v>
      </c>
      <c r="E28" s="2">
        <v>1937.9577582755794</v>
      </c>
      <c r="F28" s="2">
        <v>1937.9577582755794</v>
      </c>
      <c r="G28" s="2">
        <v>2241.1019886203635</v>
      </c>
      <c r="H28" s="2">
        <v>2241.1019886203635</v>
      </c>
      <c r="I28" s="2">
        <v>2241.1019886203635</v>
      </c>
      <c r="J28" s="2">
        <v>2241.1019886203635</v>
      </c>
      <c r="K28" s="2">
        <v>2944.8296662064672</v>
      </c>
      <c r="L28" s="2">
        <v>2944.8296662064672</v>
      </c>
      <c r="M28" s="2">
        <v>2944.8296662064672</v>
      </c>
      <c r="N28" s="2">
        <v>2944.8296662064672</v>
      </c>
      <c r="O28" s="2">
        <v>3042.268883103005</v>
      </c>
      <c r="P28" s="2">
        <v>3042.268883103005</v>
      </c>
      <c r="Q28" s="2">
        <v>3042.268883103005</v>
      </c>
      <c r="R28" s="2">
        <v>3042.268883103005</v>
      </c>
      <c r="S28" s="2">
        <v>3042.268883103005</v>
      </c>
      <c r="T28" s="2">
        <v>1786.3856431031882</v>
      </c>
      <c r="U28" s="2">
        <v>1786.3856431031882</v>
      </c>
      <c r="V28" s="2">
        <v>1786.3856431031882</v>
      </c>
      <c r="W28" s="2">
        <v>1786.3856431031882</v>
      </c>
      <c r="X28" s="2">
        <v>3031.4423034478341</v>
      </c>
      <c r="Y28" s="2">
        <v>3031.4423034478341</v>
      </c>
      <c r="Z28" s="2">
        <v>3031.4423034478341</v>
      </c>
      <c r="AA28" s="2">
        <v>3031.4423034478341</v>
      </c>
      <c r="AB28" s="2">
        <v>3031.4423034478341</v>
      </c>
      <c r="AC28" s="2">
        <v>1678.1198465514797</v>
      </c>
      <c r="AD28" s="2">
        <v>1678.1198465514797</v>
      </c>
      <c r="AE28" s="2">
        <v>1678.1198465514797</v>
      </c>
      <c r="AF28" s="2">
        <v>1678.1198465514797</v>
      </c>
      <c r="AG28" s="2">
        <v>1678.1198465514797</v>
      </c>
      <c r="AH28" s="2">
        <v>1634.8135279307965</v>
      </c>
      <c r="AI28" s="2">
        <v>1634.8135279307965</v>
      </c>
      <c r="AJ28" s="2">
        <v>1634.8135279307965</v>
      </c>
      <c r="AK28" s="2">
        <v>1634.8135279307965</v>
      </c>
      <c r="AL28" s="2">
        <v>3128.8815203443719</v>
      </c>
      <c r="AM28" s="2">
        <v>3128.8815203443719</v>
      </c>
      <c r="AN28" s="2">
        <v>3128.8815203443719</v>
      </c>
      <c r="AO28" s="2">
        <v>3128.8815203443719</v>
      </c>
      <c r="AP28" s="2">
        <v>3128.8815203443719</v>
      </c>
      <c r="AQ28" s="2">
        <v>2879.8701882754422</v>
      </c>
      <c r="AR28" s="2">
        <v>2879.8701882754422</v>
      </c>
      <c r="AS28" s="2">
        <v>2879.8701882754422</v>
      </c>
      <c r="AT28" s="2">
        <v>2879.8701882754422</v>
      </c>
      <c r="AU28" s="2">
        <v>3854.2623572408179</v>
      </c>
      <c r="AV28" s="2">
        <v>3854.2623572408179</v>
      </c>
      <c r="AW28" s="2">
        <v>3854.2623572408179</v>
      </c>
      <c r="AX28" s="2">
        <v>3854.2623572408179</v>
      </c>
      <c r="AY28" s="2">
        <v>3789.3028793097924</v>
      </c>
      <c r="AZ28" s="2">
        <v>3789.3028793097924</v>
      </c>
      <c r="BA28" s="2">
        <v>3789.3028793097924</v>
      </c>
      <c r="BB28" s="2">
        <v>3789.3028793097924</v>
      </c>
    </row>
    <row r="29" spans="1:54" x14ac:dyDescent="0.25">
      <c r="A29" t="s">
        <v>79</v>
      </c>
      <c r="B29" s="2">
        <f t="shared" si="0"/>
        <v>2666.8780539054455</v>
      </c>
      <c r="C29" s="2">
        <v>1937.9577582755794</v>
      </c>
      <c r="D29" s="2">
        <v>1937.9577582755794</v>
      </c>
      <c r="E29" s="2">
        <v>1937.9577582755794</v>
      </c>
      <c r="F29" s="2">
        <v>1937.9577582755794</v>
      </c>
      <c r="G29" s="2">
        <v>2241.1019886203635</v>
      </c>
      <c r="H29" s="2">
        <v>2241.1019886203635</v>
      </c>
      <c r="I29" s="2">
        <v>2241.1019886203635</v>
      </c>
      <c r="J29" s="2">
        <v>2241.1019886203635</v>
      </c>
      <c r="K29" s="2">
        <v>2944.8296662064672</v>
      </c>
      <c r="L29" s="2">
        <v>2944.8296662064672</v>
      </c>
      <c r="M29" s="2">
        <v>2944.8296662064672</v>
      </c>
      <c r="N29" s="2">
        <v>2944.8296662064672</v>
      </c>
      <c r="O29" s="2">
        <v>3042.268883103005</v>
      </c>
      <c r="P29" s="2">
        <v>3042.268883103005</v>
      </c>
      <c r="Q29" s="2">
        <v>3042.268883103005</v>
      </c>
      <c r="R29" s="2">
        <v>3042.268883103005</v>
      </c>
      <c r="S29" s="2">
        <v>3042.268883103005</v>
      </c>
      <c r="T29" s="2">
        <v>1786.3856431031882</v>
      </c>
      <c r="U29" s="2">
        <v>1786.3856431031882</v>
      </c>
      <c r="V29" s="2">
        <v>1786.3856431031882</v>
      </c>
      <c r="W29" s="2">
        <v>1786.3856431031882</v>
      </c>
      <c r="X29" s="2">
        <v>3031.4423034478341</v>
      </c>
      <c r="Y29" s="2">
        <v>3031.4423034478341</v>
      </c>
      <c r="Z29" s="2">
        <v>3031.4423034478341</v>
      </c>
      <c r="AA29" s="2">
        <v>3031.4423034478341</v>
      </c>
      <c r="AB29" s="2">
        <v>3031.4423034478341</v>
      </c>
      <c r="AC29" s="2">
        <v>1678.1198465514797</v>
      </c>
      <c r="AD29" s="2">
        <v>1678.1198465514797</v>
      </c>
      <c r="AE29" s="2">
        <v>1678.1198465514797</v>
      </c>
      <c r="AF29" s="2">
        <v>1678.1198465514797</v>
      </c>
      <c r="AG29" s="2">
        <v>1678.1198465514797</v>
      </c>
      <c r="AH29" s="2">
        <v>1634.8135279307965</v>
      </c>
      <c r="AI29" s="2">
        <v>1634.8135279307965</v>
      </c>
      <c r="AJ29" s="2">
        <v>1634.8135279307965</v>
      </c>
      <c r="AK29" s="2">
        <v>1634.8135279307965</v>
      </c>
      <c r="AL29" s="2">
        <v>3128.8815203443719</v>
      </c>
      <c r="AM29" s="2">
        <v>3128.8815203443719</v>
      </c>
      <c r="AN29" s="2">
        <v>3128.8815203443719</v>
      </c>
      <c r="AO29" s="2">
        <v>3128.8815203443719</v>
      </c>
      <c r="AP29" s="2">
        <v>3128.8815203443719</v>
      </c>
      <c r="AQ29" s="2">
        <v>2879.8701882754422</v>
      </c>
      <c r="AR29" s="2">
        <v>2879.8701882754422</v>
      </c>
      <c r="AS29" s="2">
        <v>2879.8701882754422</v>
      </c>
      <c r="AT29" s="2">
        <v>2879.8701882754422</v>
      </c>
      <c r="AU29" s="2">
        <v>3854.2623572408179</v>
      </c>
      <c r="AV29" s="2">
        <v>3854.2623572408179</v>
      </c>
      <c r="AW29" s="2">
        <v>3854.2623572408179</v>
      </c>
      <c r="AX29" s="2">
        <v>3854.2623572408179</v>
      </c>
      <c r="AY29" s="2">
        <v>3789.3028793097924</v>
      </c>
      <c r="AZ29" s="2">
        <v>3789.3028793097924</v>
      </c>
      <c r="BA29" s="2">
        <v>3789.3028793097924</v>
      </c>
      <c r="BB29" s="2">
        <v>3789.3028793097924</v>
      </c>
    </row>
    <row r="30" spans="1:54" x14ac:dyDescent="0.25">
      <c r="A30" t="s">
        <v>80</v>
      </c>
      <c r="B30" s="2">
        <f t="shared" si="0"/>
        <v>4838.4235849736515</v>
      </c>
      <c r="C30" s="2">
        <v>3515.9689850054447</v>
      </c>
      <c r="D30" s="2">
        <v>3515.9689850054447</v>
      </c>
      <c r="E30" s="2">
        <v>3515.9689850054447</v>
      </c>
      <c r="F30" s="2">
        <v>3515.9689850054447</v>
      </c>
      <c r="G30" s="2">
        <v>4065.9529603135602</v>
      </c>
      <c r="H30" s="2">
        <v>4065.9529603135602</v>
      </c>
      <c r="I30" s="2">
        <v>4065.9529603135602</v>
      </c>
      <c r="J30" s="2">
        <v>4065.9529603135602</v>
      </c>
      <c r="K30" s="2">
        <v>5342.7014744216813</v>
      </c>
      <c r="L30" s="2">
        <v>5342.7014744216813</v>
      </c>
      <c r="M30" s="2">
        <v>5342.7014744216813</v>
      </c>
      <c r="N30" s="2">
        <v>5342.7014744216813</v>
      </c>
      <c r="O30" s="2">
        <v>5519.4820379135763</v>
      </c>
      <c r="P30" s="2">
        <v>5519.4820379135763</v>
      </c>
      <c r="Q30" s="2">
        <v>5519.4820379135763</v>
      </c>
      <c r="R30" s="2">
        <v>5519.4820379135763</v>
      </c>
      <c r="S30" s="2">
        <v>5519.4820379135763</v>
      </c>
      <c r="T30" s="2">
        <v>3240.976997351388</v>
      </c>
      <c r="U30" s="2">
        <v>3240.976997351388</v>
      </c>
      <c r="V30" s="2">
        <v>3240.976997351388</v>
      </c>
      <c r="W30" s="2">
        <v>3240.976997351388</v>
      </c>
      <c r="X30" s="2">
        <v>5499.8397530811426</v>
      </c>
      <c r="Y30" s="2">
        <v>5499.8397530811426</v>
      </c>
      <c r="Z30" s="2">
        <v>5499.8397530811426</v>
      </c>
      <c r="AA30" s="2">
        <v>5499.8397530811426</v>
      </c>
      <c r="AB30" s="2">
        <v>5499.8397530811426</v>
      </c>
      <c r="AC30" s="2">
        <v>3044.5541490270616</v>
      </c>
      <c r="AD30" s="2">
        <v>3044.5541490270616</v>
      </c>
      <c r="AE30" s="2">
        <v>3044.5541490270616</v>
      </c>
      <c r="AF30" s="2">
        <v>3044.5541490270616</v>
      </c>
      <c r="AG30" s="2">
        <v>3044.5541490270616</v>
      </c>
      <c r="AH30" s="2">
        <v>2965.985009697331</v>
      </c>
      <c r="AI30" s="2">
        <v>2965.985009697331</v>
      </c>
      <c r="AJ30" s="2">
        <v>2965.985009697331</v>
      </c>
      <c r="AK30" s="2">
        <v>2965.985009697331</v>
      </c>
      <c r="AL30" s="2">
        <v>5676.6203165730376</v>
      </c>
      <c r="AM30" s="2">
        <v>5676.6203165730376</v>
      </c>
      <c r="AN30" s="2">
        <v>5676.6203165730376</v>
      </c>
      <c r="AO30" s="2">
        <v>5676.6203165730376</v>
      </c>
      <c r="AP30" s="2">
        <v>5676.6203165730376</v>
      </c>
      <c r="AQ30" s="2">
        <v>5224.8477654270855</v>
      </c>
      <c r="AR30" s="2">
        <v>5224.8477654270855</v>
      </c>
      <c r="AS30" s="2">
        <v>5224.8477654270855</v>
      </c>
      <c r="AT30" s="2">
        <v>5224.8477654270855</v>
      </c>
      <c r="AU30" s="2">
        <v>6992.6534003460256</v>
      </c>
      <c r="AV30" s="2">
        <v>6992.6534003460256</v>
      </c>
      <c r="AW30" s="2">
        <v>6992.6534003460256</v>
      </c>
      <c r="AX30" s="2">
        <v>6992.6534003460256</v>
      </c>
      <c r="AY30" s="2">
        <v>6874.799691351428</v>
      </c>
      <c r="AZ30" s="2">
        <v>6874.799691351428</v>
      </c>
      <c r="BA30" s="2">
        <v>6874.799691351428</v>
      </c>
      <c r="BB30" s="2">
        <v>6874.799691351428</v>
      </c>
    </row>
    <row r="31" spans="1:54" x14ac:dyDescent="0.25">
      <c r="A31" t="s">
        <v>81</v>
      </c>
      <c r="B31" s="2">
        <f t="shared" si="0"/>
        <v>2666.8780539054455</v>
      </c>
      <c r="C31" s="2">
        <v>1937.9577582755794</v>
      </c>
      <c r="D31" s="2">
        <v>1937.9577582755794</v>
      </c>
      <c r="E31" s="2">
        <v>1937.9577582755794</v>
      </c>
      <c r="F31" s="2">
        <v>1937.9577582755794</v>
      </c>
      <c r="G31" s="2">
        <v>2241.1019886203635</v>
      </c>
      <c r="H31" s="2">
        <v>2241.1019886203635</v>
      </c>
      <c r="I31" s="2">
        <v>2241.1019886203635</v>
      </c>
      <c r="J31" s="2">
        <v>2241.1019886203635</v>
      </c>
      <c r="K31" s="2">
        <v>2944.8296662064672</v>
      </c>
      <c r="L31" s="2">
        <v>2944.8296662064672</v>
      </c>
      <c r="M31" s="2">
        <v>2944.8296662064672</v>
      </c>
      <c r="N31" s="2">
        <v>2944.8296662064672</v>
      </c>
      <c r="O31" s="2">
        <v>3042.268883103005</v>
      </c>
      <c r="P31" s="2">
        <v>3042.268883103005</v>
      </c>
      <c r="Q31" s="2">
        <v>3042.268883103005</v>
      </c>
      <c r="R31" s="2">
        <v>3042.268883103005</v>
      </c>
      <c r="S31" s="2">
        <v>3042.268883103005</v>
      </c>
      <c r="T31" s="2">
        <v>1786.3856431031882</v>
      </c>
      <c r="U31" s="2">
        <v>1786.3856431031882</v>
      </c>
      <c r="V31" s="2">
        <v>1786.3856431031882</v>
      </c>
      <c r="W31" s="2">
        <v>1786.3856431031882</v>
      </c>
      <c r="X31" s="2">
        <v>3031.4423034478341</v>
      </c>
      <c r="Y31" s="2">
        <v>3031.4423034478341</v>
      </c>
      <c r="Z31" s="2">
        <v>3031.4423034478341</v>
      </c>
      <c r="AA31" s="2">
        <v>3031.4423034478341</v>
      </c>
      <c r="AB31" s="2">
        <v>3031.4423034478341</v>
      </c>
      <c r="AC31" s="2">
        <v>1678.1198465514797</v>
      </c>
      <c r="AD31" s="2">
        <v>1678.1198465514797</v>
      </c>
      <c r="AE31" s="2">
        <v>1678.1198465514797</v>
      </c>
      <c r="AF31" s="2">
        <v>1678.1198465514797</v>
      </c>
      <c r="AG31" s="2">
        <v>1678.1198465514797</v>
      </c>
      <c r="AH31" s="2">
        <v>1634.8135279307965</v>
      </c>
      <c r="AI31" s="2">
        <v>1634.8135279307965</v>
      </c>
      <c r="AJ31" s="2">
        <v>1634.8135279307965</v>
      </c>
      <c r="AK31" s="2">
        <v>1634.8135279307965</v>
      </c>
      <c r="AL31" s="2">
        <v>3128.8815203443719</v>
      </c>
      <c r="AM31" s="2">
        <v>3128.8815203443719</v>
      </c>
      <c r="AN31" s="2">
        <v>3128.8815203443719</v>
      </c>
      <c r="AO31" s="2">
        <v>3128.8815203443719</v>
      </c>
      <c r="AP31" s="2">
        <v>3128.8815203443719</v>
      </c>
      <c r="AQ31" s="2">
        <v>2879.8701882754422</v>
      </c>
      <c r="AR31" s="2">
        <v>2879.8701882754422</v>
      </c>
      <c r="AS31" s="2">
        <v>2879.8701882754422</v>
      </c>
      <c r="AT31" s="2">
        <v>2879.8701882754422</v>
      </c>
      <c r="AU31" s="2">
        <v>3854.2623572408179</v>
      </c>
      <c r="AV31" s="2">
        <v>3854.2623572408179</v>
      </c>
      <c r="AW31" s="2">
        <v>3854.2623572408179</v>
      </c>
      <c r="AX31" s="2">
        <v>3854.2623572408179</v>
      </c>
      <c r="AY31" s="2">
        <v>3789.3028793097924</v>
      </c>
      <c r="AZ31" s="2">
        <v>3789.3028793097924</v>
      </c>
      <c r="BA31" s="2">
        <v>3789.3028793097924</v>
      </c>
      <c r="BB31" s="2">
        <v>3789.3028793097924</v>
      </c>
    </row>
    <row r="32" spans="1:54" x14ac:dyDescent="0.25">
      <c r="A32" t="s">
        <v>82</v>
      </c>
      <c r="B32" s="2">
        <f t="shared" si="0"/>
        <v>905.00399669930744</v>
      </c>
      <c r="C32" s="2">
        <v>657.64518707761385</v>
      </c>
      <c r="D32" s="2">
        <v>657.64518707761385</v>
      </c>
      <c r="E32" s="2">
        <v>657.64518707761385</v>
      </c>
      <c r="F32" s="2">
        <v>657.64518707761385</v>
      </c>
      <c r="G32" s="2">
        <v>760.51705991657047</v>
      </c>
      <c r="H32" s="2">
        <v>760.51705991657047</v>
      </c>
      <c r="I32" s="2">
        <v>760.51705991657047</v>
      </c>
      <c r="J32" s="2">
        <v>760.51705991657047</v>
      </c>
      <c r="K32" s="2">
        <v>999.32676472129037</v>
      </c>
      <c r="L32" s="2">
        <v>999.32676472129037</v>
      </c>
      <c r="M32" s="2">
        <v>999.32676472129037</v>
      </c>
      <c r="N32" s="2">
        <v>999.32676472129037</v>
      </c>
      <c r="O32" s="2">
        <v>1032.3927238480981</v>
      </c>
      <c r="P32" s="2">
        <v>1032.3927238480981</v>
      </c>
      <c r="Q32" s="2">
        <v>1032.3927238480981</v>
      </c>
      <c r="R32" s="2">
        <v>1032.3927238480981</v>
      </c>
      <c r="S32" s="2">
        <v>1032.3927238480981</v>
      </c>
      <c r="T32" s="2">
        <v>606.20925065813583</v>
      </c>
      <c r="U32" s="2">
        <v>606.20925065813583</v>
      </c>
      <c r="V32" s="2">
        <v>606.20925065813583</v>
      </c>
      <c r="W32" s="2">
        <v>606.20925065813583</v>
      </c>
      <c r="X32" s="2">
        <v>1028.7187283895637</v>
      </c>
      <c r="Y32" s="2">
        <v>1028.7187283895637</v>
      </c>
      <c r="Z32" s="2">
        <v>1028.7187283895637</v>
      </c>
      <c r="AA32" s="2">
        <v>1028.7187283895637</v>
      </c>
      <c r="AB32" s="2">
        <v>1028.7187283895637</v>
      </c>
      <c r="AC32" s="2">
        <v>569.46929607279424</v>
      </c>
      <c r="AD32" s="2">
        <v>569.46929607279424</v>
      </c>
      <c r="AE32" s="2">
        <v>569.46929607279424</v>
      </c>
      <c r="AF32" s="2">
        <v>569.46929607279424</v>
      </c>
      <c r="AG32" s="2">
        <v>569.46929607279424</v>
      </c>
      <c r="AH32" s="2">
        <v>554.77331423865758</v>
      </c>
      <c r="AI32" s="2">
        <v>554.77331423865758</v>
      </c>
      <c r="AJ32" s="2">
        <v>554.77331423865758</v>
      </c>
      <c r="AK32" s="2">
        <v>554.77331423865758</v>
      </c>
      <c r="AL32" s="2">
        <v>1061.7846875163712</v>
      </c>
      <c r="AM32" s="2">
        <v>1061.7846875163712</v>
      </c>
      <c r="AN32" s="2">
        <v>1061.7846875163712</v>
      </c>
      <c r="AO32" s="2">
        <v>1061.7846875163712</v>
      </c>
      <c r="AP32" s="2">
        <v>1061.7846875163712</v>
      </c>
      <c r="AQ32" s="2">
        <v>977.28279197008544</v>
      </c>
      <c r="AR32" s="2">
        <v>977.28279197008544</v>
      </c>
      <c r="AS32" s="2">
        <v>977.28279197008544</v>
      </c>
      <c r="AT32" s="2">
        <v>977.28279197008544</v>
      </c>
      <c r="AU32" s="2">
        <v>1307.9423832381597</v>
      </c>
      <c r="AV32" s="2">
        <v>1307.9423832381597</v>
      </c>
      <c r="AW32" s="2">
        <v>1307.9423832381597</v>
      </c>
      <c r="AX32" s="2">
        <v>1307.9423832381597</v>
      </c>
      <c r="AY32" s="2">
        <v>1285.8984104869546</v>
      </c>
      <c r="AZ32" s="2">
        <v>1285.8984104869546</v>
      </c>
      <c r="BA32" s="2">
        <v>1285.8984104869546</v>
      </c>
      <c r="BB32" s="2">
        <v>1285.8984104869546</v>
      </c>
    </row>
    <row r="33" spans="1:54" x14ac:dyDescent="0.25">
      <c r="A33" t="s">
        <v>83</v>
      </c>
      <c r="B33" s="2">
        <f t="shared" si="0"/>
        <v>905.00399669930744</v>
      </c>
      <c r="C33" s="2">
        <v>657.64518707761385</v>
      </c>
      <c r="D33" s="2">
        <v>657.64518707761385</v>
      </c>
      <c r="E33" s="2">
        <v>657.64518707761385</v>
      </c>
      <c r="F33" s="2">
        <v>657.64518707761385</v>
      </c>
      <c r="G33" s="2">
        <v>760.51705991657047</v>
      </c>
      <c r="H33" s="2">
        <v>760.51705991657047</v>
      </c>
      <c r="I33" s="2">
        <v>760.51705991657047</v>
      </c>
      <c r="J33" s="2">
        <v>760.51705991657047</v>
      </c>
      <c r="K33" s="2">
        <v>999.32676472129037</v>
      </c>
      <c r="L33" s="2">
        <v>999.32676472129037</v>
      </c>
      <c r="M33" s="2">
        <v>999.32676472129037</v>
      </c>
      <c r="N33" s="2">
        <v>999.32676472129037</v>
      </c>
      <c r="O33" s="2">
        <v>1032.3927238480981</v>
      </c>
      <c r="P33" s="2">
        <v>1032.3927238480981</v>
      </c>
      <c r="Q33" s="2">
        <v>1032.3927238480981</v>
      </c>
      <c r="R33" s="2">
        <v>1032.3927238480981</v>
      </c>
      <c r="S33" s="2">
        <v>1032.3927238480981</v>
      </c>
      <c r="T33" s="2">
        <v>606.20925065813583</v>
      </c>
      <c r="U33" s="2">
        <v>606.20925065813583</v>
      </c>
      <c r="V33" s="2">
        <v>606.20925065813583</v>
      </c>
      <c r="W33" s="2">
        <v>606.20925065813583</v>
      </c>
      <c r="X33" s="2">
        <v>1028.7187283895637</v>
      </c>
      <c r="Y33" s="2">
        <v>1028.7187283895637</v>
      </c>
      <c r="Z33" s="2">
        <v>1028.7187283895637</v>
      </c>
      <c r="AA33" s="2">
        <v>1028.7187283895637</v>
      </c>
      <c r="AB33" s="2">
        <v>1028.7187283895637</v>
      </c>
      <c r="AC33" s="2">
        <v>569.46929607279424</v>
      </c>
      <c r="AD33" s="2">
        <v>569.46929607279424</v>
      </c>
      <c r="AE33" s="2">
        <v>569.46929607279424</v>
      </c>
      <c r="AF33" s="2">
        <v>569.46929607279424</v>
      </c>
      <c r="AG33" s="2">
        <v>569.46929607279424</v>
      </c>
      <c r="AH33" s="2">
        <v>554.77331423865758</v>
      </c>
      <c r="AI33" s="2">
        <v>554.77331423865758</v>
      </c>
      <c r="AJ33" s="2">
        <v>554.77331423865758</v>
      </c>
      <c r="AK33" s="2">
        <v>554.77331423865758</v>
      </c>
      <c r="AL33" s="2">
        <v>1061.7846875163712</v>
      </c>
      <c r="AM33" s="2">
        <v>1061.7846875163712</v>
      </c>
      <c r="AN33" s="2">
        <v>1061.7846875163712</v>
      </c>
      <c r="AO33" s="2">
        <v>1061.7846875163712</v>
      </c>
      <c r="AP33" s="2">
        <v>1061.7846875163712</v>
      </c>
      <c r="AQ33" s="2">
        <v>977.28279197008544</v>
      </c>
      <c r="AR33" s="2">
        <v>977.28279197008544</v>
      </c>
      <c r="AS33" s="2">
        <v>977.28279197008544</v>
      </c>
      <c r="AT33" s="2">
        <v>977.28279197008544</v>
      </c>
      <c r="AU33" s="2">
        <v>1307.9423832381597</v>
      </c>
      <c r="AV33" s="2">
        <v>1307.9423832381597</v>
      </c>
      <c r="AW33" s="2">
        <v>1307.9423832381597</v>
      </c>
      <c r="AX33" s="2">
        <v>1307.9423832381597</v>
      </c>
      <c r="AY33" s="2">
        <v>1285.8984104869546</v>
      </c>
      <c r="AZ33" s="2">
        <v>1285.8984104869546</v>
      </c>
      <c r="BA33" s="2">
        <v>1285.8984104869546</v>
      </c>
      <c r="BB33" s="2">
        <v>1285.8984104869546</v>
      </c>
    </row>
    <row r="34" spans="1:54" x14ac:dyDescent="0.25">
      <c r="A34" t="s">
        <v>84</v>
      </c>
      <c r="B34" s="2">
        <f t="shared" si="0"/>
        <v>905.00399669930744</v>
      </c>
      <c r="C34" s="2">
        <v>657.64518707761385</v>
      </c>
      <c r="D34" s="2">
        <v>657.64518707761385</v>
      </c>
      <c r="E34" s="2">
        <v>657.64518707761385</v>
      </c>
      <c r="F34" s="2">
        <v>657.64518707761385</v>
      </c>
      <c r="G34" s="2">
        <v>760.51705991657047</v>
      </c>
      <c r="H34" s="2">
        <v>760.51705991657047</v>
      </c>
      <c r="I34" s="2">
        <v>760.51705991657047</v>
      </c>
      <c r="J34" s="2">
        <v>760.51705991657047</v>
      </c>
      <c r="K34" s="2">
        <v>999.32676472129037</v>
      </c>
      <c r="L34" s="2">
        <v>999.32676472129037</v>
      </c>
      <c r="M34" s="2">
        <v>999.32676472129037</v>
      </c>
      <c r="N34" s="2">
        <v>999.32676472129037</v>
      </c>
      <c r="O34" s="2">
        <v>1032.3927238480981</v>
      </c>
      <c r="P34" s="2">
        <v>1032.3927238480981</v>
      </c>
      <c r="Q34" s="2">
        <v>1032.3927238480981</v>
      </c>
      <c r="R34" s="2">
        <v>1032.3927238480981</v>
      </c>
      <c r="S34" s="2">
        <v>1032.3927238480981</v>
      </c>
      <c r="T34" s="2">
        <v>606.20925065813583</v>
      </c>
      <c r="U34" s="2">
        <v>606.20925065813583</v>
      </c>
      <c r="V34" s="2">
        <v>606.20925065813583</v>
      </c>
      <c r="W34" s="2">
        <v>606.20925065813583</v>
      </c>
      <c r="X34" s="2">
        <v>1028.7187283895637</v>
      </c>
      <c r="Y34" s="2">
        <v>1028.7187283895637</v>
      </c>
      <c r="Z34" s="2">
        <v>1028.7187283895637</v>
      </c>
      <c r="AA34" s="2">
        <v>1028.7187283895637</v>
      </c>
      <c r="AB34" s="2">
        <v>1028.7187283895637</v>
      </c>
      <c r="AC34" s="2">
        <v>569.46929607279424</v>
      </c>
      <c r="AD34" s="2">
        <v>569.46929607279424</v>
      </c>
      <c r="AE34" s="2">
        <v>569.46929607279424</v>
      </c>
      <c r="AF34" s="2">
        <v>569.46929607279424</v>
      </c>
      <c r="AG34" s="2">
        <v>569.46929607279424</v>
      </c>
      <c r="AH34" s="2">
        <v>554.77331423865758</v>
      </c>
      <c r="AI34" s="2">
        <v>554.77331423865758</v>
      </c>
      <c r="AJ34" s="2">
        <v>554.77331423865758</v>
      </c>
      <c r="AK34" s="2">
        <v>554.77331423865758</v>
      </c>
      <c r="AL34" s="2">
        <v>1061.7846875163712</v>
      </c>
      <c r="AM34" s="2">
        <v>1061.7846875163712</v>
      </c>
      <c r="AN34" s="2">
        <v>1061.7846875163712</v>
      </c>
      <c r="AO34" s="2">
        <v>1061.7846875163712</v>
      </c>
      <c r="AP34" s="2">
        <v>1061.7846875163712</v>
      </c>
      <c r="AQ34" s="2">
        <v>977.28279197008544</v>
      </c>
      <c r="AR34" s="2">
        <v>977.28279197008544</v>
      </c>
      <c r="AS34" s="2">
        <v>977.28279197008544</v>
      </c>
      <c r="AT34" s="2">
        <v>977.28279197008544</v>
      </c>
      <c r="AU34" s="2">
        <v>1307.9423832381597</v>
      </c>
      <c r="AV34" s="2">
        <v>1307.9423832381597</v>
      </c>
      <c r="AW34" s="2">
        <v>1307.9423832381597</v>
      </c>
      <c r="AX34" s="2">
        <v>1307.9423832381597</v>
      </c>
      <c r="AY34" s="2">
        <v>1285.8984104869546</v>
      </c>
      <c r="AZ34" s="2">
        <v>1285.8984104869546</v>
      </c>
      <c r="BA34" s="2">
        <v>1285.8984104869546</v>
      </c>
      <c r="BB34" s="2">
        <v>1285.8984104869546</v>
      </c>
    </row>
    <row r="35" spans="1:54" x14ac:dyDescent="0.25">
      <c r="A35" t="s">
        <v>85</v>
      </c>
      <c r="B35" s="2">
        <f t="shared" si="0"/>
        <v>905.00399669930744</v>
      </c>
      <c r="C35" s="2">
        <v>657.64518707761385</v>
      </c>
      <c r="D35" s="2">
        <v>657.64518707761385</v>
      </c>
      <c r="E35" s="2">
        <v>657.64518707761385</v>
      </c>
      <c r="F35" s="2">
        <v>657.64518707761385</v>
      </c>
      <c r="G35" s="2">
        <v>760.51705991657047</v>
      </c>
      <c r="H35" s="2">
        <v>760.51705991657047</v>
      </c>
      <c r="I35" s="2">
        <v>760.51705991657047</v>
      </c>
      <c r="J35" s="2">
        <v>760.51705991657047</v>
      </c>
      <c r="K35" s="2">
        <v>999.32676472129037</v>
      </c>
      <c r="L35" s="2">
        <v>999.32676472129037</v>
      </c>
      <c r="M35" s="2">
        <v>999.32676472129037</v>
      </c>
      <c r="N35" s="2">
        <v>999.32676472129037</v>
      </c>
      <c r="O35" s="2">
        <v>1032.3927238480981</v>
      </c>
      <c r="P35" s="2">
        <v>1032.3927238480981</v>
      </c>
      <c r="Q35" s="2">
        <v>1032.3927238480981</v>
      </c>
      <c r="R35" s="2">
        <v>1032.3927238480981</v>
      </c>
      <c r="S35" s="2">
        <v>1032.3927238480981</v>
      </c>
      <c r="T35" s="2">
        <v>606.20925065813583</v>
      </c>
      <c r="U35" s="2">
        <v>606.20925065813583</v>
      </c>
      <c r="V35" s="2">
        <v>606.20925065813583</v>
      </c>
      <c r="W35" s="2">
        <v>606.20925065813583</v>
      </c>
      <c r="X35" s="2">
        <v>1028.7187283895637</v>
      </c>
      <c r="Y35" s="2">
        <v>1028.7187283895637</v>
      </c>
      <c r="Z35" s="2">
        <v>1028.7187283895637</v>
      </c>
      <c r="AA35" s="2">
        <v>1028.7187283895637</v>
      </c>
      <c r="AB35" s="2">
        <v>1028.7187283895637</v>
      </c>
      <c r="AC35" s="2">
        <v>569.46929607279424</v>
      </c>
      <c r="AD35" s="2">
        <v>569.46929607279424</v>
      </c>
      <c r="AE35" s="2">
        <v>569.46929607279424</v>
      </c>
      <c r="AF35" s="2">
        <v>569.46929607279424</v>
      </c>
      <c r="AG35" s="2">
        <v>569.46929607279424</v>
      </c>
      <c r="AH35" s="2">
        <v>554.77331423865758</v>
      </c>
      <c r="AI35" s="2">
        <v>554.77331423865758</v>
      </c>
      <c r="AJ35" s="2">
        <v>554.77331423865758</v>
      </c>
      <c r="AK35" s="2">
        <v>554.77331423865758</v>
      </c>
      <c r="AL35" s="2">
        <v>1061.7846875163712</v>
      </c>
      <c r="AM35" s="2">
        <v>1061.7846875163712</v>
      </c>
      <c r="AN35" s="2">
        <v>1061.7846875163712</v>
      </c>
      <c r="AO35" s="2">
        <v>1061.7846875163712</v>
      </c>
      <c r="AP35" s="2">
        <v>1061.7846875163712</v>
      </c>
      <c r="AQ35" s="2">
        <v>977.28279197008544</v>
      </c>
      <c r="AR35" s="2">
        <v>977.28279197008544</v>
      </c>
      <c r="AS35" s="2">
        <v>977.28279197008544</v>
      </c>
      <c r="AT35" s="2">
        <v>977.28279197008544</v>
      </c>
      <c r="AU35" s="2">
        <v>1307.9423832381597</v>
      </c>
      <c r="AV35" s="2">
        <v>1307.9423832381597</v>
      </c>
      <c r="AW35" s="2">
        <v>1307.9423832381597</v>
      </c>
      <c r="AX35" s="2">
        <v>1307.9423832381597</v>
      </c>
      <c r="AY35" s="2">
        <v>1285.8984104869546</v>
      </c>
      <c r="AZ35" s="2">
        <v>1285.8984104869546</v>
      </c>
      <c r="BA35" s="2">
        <v>1285.8984104869546</v>
      </c>
      <c r="BB35" s="2">
        <v>1285.8984104869546</v>
      </c>
    </row>
    <row r="36" spans="1:54" x14ac:dyDescent="0.25">
      <c r="A36" t="s">
        <v>86</v>
      </c>
      <c r="B36" s="2">
        <f t="shared" si="0"/>
        <v>905.00399669930744</v>
      </c>
      <c r="C36" s="2">
        <v>657.64518707761385</v>
      </c>
      <c r="D36" s="2">
        <v>657.64518707761385</v>
      </c>
      <c r="E36" s="2">
        <v>657.64518707761385</v>
      </c>
      <c r="F36" s="2">
        <v>657.64518707761385</v>
      </c>
      <c r="G36" s="2">
        <v>760.51705991657047</v>
      </c>
      <c r="H36" s="2">
        <v>760.51705991657047</v>
      </c>
      <c r="I36" s="2">
        <v>760.51705991657047</v>
      </c>
      <c r="J36" s="2">
        <v>760.51705991657047</v>
      </c>
      <c r="K36" s="2">
        <v>999.32676472129037</v>
      </c>
      <c r="L36" s="2">
        <v>999.32676472129037</v>
      </c>
      <c r="M36" s="2">
        <v>999.32676472129037</v>
      </c>
      <c r="N36" s="2">
        <v>999.32676472129037</v>
      </c>
      <c r="O36" s="2">
        <v>1032.3927238480981</v>
      </c>
      <c r="P36" s="2">
        <v>1032.3927238480981</v>
      </c>
      <c r="Q36" s="2">
        <v>1032.3927238480981</v>
      </c>
      <c r="R36" s="2">
        <v>1032.3927238480981</v>
      </c>
      <c r="S36" s="2">
        <v>1032.3927238480981</v>
      </c>
      <c r="T36" s="2">
        <v>606.20925065813583</v>
      </c>
      <c r="U36" s="2">
        <v>606.20925065813583</v>
      </c>
      <c r="V36" s="2">
        <v>606.20925065813583</v>
      </c>
      <c r="W36" s="2">
        <v>606.20925065813583</v>
      </c>
      <c r="X36" s="2">
        <v>1028.7187283895637</v>
      </c>
      <c r="Y36" s="2">
        <v>1028.7187283895637</v>
      </c>
      <c r="Z36" s="2">
        <v>1028.7187283895637</v>
      </c>
      <c r="AA36" s="2">
        <v>1028.7187283895637</v>
      </c>
      <c r="AB36" s="2">
        <v>1028.7187283895637</v>
      </c>
      <c r="AC36" s="2">
        <v>569.46929607279424</v>
      </c>
      <c r="AD36" s="2">
        <v>569.46929607279424</v>
      </c>
      <c r="AE36" s="2">
        <v>569.46929607279424</v>
      </c>
      <c r="AF36" s="2">
        <v>569.46929607279424</v>
      </c>
      <c r="AG36" s="2">
        <v>569.46929607279424</v>
      </c>
      <c r="AH36" s="2">
        <v>554.77331423865758</v>
      </c>
      <c r="AI36" s="2">
        <v>554.77331423865758</v>
      </c>
      <c r="AJ36" s="2">
        <v>554.77331423865758</v>
      </c>
      <c r="AK36" s="2">
        <v>554.77331423865758</v>
      </c>
      <c r="AL36" s="2">
        <v>1061.7846875163712</v>
      </c>
      <c r="AM36" s="2">
        <v>1061.7846875163712</v>
      </c>
      <c r="AN36" s="2">
        <v>1061.7846875163712</v>
      </c>
      <c r="AO36" s="2">
        <v>1061.7846875163712</v>
      </c>
      <c r="AP36" s="2">
        <v>1061.7846875163712</v>
      </c>
      <c r="AQ36" s="2">
        <v>977.28279197008544</v>
      </c>
      <c r="AR36" s="2">
        <v>977.28279197008544</v>
      </c>
      <c r="AS36" s="2">
        <v>977.28279197008544</v>
      </c>
      <c r="AT36" s="2">
        <v>977.28279197008544</v>
      </c>
      <c r="AU36" s="2">
        <v>1307.9423832381597</v>
      </c>
      <c r="AV36" s="2">
        <v>1307.9423832381597</v>
      </c>
      <c r="AW36" s="2">
        <v>1307.9423832381597</v>
      </c>
      <c r="AX36" s="2">
        <v>1307.9423832381597</v>
      </c>
      <c r="AY36" s="2">
        <v>1285.8984104869546</v>
      </c>
      <c r="AZ36" s="2">
        <v>1285.8984104869546</v>
      </c>
      <c r="BA36" s="2">
        <v>1285.8984104869546</v>
      </c>
      <c r="BB36" s="2">
        <v>1285.8984104869546</v>
      </c>
    </row>
    <row r="37" spans="1:54" x14ac:dyDescent="0.25">
      <c r="A37" t="s">
        <v>87</v>
      </c>
      <c r="B37" s="2">
        <f t="shared" si="0"/>
        <v>905.00399669930744</v>
      </c>
      <c r="C37" s="2">
        <v>657.64518707761385</v>
      </c>
      <c r="D37" s="2">
        <v>657.64518707761385</v>
      </c>
      <c r="E37" s="2">
        <v>657.64518707761385</v>
      </c>
      <c r="F37" s="2">
        <v>657.64518707761385</v>
      </c>
      <c r="G37" s="2">
        <v>760.51705991657047</v>
      </c>
      <c r="H37" s="2">
        <v>760.51705991657047</v>
      </c>
      <c r="I37" s="2">
        <v>760.51705991657047</v>
      </c>
      <c r="J37" s="2">
        <v>760.51705991657047</v>
      </c>
      <c r="K37" s="2">
        <v>999.32676472129037</v>
      </c>
      <c r="L37" s="2">
        <v>999.32676472129037</v>
      </c>
      <c r="M37" s="2">
        <v>999.32676472129037</v>
      </c>
      <c r="N37" s="2">
        <v>999.32676472129037</v>
      </c>
      <c r="O37" s="2">
        <v>1032.3927238480981</v>
      </c>
      <c r="P37" s="2">
        <v>1032.3927238480981</v>
      </c>
      <c r="Q37" s="2">
        <v>1032.3927238480981</v>
      </c>
      <c r="R37" s="2">
        <v>1032.3927238480981</v>
      </c>
      <c r="S37" s="2">
        <v>1032.3927238480981</v>
      </c>
      <c r="T37" s="2">
        <v>606.20925065813583</v>
      </c>
      <c r="U37" s="2">
        <v>606.20925065813583</v>
      </c>
      <c r="V37" s="2">
        <v>606.20925065813583</v>
      </c>
      <c r="W37" s="2">
        <v>606.20925065813583</v>
      </c>
      <c r="X37" s="2">
        <v>1028.7187283895637</v>
      </c>
      <c r="Y37" s="2">
        <v>1028.7187283895637</v>
      </c>
      <c r="Z37" s="2">
        <v>1028.7187283895637</v>
      </c>
      <c r="AA37" s="2">
        <v>1028.7187283895637</v>
      </c>
      <c r="AB37" s="2">
        <v>1028.7187283895637</v>
      </c>
      <c r="AC37" s="2">
        <v>569.46929607279424</v>
      </c>
      <c r="AD37" s="2">
        <v>569.46929607279424</v>
      </c>
      <c r="AE37" s="2">
        <v>569.46929607279424</v>
      </c>
      <c r="AF37" s="2">
        <v>569.46929607279424</v>
      </c>
      <c r="AG37" s="2">
        <v>569.46929607279424</v>
      </c>
      <c r="AH37" s="2">
        <v>554.77331423865758</v>
      </c>
      <c r="AI37" s="2">
        <v>554.77331423865758</v>
      </c>
      <c r="AJ37" s="2">
        <v>554.77331423865758</v>
      </c>
      <c r="AK37" s="2">
        <v>554.77331423865758</v>
      </c>
      <c r="AL37" s="2">
        <v>1061.7846875163712</v>
      </c>
      <c r="AM37" s="2">
        <v>1061.7846875163712</v>
      </c>
      <c r="AN37" s="2">
        <v>1061.7846875163712</v>
      </c>
      <c r="AO37" s="2">
        <v>1061.7846875163712</v>
      </c>
      <c r="AP37" s="2">
        <v>1061.7846875163712</v>
      </c>
      <c r="AQ37" s="2">
        <v>977.28279197008544</v>
      </c>
      <c r="AR37" s="2">
        <v>977.28279197008544</v>
      </c>
      <c r="AS37" s="2">
        <v>977.28279197008544</v>
      </c>
      <c r="AT37" s="2">
        <v>977.28279197008544</v>
      </c>
      <c r="AU37" s="2">
        <v>1307.9423832381597</v>
      </c>
      <c r="AV37" s="2">
        <v>1307.9423832381597</v>
      </c>
      <c r="AW37" s="2">
        <v>1307.9423832381597</v>
      </c>
      <c r="AX37" s="2">
        <v>1307.9423832381597</v>
      </c>
      <c r="AY37" s="2">
        <v>1285.8984104869546</v>
      </c>
      <c r="AZ37" s="2">
        <v>1285.8984104869546</v>
      </c>
      <c r="BA37" s="2">
        <v>1285.8984104869546</v>
      </c>
      <c r="BB37" s="2">
        <v>1285.8984104869546</v>
      </c>
    </row>
    <row r="38" spans="1:54" x14ac:dyDescent="0.25">
      <c r="A38" t="s">
        <v>88</v>
      </c>
      <c r="B38" s="2">
        <f t="shared" si="0"/>
        <v>905.00399669930744</v>
      </c>
      <c r="C38" s="2">
        <v>657.64518707761385</v>
      </c>
      <c r="D38" s="2">
        <v>657.64518707761385</v>
      </c>
      <c r="E38" s="2">
        <v>657.64518707761385</v>
      </c>
      <c r="F38" s="2">
        <v>657.64518707761385</v>
      </c>
      <c r="G38" s="2">
        <v>760.51705991657047</v>
      </c>
      <c r="H38" s="2">
        <v>760.51705991657047</v>
      </c>
      <c r="I38" s="2">
        <v>760.51705991657047</v>
      </c>
      <c r="J38" s="2">
        <v>760.51705991657047</v>
      </c>
      <c r="K38" s="2">
        <v>999.32676472129037</v>
      </c>
      <c r="L38" s="2">
        <v>999.32676472129037</v>
      </c>
      <c r="M38" s="2">
        <v>999.32676472129037</v>
      </c>
      <c r="N38" s="2">
        <v>999.32676472129037</v>
      </c>
      <c r="O38" s="2">
        <v>1032.3927238480981</v>
      </c>
      <c r="P38" s="2">
        <v>1032.3927238480981</v>
      </c>
      <c r="Q38" s="2">
        <v>1032.3927238480981</v>
      </c>
      <c r="R38" s="2">
        <v>1032.3927238480981</v>
      </c>
      <c r="S38" s="2">
        <v>1032.3927238480981</v>
      </c>
      <c r="T38" s="2">
        <v>606.20925065813583</v>
      </c>
      <c r="U38" s="2">
        <v>606.20925065813583</v>
      </c>
      <c r="V38" s="2">
        <v>606.20925065813583</v>
      </c>
      <c r="W38" s="2">
        <v>606.20925065813583</v>
      </c>
      <c r="X38" s="2">
        <v>1028.7187283895637</v>
      </c>
      <c r="Y38" s="2">
        <v>1028.7187283895637</v>
      </c>
      <c r="Z38" s="2">
        <v>1028.7187283895637</v>
      </c>
      <c r="AA38" s="2">
        <v>1028.7187283895637</v>
      </c>
      <c r="AB38" s="2">
        <v>1028.7187283895637</v>
      </c>
      <c r="AC38" s="2">
        <v>569.46929607279424</v>
      </c>
      <c r="AD38" s="2">
        <v>569.46929607279424</v>
      </c>
      <c r="AE38" s="2">
        <v>569.46929607279424</v>
      </c>
      <c r="AF38" s="2">
        <v>569.46929607279424</v>
      </c>
      <c r="AG38" s="2">
        <v>569.46929607279424</v>
      </c>
      <c r="AH38" s="2">
        <v>554.77331423865758</v>
      </c>
      <c r="AI38" s="2">
        <v>554.77331423865758</v>
      </c>
      <c r="AJ38" s="2">
        <v>554.77331423865758</v>
      </c>
      <c r="AK38" s="2">
        <v>554.77331423865758</v>
      </c>
      <c r="AL38" s="2">
        <v>1061.7846875163712</v>
      </c>
      <c r="AM38" s="2">
        <v>1061.7846875163712</v>
      </c>
      <c r="AN38" s="2">
        <v>1061.7846875163712</v>
      </c>
      <c r="AO38" s="2">
        <v>1061.7846875163712</v>
      </c>
      <c r="AP38" s="2">
        <v>1061.7846875163712</v>
      </c>
      <c r="AQ38" s="2">
        <v>977.28279197008544</v>
      </c>
      <c r="AR38" s="2">
        <v>977.28279197008544</v>
      </c>
      <c r="AS38" s="2">
        <v>977.28279197008544</v>
      </c>
      <c r="AT38" s="2">
        <v>977.28279197008544</v>
      </c>
      <c r="AU38" s="2">
        <v>1307.9423832381597</v>
      </c>
      <c r="AV38" s="2">
        <v>1307.9423832381597</v>
      </c>
      <c r="AW38" s="2">
        <v>1307.9423832381597</v>
      </c>
      <c r="AX38" s="2">
        <v>1307.9423832381597</v>
      </c>
      <c r="AY38" s="2">
        <v>1285.8984104869546</v>
      </c>
      <c r="AZ38" s="2">
        <v>1285.8984104869546</v>
      </c>
      <c r="BA38" s="2">
        <v>1285.8984104869546</v>
      </c>
      <c r="BB38" s="2">
        <v>1285.8984104869546</v>
      </c>
    </row>
    <row r="39" spans="1:54" x14ac:dyDescent="0.25">
      <c r="A39" t="s">
        <v>89</v>
      </c>
      <c r="B39" s="2">
        <f t="shared" si="0"/>
        <v>905.00399669930744</v>
      </c>
      <c r="C39" s="2">
        <v>657.64518707761385</v>
      </c>
      <c r="D39" s="2">
        <v>657.64518707761385</v>
      </c>
      <c r="E39" s="2">
        <v>657.64518707761385</v>
      </c>
      <c r="F39" s="2">
        <v>657.64518707761385</v>
      </c>
      <c r="G39" s="2">
        <v>760.51705991657047</v>
      </c>
      <c r="H39" s="2">
        <v>760.51705991657047</v>
      </c>
      <c r="I39" s="2">
        <v>760.51705991657047</v>
      </c>
      <c r="J39" s="2">
        <v>760.51705991657047</v>
      </c>
      <c r="K39" s="2">
        <v>999.32676472129037</v>
      </c>
      <c r="L39" s="2">
        <v>999.32676472129037</v>
      </c>
      <c r="M39" s="2">
        <v>999.32676472129037</v>
      </c>
      <c r="N39" s="2">
        <v>999.32676472129037</v>
      </c>
      <c r="O39" s="2">
        <v>1032.3927238480981</v>
      </c>
      <c r="P39" s="2">
        <v>1032.3927238480981</v>
      </c>
      <c r="Q39" s="2">
        <v>1032.3927238480981</v>
      </c>
      <c r="R39" s="2">
        <v>1032.3927238480981</v>
      </c>
      <c r="S39" s="2">
        <v>1032.3927238480981</v>
      </c>
      <c r="T39" s="2">
        <v>606.20925065813583</v>
      </c>
      <c r="U39" s="2">
        <v>606.20925065813583</v>
      </c>
      <c r="V39" s="2">
        <v>606.20925065813583</v>
      </c>
      <c r="W39" s="2">
        <v>606.20925065813583</v>
      </c>
      <c r="X39" s="2">
        <v>1028.7187283895637</v>
      </c>
      <c r="Y39" s="2">
        <v>1028.7187283895637</v>
      </c>
      <c r="Z39" s="2">
        <v>1028.7187283895637</v>
      </c>
      <c r="AA39" s="2">
        <v>1028.7187283895637</v>
      </c>
      <c r="AB39" s="2">
        <v>1028.7187283895637</v>
      </c>
      <c r="AC39" s="2">
        <v>569.46929607279424</v>
      </c>
      <c r="AD39" s="2">
        <v>569.46929607279424</v>
      </c>
      <c r="AE39" s="2">
        <v>569.46929607279424</v>
      </c>
      <c r="AF39" s="2">
        <v>569.46929607279424</v>
      </c>
      <c r="AG39" s="2">
        <v>569.46929607279424</v>
      </c>
      <c r="AH39" s="2">
        <v>554.77331423865758</v>
      </c>
      <c r="AI39" s="2">
        <v>554.77331423865758</v>
      </c>
      <c r="AJ39" s="2">
        <v>554.77331423865758</v>
      </c>
      <c r="AK39" s="2">
        <v>554.77331423865758</v>
      </c>
      <c r="AL39" s="2">
        <v>1061.7846875163712</v>
      </c>
      <c r="AM39" s="2">
        <v>1061.7846875163712</v>
      </c>
      <c r="AN39" s="2">
        <v>1061.7846875163712</v>
      </c>
      <c r="AO39" s="2">
        <v>1061.7846875163712</v>
      </c>
      <c r="AP39" s="2">
        <v>1061.7846875163712</v>
      </c>
      <c r="AQ39" s="2">
        <v>977.28279197008544</v>
      </c>
      <c r="AR39" s="2">
        <v>977.28279197008544</v>
      </c>
      <c r="AS39" s="2">
        <v>977.28279197008544</v>
      </c>
      <c r="AT39" s="2">
        <v>977.28279197008544</v>
      </c>
      <c r="AU39" s="2">
        <v>1307.9423832381597</v>
      </c>
      <c r="AV39" s="2">
        <v>1307.9423832381597</v>
      </c>
      <c r="AW39" s="2">
        <v>1307.9423832381597</v>
      </c>
      <c r="AX39" s="2">
        <v>1307.9423832381597</v>
      </c>
      <c r="AY39" s="2">
        <v>1285.8984104869546</v>
      </c>
      <c r="AZ39" s="2">
        <v>1285.8984104869546</v>
      </c>
      <c r="BA39" s="2">
        <v>1285.8984104869546</v>
      </c>
      <c r="BB39" s="2">
        <v>1285.8984104869546</v>
      </c>
    </row>
    <row r="40" spans="1:54" x14ac:dyDescent="0.25">
      <c r="A40" t="s">
        <v>90</v>
      </c>
      <c r="B40" s="2">
        <f t="shared" si="0"/>
        <v>905.00399669930744</v>
      </c>
      <c r="C40" s="2">
        <v>657.64518707761385</v>
      </c>
      <c r="D40" s="2">
        <v>657.64518707761385</v>
      </c>
      <c r="E40" s="2">
        <v>657.64518707761385</v>
      </c>
      <c r="F40" s="2">
        <v>657.64518707761385</v>
      </c>
      <c r="G40" s="2">
        <v>760.51705991657047</v>
      </c>
      <c r="H40" s="2">
        <v>760.51705991657047</v>
      </c>
      <c r="I40" s="2">
        <v>760.51705991657047</v>
      </c>
      <c r="J40" s="2">
        <v>760.51705991657047</v>
      </c>
      <c r="K40" s="2">
        <v>999.32676472129037</v>
      </c>
      <c r="L40" s="2">
        <v>999.32676472129037</v>
      </c>
      <c r="M40" s="2">
        <v>999.32676472129037</v>
      </c>
      <c r="N40" s="2">
        <v>999.32676472129037</v>
      </c>
      <c r="O40" s="2">
        <v>1032.3927238480981</v>
      </c>
      <c r="P40" s="2">
        <v>1032.3927238480981</v>
      </c>
      <c r="Q40" s="2">
        <v>1032.3927238480981</v>
      </c>
      <c r="R40" s="2">
        <v>1032.3927238480981</v>
      </c>
      <c r="S40" s="2">
        <v>1032.3927238480981</v>
      </c>
      <c r="T40" s="2">
        <v>606.20925065813583</v>
      </c>
      <c r="U40" s="2">
        <v>606.20925065813583</v>
      </c>
      <c r="V40" s="2">
        <v>606.20925065813583</v>
      </c>
      <c r="W40" s="2">
        <v>606.20925065813583</v>
      </c>
      <c r="X40" s="2">
        <v>1028.7187283895637</v>
      </c>
      <c r="Y40" s="2">
        <v>1028.7187283895637</v>
      </c>
      <c r="Z40" s="2">
        <v>1028.7187283895637</v>
      </c>
      <c r="AA40" s="2">
        <v>1028.7187283895637</v>
      </c>
      <c r="AB40" s="2">
        <v>1028.7187283895637</v>
      </c>
      <c r="AC40" s="2">
        <v>569.46929607279424</v>
      </c>
      <c r="AD40" s="2">
        <v>569.46929607279424</v>
      </c>
      <c r="AE40" s="2">
        <v>569.46929607279424</v>
      </c>
      <c r="AF40" s="2">
        <v>569.46929607279424</v>
      </c>
      <c r="AG40" s="2">
        <v>569.46929607279424</v>
      </c>
      <c r="AH40" s="2">
        <v>554.77331423865758</v>
      </c>
      <c r="AI40" s="2">
        <v>554.77331423865758</v>
      </c>
      <c r="AJ40" s="2">
        <v>554.77331423865758</v>
      </c>
      <c r="AK40" s="2">
        <v>554.77331423865758</v>
      </c>
      <c r="AL40" s="2">
        <v>1061.7846875163712</v>
      </c>
      <c r="AM40" s="2">
        <v>1061.7846875163712</v>
      </c>
      <c r="AN40" s="2">
        <v>1061.7846875163712</v>
      </c>
      <c r="AO40" s="2">
        <v>1061.7846875163712</v>
      </c>
      <c r="AP40" s="2">
        <v>1061.7846875163712</v>
      </c>
      <c r="AQ40" s="2">
        <v>977.28279197008544</v>
      </c>
      <c r="AR40" s="2">
        <v>977.28279197008544</v>
      </c>
      <c r="AS40" s="2">
        <v>977.28279197008544</v>
      </c>
      <c r="AT40" s="2">
        <v>977.28279197008544</v>
      </c>
      <c r="AU40" s="2">
        <v>1307.9423832381597</v>
      </c>
      <c r="AV40" s="2">
        <v>1307.9423832381597</v>
      </c>
      <c r="AW40" s="2">
        <v>1307.9423832381597</v>
      </c>
      <c r="AX40" s="2">
        <v>1307.9423832381597</v>
      </c>
      <c r="AY40" s="2">
        <v>1285.8984104869546</v>
      </c>
      <c r="AZ40" s="2">
        <v>1285.8984104869546</v>
      </c>
      <c r="BA40" s="2">
        <v>1285.8984104869546</v>
      </c>
      <c r="BB40" s="2">
        <v>1285.8984104869546</v>
      </c>
    </row>
    <row r="41" spans="1:54" x14ac:dyDescent="0.25">
      <c r="A41" t="s">
        <v>91</v>
      </c>
      <c r="B41" s="2">
        <f t="shared" si="0"/>
        <v>905.00399669930744</v>
      </c>
      <c r="C41" s="2">
        <v>657.64518707761385</v>
      </c>
      <c r="D41" s="2">
        <v>657.64518707761385</v>
      </c>
      <c r="E41" s="2">
        <v>657.64518707761385</v>
      </c>
      <c r="F41" s="2">
        <v>657.64518707761385</v>
      </c>
      <c r="G41" s="2">
        <v>760.51705991657047</v>
      </c>
      <c r="H41" s="2">
        <v>760.51705991657047</v>
      </c>
      <c r="I41" s="2">
        <v>760.51705991657047</v>
      </c>
      <c r="J41" s="2">
        <v>760.51705991657047</v>
      </c>
      <c r="K41" s="2">
        <v>999.32676472129037</v>
      </c>
      <c r="L41" s="2">
        <v>999.32676472129037</v>
      </c>
      <c r="M41" s="2">
        <v>999.32676472129037</v>
      </c>
      <c r="N41" s="2">
        <v>999.32676472129037</v>
      </c>
      <c r="O41" s="2">
        <v>1032.3927238480981</v>
      </c>
      <c r="P41" s="2">
        <v>1032.3927238480981</v>
      </c>
      <c r="Q41" s="2">
        <v>1032.3927238480981</v>
      </c>
      <c r="R41" s="2">
        <v>1032.3927238480981</v>
      </c>
      <c r="S41" s="2">
        <v>1032.3927238480981</v>
      </c>
      <c r="T41" s="2">
        <v>606.20925065813583</v>
      </c>
      <c r="U41" s="2">
        <v>606.20925065813583</v>
      </c>
      <c r="V41" s="2">
        <v>606.20925065813583</v>
      </c>
      <c r="W41" s="2">
        <v>606.20925065813583</v>
      </c>
      <c r="X41" s="2">
        <v>1028.7187283895637</v>
      </c>
      <c r="Y41" s="2">
        <v>1028.7187283895637</v>
      </c>
      <c r="Z41" s="2">
        <v>1028.7187283895637</v>
      </c>
      <c r="AA41" s="2">
        <v>1028.7187283895637</v>
      </c>
      <c r="AB41" s="2">
        <v>1028.7187283895637</v>
      </c>
      <c r="AC41" s="2">
        <v>569.46929607279424</v>
      </c>
      <c r="AD41" s="2">
        <v>569.46929607279424</v>
      </c>
      <c r="AE41" s="2">
        <v>569.46929607279424</v>
      </c>
      <c r="AF41" s="2">
        <v>569.46929607279424</v>
      </c>
      <c r="AG41" s="2">
        <v>569.46929607279424</v>
      </c>
      <c r="AH41" s="2">
        <v>554.77331423865758</v>
      </c>
      <c r="AI41" s="2">
        <v>554.77331423865758</v>
      </c>
      <c r="AJ41" s="2">
        <v>554.77331423865758</v>
      </c>
      <c r="AK41" s="2">
        <v>554.77331423865758</v>
      </c>
      <c r="AL41" s="2">
        <v>1061.7846875163712</v>
      </c>
      <c r="AM41" s="2">
        <v>1061.7846875163712</v>
      </c>
      <c r="AN41" s="2">
        <v>1061.7846875163712</v>
      </c>
      <c r="AO41" s="2">
        <v>1061.7846875163712</v>
      </c>
      <c r="AP41" s="2">
        <v>1061.7846875163712</v>
      </c>
      <c r="AQ41" s="2">
        <v>977.28279197008544</v>
      </c>
      <c r="AR41" s="2">
        <v>977.28279197008544</v>
      </c>
      <c r="AS41" s="2">
        <v>977.28279197008544</v>
      </c>
      <c r="AT41" s="2">
        <v>977.28279197008544</v>
      </c>
      <c r="AU41" s="2">
        <v>1307.9423832381597</v>
      </c>
      <c r="AV41" s="2">
        <v>1307.9423832381597</v>
      </c>
      <c r="AW41" s="2">
        <v>1307.9423832381597</v>
      </c>
      <c r="AX41" s="2">
        <v>1307.9423832381597</v>
      </c>
      <c r="AY41" s="2">
        <v>1285.8984104869546</v>
      </c>
      <c r="AZ41" s="2">
        <v>1285.8984104869546</v>
      </c>
      <c r="BA41" s="2">
        <v>1285.8984104869546</v>
      </c>
      <c r="BB41" s="2">
        <v>1285.8984104869546</v>
      </c>
    </row>
    <row r="42" spans="1:54" x14ac:dyDescent="0.25">
      <c r="A42" t="s">
        <v>92</v>
      </c>
      <c r="B42" s="2">
        <f t="shared" si="0"/>
        <v>5838.5262197280263</v>
      </c>
      <c r="C42" s="2">
        <v>4242.7201228221147</v>
      </c>
      <c r="D42" s="2">
        <v>4242.7201228221147</v>
      </c>
      <c r="E42" s="2">
        <v>4242.7201228221147</v>
      </c>
      <c r="F42" s="2">
        <v>4242.7201228221147</v>
      </c>
      <c r="G42" s="2">
        <v>4906.3858403585364</v>
      </c>
      <c r="H42" s="2">
        <v>4906.3858403585364</v>
      </c>
      <c r="I42" s="2">
        <v>4906.3858403585364</v>
      </c>
      <c r="J42" s="2">
        <v>4906.3858403585364</v>
      </c>
      <c r="K42" s="2">
        <v>6447.038398925225</v>
      </c>
      <c r="L42" s="2">
        <v>6447.038398925225</v>
      </c>
      <c r="M42" s="2">
        <v>6447.038398925225</v>
      </c>
      <c r="N42" s="2">
        <v>6447.038398925225</v>
      </c>
      <c r="O42" s="2">
        <v>6660.3595224190758</v>
      </c>
      <c r="P42" s="2">
        <v>6660.3595224190758</v>
      </c>
      <c r="Q42" s="2">
        <v>6660.3595224190758</v>
      </c>
      <c r="R42" s="2">
        <v>6660.3595224190758</v>
      </c>
      <c r="S42" s="2">
        <v>6660.3595224190758</v>
      </c>
      <c r="T42" s="2">
        <v>3910.8872640539057</v>
      </c>
      <c r="U42" s="2">
        <v>3910.8872640539057</v>
      </c>
      <c r="V42" s="2">
        <v>3910.8872640539057</v>
      </c>
      <c r="W42" s="2">
        <v>3910.8872640539057</v>
      </c>
      <c r="X42" s="2">
        <v>6636.657175364202</v>
      </c>
      <c r="Y42" s="2">
        <v>6636.657175364202</v>
      </c>
      <c r="Z42" s="2">
        <v>6636.657175364202</v>
      </c>
      <c r="AA42" s="2">
        <v>6636.657175364202</v>
      </c>
      <c r="AB42" s="2">
        <v>6636.657175364202</v>
      </c>
      <c r="AC42" s="2">
        <v>3673.8637935051838</v>
      </c>
      <c r="AD42" s="2">
        <v>3673.8637935051838</v>
      </c>
      <c r="AE42" s="2">
        <v>3673.8637935051838</v>
      </c>
      <c r="AF42" s="2">
        <v>3673.8637935051838</v>
      </c>
      <c r="AG42" s="2">
        <v>3673.8637935051838</v>
      </c>
      <c r="AH42" s="2">
        <v>3579.0544052856953</v>
      </c>
      <c r="AI42" s="2">
        <v>3579.0544052856953</v>
      </c>
      <c r="AJ42" s="2">
        <v>3579.0544052856953</v>
      </c>
      <c r="AK42" s="2">
        <v>3579.0544052856953</v>
      </c>
      <c r="AL42" s="2">
        <v>6849.9782988580528</v>
      </c>
      <c r="AM42" s="2">
        <v>6849.9782988580528</v>
      </c>
      <c r="AN42" s="2">
        <v>6849.9782988580528</v>
      </c>
      <c r="AO42" s="2">
        <v>6849.9782988580528</v>
      </c>
      <c r="AP42" s="2">
        <v>6849.9782988580528</v>
      </c>
      <c r="AQ42" s="2">
        <v>6304.8243165959921</v>
      </c>
      <c r="AR42" s="2">
        <v>6304.8243165959921</v>
      </c>
      <c r="AS42" s="2">
        <v>6304.8243165959921</v>
      </c>
      <c r="AT42" s="2">
        <v>6304.8243165959921</v>
      </c>
      <c r="AU42" s="2">
        <v>8438.0355515344872</v>
      </c>
      <c r="AV42" s="2">
        <v>8438.0355515344872</v>
      </c>
      <c r="AW42" s="2">
        <v>8438.0355515344872</v>
      </c>
      <c r="AX42" s="2">
        <v>8438.0355515344872</v>
      </c>
      <c r="AY42" s="2">
        <v>8295.8214692052534</v>
      </c>
      <c r="AZ42" s="2">
        <v>8295.8214692052534</v>
      </c>
      <c r="BA42" s="2">
        <v>8295.8214692052534</v>
      </c>
      <c r="BB42" s="2">
        <v>8295.8214692052534</v>
      </c>
    </row>
    <row r="43" spans="1:54" x14ac:dyDescent="0.25">
      <c r="A43" t="s">
        <v>93</v>
      </c>
      <c r="B43" s="2">
        <f t="shared" si="0"/>
        <v>5838.5262197280263</v>
      </c>
      <c r="C43" s="2">
        <v>4242.7201228221147</v>
      </c>
      <c r="D43" s="2">
        <v>4242.7201228221147</v>
      </c>
      <c r="E43" s="2">
        <v>4242.7201228221147</v>
      </c>
      <c r="F43" s="2">
        <v>4242.7201228221147</v>
      </c>
      <c r="G43" s="2">
        <v>4906.3858403585364</v>
      </c>
      <c r="H43" s="2">
        <v>4906.3858403585364</v>
      </c>
      <c r="I43" s="2">
        <v>4906.3858403585364</v>
      </c>
      <c r="J43" s="2">
        <v>4906.3858403585364</v>
      </c>
      <c r="K43" s="2">
        <v>6447.038398925225</v>
      </c>
      <c r="L43" s="2">
        <v>6447.038398925225</v>
      </c>
      <c r="M43" s="2">
        <v>6447.038398925225</v>
      </c>
      <c r="N43" s="2">
        <v>6447.038398925225</v>
      </c>
      <c r="O43" s="2">
        <v>6660.3595224190758</v>
      </c>
      <c r="P43" s="2">
        <v>6660.3595224190758</v>
      </c>
      <c r="Q43" s="2">
        <v>6660.3595224190758</v>
      </c>
      <c r="R43" s="2">
        <v>6660.3595224190758</v>
      </c>
      <c r="S43" s="2">
        <v>6660.3595224190758</v>
      </c>
      <c r="T43" s="2">
        <v>3910.8872640539057</v>
      </c>
      <c r="U43" s="2">
        <v>3910.8872640539057</v>
      </c>
      <c r="V43" s="2">
        <v>3910.8872640539057</v>
      </c>
      <c r="W43" s="2">
        <v>3910.8872640539057</v>
      </c>
      <c r="X43" s="2">
        <v>6636.657175364202</v>
      </c>
      <c r="Y43" s="2">
        <v>6636.657175364202</v>
      </c>
      <c r="Z43" s="2">
        <v>6636.657175364202</v>
      </c>
      <c r="AA43" s="2">
        <v>6636.657175364202</v>
      </c>
      <c r="AB43" s="2">
        <v>6636.657175364202</v>
      </c>
      <c r="AC43" s="2">
        <v>3673.8637935051838</v>
      </c>
      <c r="AD43" s="2">
        <v>3673.8637935051838</v>
      </c>
      <c r="AE43" s="2">
        <v>3673.8637935051838</v>
      </c>
      <c r="AF43" s="2">
        <v>3673.8637935051838</v>
      </c>
      <c r="AG43" s="2">
        <v>3673.8637935051838</v>
      </c>
      <c r="AH43" s="2">
        <v>3579.0544052856953</v>
      </c>
      <c r="AI43" s="2">
        <v>3579.0544052856953</v>
      </c>
      <c r="AJ43" s="2">
        <v>3579.0544052856953</v>
      </c>
      <c r="AK43" s="2">
        <v>3579.0544052856953</v>
      </c>
      <c r="AL43" s="2">
        <v>6849.9782988580528</v>
      </c>
      <c r="AM43" s="2">
        <v>6849.9782988580528</v>
      </c>
      <c r="AN43" s="2">
        <v>6849.9782988580528</v>
      </c>
      <c r="AO43" s="2">
        <v>6849.9782988580528</v>
      </c>
      <c r="AP43" s="2">
        <v>6849.9782988580528</v>
      </c>
      <c r="AQ43" s="2">
        <v>6304.8243165959921</v>
      </c>
      <c r="AR43" s="2">
        <v>6304.8243165959921</v>
      </c>
      <c r="AS43" s="2">
        <v>6304.8243165959921</v>
      </c>
      <c r="AT43" s="2">
        <v>6304.8243165959921</v>
      </c>
      <c r="AU43" s="2">
        <v>8438.0355515344872</v>
      </c>
      <c r="AV43" s="2">
        <v>8438.0355515344872</v>
      </c>
      <c r="AW43" s="2">
        <v>8438.0355515344872</v>
      </c>
      <c r="AX43" s="2">
        <v>8438.0355515344872</v>
      </c>
      <c r="AY43" s="2">
        <v>8295.8214692052534</v>
      </c>
      <c r="AZ43" s="2">
        <v>8295.8214692052534</v>
      </c>
      <c r="BA43" s="2">
        <v>8295.8214692052534</v>
      </c>
      <c r="BB43" s="2">
        <v>8295.8214692052534</v>
      </c>
    </row>
    <row r="44" spans="1:54" x14ac:dyDescent="0.25">
      <c r="A44" t="s">
        <v>94</v>
      </c>
      <c r="B44" s="2">
        <f t="shared" si="0"/>
        <v>5838.5262197280263</v>
      </c>
      <c r="C44" s="2">
        <v>4242.7201228221147</v>
      </c>
      <c r="D44" s="2">
        <v>4242.7201228221147</v>
      </c>
      <c r="E44" s="2">
        <v>4242.7201228221147</v>
      </c>
      <c r="F44" s="2">
        <v>4242.7201228221147</v>
      </c>
      <c r="G44" s="2">
        <v>4906.3858403585364</v>
      </c>
      <c r="H44" s="2">
        <v>4906.3858403585364</v>
      </c>
      <c r="I44" s="2">
        <v>4906.3858403585364</v>
      </c>
      <c r="J44" s="2">
        <v>4906.3858403585364</v>
      </c>
      <c r="K44" s="2">
        <v>6447.038398925225</v>
      </c>
      <c r="L44" s="2">
        <v>6447.038398925225</v>
      </c>
      <c r="M44" s="2">
        <v>6447.038398925225</v>
      </c>
      <c r="N44" s="2">
        <v>6447.038398925225</v>
      </c>
      <c r="O44" s="2">
        <v>6660.3595224190758</v>
      </c>
      <c r="P44" s="2">
        <v>6660.3595224190758</v>
      </c>
      <c r="Q44" s="2">
        <v>6660.3595224190758</v>
      </c>
      <c r="R44" s="2">
        <v>6660.3595224190758</v>
      </c>
      <c r="S44" s="2">
        <v>6660.3595224190758</v>
      </c>
      <c r="T44" s="2">
        <v>3910.8872640539057</v>
      </c>
      <c r="U44" s="2">
        <v>3910.8872640539057</v>
      </c>
      <c r="V44" s="2">
        <v>3910.8872640539057</v>
      </c>
      <c r="W44" s="2">
        <v>3910.8872640539057</v>
      </c>
      <c r="X44" s="2">
        <v>6636.657175364202</v>
      </c>
      <c r="Y44" s="2">
        <v>6636.657175364202</v>
      </c>
      <c r="Z44" s="2">
        <v>6636.657175364202</v>
      </c>
      <c r="AA44" s="2">
        <v>6636.657175364202</v>
      </c>
      <c r="AB44" s="2">
        <v>6636.657175364202</v>
      </c>
      <c r="AC44" s="2">
        <v>3673.8637935051838</v>
      </c>
      <c r="AD44" s="2">
        <v>3673.8637935051838</v>
      </c>
      <c r="AE44" s="2">
        <v>3673.8637935051838</v>
      </c>
      <c r="AF44" s="2">
        <v>3673.8637935051838</v>
      </c>
      <c r="AG44" s="2">
        <v>3673.8637935051838</v>
      </c>
      <c r="AH44" s="2">
        <v>3579.0544052856953</v>
      </c>
      <c r="AI44" s="2">
        <v>3579.0544052856953</v>
      </c>
      <c r="AJ44" s="2">
        <v>3579.0544052856953</v>
      </c>
      <c r="AK44" s="2">
        <v>3579.0544052856953</v>
      </c>
      <c r="AL44" s="2">
        <v>6849.9782988580528</v>
      </c>
      <c r="AM44" s="2">
        <v>6849.9782988580528</v>
      </c>
      <c r="AN44" s="2">
        <v>6849.9782988580528</v>
      </c>
      <c r="AO44" s="2">
        <v>6849.9782988580528</v>
      </c>
      <c r="AP44" s="2">
        <v>6849.9782988580528</v>
      </c>
      <c r="AQ44" s="2">
        <v>6304.8243165959921</v>
      </c>
      <c r="AR44" s="2">
        <v>6304.8243165959921</v>
      </c>
      <c r="AS44" s="2">
        <v>6304.8243165959921</v>
      </c>
      <c r="AT44" s="2">
        <v>6304.8243165959921</v>
      </c>
      <c r="AU44" s="2">
        <v>8438.0355515344872</v>
      </c>
      <c r="AV44" s="2">
        <v>8438.0355515344872</v>
      </c>
      <c r="AW44" s="2">
        <v>8438.0355515344872</v>
      </c>
      <c r="AX44" s="2">
        <v>8438.0355515344872</v>
      </c>
      <c r="AY44" s="2">
        <v>8295.8214692052534</v>
      </c>
      <c r="AZ44" s="2">
        <v>8295.8214692052534</v>
      </c>
      <c r="BA44" s="2">
        <v>8295.8214692052534</v>
      </c>
      <c r="BB44" s="2">
        <v>8295.8214692052534</v>
      </c>
    </row>
    <row r="45" spans="1:54" x14ac:dyDescent="0.25">
      <c r="A45" t="s">
        <v>95</v>
      </c>
      <c r="B45" s="2">
        <f t="shared" si="0"/>
        <v>5838.5262197280263</v>
      </c>
      <c r="C45" s="2">
        <v>4242.7201228221147</v>
      </c>
      <c r="D45" s="2">
        <v>4242.7201228221147</v>
      </c>
      <c r="E45" s="2">
        <v>4242.7201228221147</v>
      </c>
      <c r="F45" s="2">
        <v>4242.7201228221147</v>
      </c>
      <c r="G45" s="2">
        <v>4906.3858403585364</v>
      </c>
      <c r="H45" s="2">
        <v>4906.3858403585364</v>
      </c>
      <c r="I45" s="2">
        <v>4906.3858403585364</v>
      </c>
      <c r="J45" s="2">
        <v>4906.3858403585364</v>
      </c>
      <c r="K45" s="2">
        <v>6447.038398925225</v>
      </c>
      <c r="L45" s="2">
        <v>6447.038398925225</v>
      </c>
      <c r="M45" s="2">
        <v>6447.038398925225</v>
      </c>
      <c r="N45" s="2">
        <v>6447.038398925225</v>
      </c>
      <c r="O45" s="2">
        <v>6660.3595224190758</v>
      </c>
      <c r="P45" s="2">
        <v>6660.3595224190758</v>
      </c>
      <c r="Q45" s="2">
        <v>6660.3595224190758</v>
      </c>
      <c r="R45" s="2">
        <v>6660.3595224190758</v>
      </c>
      <c r="S45" s="2">
        <v>6660.3595224190758</v>
      </c>
      <c r="T45" s="2">
        <v>3910.8872640539057</v>
      </c>
      <c r="U45" s="2">
        <v>3910.8872640539057</v>
      </c>
      <c r="V45" s="2">
        <v>3910.8872640539057</v>
      </c>
      <c r="W45" s="2">
        <v>3910.8872640539057</v>
      </c>
      <c r="X45" s="2">
        <v>6636.657175364202</v>
      </c>
      <c r="Y45" s="2">
        <v>6636.657175364202</v>
      </c>
      <c r="Z45" s="2">
        <v>6636.657175364202</v>
      </c>
      <c r="AA45" s="2">
        <v>6636.657175364202</v>
      </c>
      <c r="AB45" s="2">
        <v>6636.657175364202</v>
      </c>
      <c r="AC45" s="2">
        <v>3673.8637935051838</v>
      </c>
      <c r="AD45" s="2">
        <v>3673.8637935051838</v>
      </c>
      <c r="AE45" s="2">
        <v>3673.8637935051838</v>
      </c>
      <c r="AF45" s="2">
        <v>3673.8637935051838</v>
      </c>
      <c r="AG45" s="2">
        <v>3673.8637935051838</v>
      </c>
      <c r="AH45" s="2">
        <v>3579.0544052856953</v>
      </c>
      <c r="AI45" s="2">
        <v>3579.0544052856953</v>
      </c>
      <c r="AJ45" s="2">
        <v>3579.0544052856953</v>
      </c>
      <c r="AK45" s="2">
        <v>3579.0544052856953</v>
      </c>
      <c r="AL45" s="2">
        <v>6849.9782988580528</v>
      </c>
      <c r="AM45" s="2">
        <v>6849.9782988580528</v>
      </c>
      <c r="AN45" s="2">
        <v>6849.9782988580528</v>
      </c>
      <c r="AO45" s="2">
        <v>6849.9782988580528</v>
      </c>
      <c r="AP45" s="2">
        <v>6849.9782988580528</v>
      </c>
      <c r="AQ45" s="2">
        <v>6304.8243165959921</v>
      </c>
      <c r="AR45" s="2">
        <v>6304.8243165959921</v>
      </c>
      <c r="AS45" s="2">
        <v>6304.8243165959921</v>
      </c>
      <c r="AT45" s="2">
        <v>6304.8243165959921</v>
      </c>
      <c r="AU45" s="2">
        <v>8438.0355515344872</v>
      </c>
      <c r="AV45" s="2">
        <v>8438.0355515344872</v>
      </c>
      <c r="AW45" s="2">
        <v>8438.0355515344872</v>
      </c>
      <c r="AX45" s="2">
        <v>8438.0355515344872</v>
      </c>
      <c r="AY45" s="2">
        <v>8295.8214692052534</v>
      </c>
      <c r="AZ45" s="2">
        <v>8295.8214692052534</v>
      </c>
      <c r="BA45" s="2">
        <v>8295.8214692052534</v>
      </c>
      <c r="BB45" s="2">
        <v>8295.8214692052534</v>
      </c>
    </row>
    <row r="46" spans="1:54" x14ac:dyDescent="0.25">
      <c r="A46" t="s">
        <v>96</v>
      </c>
      <c r="B46" s="2">
        <f t="shared" si="0"/>
        <v>5838.5262197280263</v>
      </c>
      <c r="C46" s="2">
        <v>4242.7201228221147</v>
      </c>
      <c r="D46" s="2">
        <v>4242.7201228221147</v>
      </c>
      <c r="E46" s="2">
        <v>4242.7201228221147</v>
      </c>
      <c r="F46" s="2">
        <v>4242.7201228221147</v>
      </c>
      <c r="G46" s="2">
        <v>4906.3858403585364</v>
      </c>
      <c r="H46" s="2">
        <v>4906.3858403585364</v>
      </c>
      <c r="I46" s="2">
        <v>4906.3858403585364</v>
      </c>
      <c r="J46" s="2">
        <v>4906.3858403585364</v>
      </c>
      <c r="K46" s="2">
        <v>6447.038398925225</v>
      </c>
      <c r="L46" s="2">
        <v>6447.038398925225</v>
      </c>
      <c r="M46" s="2">
        <v>6447.038398925225</v>
      </c>
      <c r="N46" s="2">
        <v>6447.038398925225</v>
      </c>
      <c r="O46" s="2">
        <v>6660.3595224190758</v>
      </c>
      <c r="P46" s="2">
        <v>6660.3595224190758</v>
      </c>
      <c r="Q46" s="2">
        <v>6660.3595224190758</v>
      </c>
      <c r="R46" s="2">
        <v>6660.3595224190758</v>
      </c>
      <c r="S46" s="2">
        <v>6660.3595224190758</v>
      </c>
      <c r="T46" s="2">
        <v>3910.8872640539057</v>
      </c>
      <c r="U46" s="2">
        <v>3910.8872640539057</v>
      </c>
      <c r="V46" s="2">
        <v>3910.8872640539057</v>
      </c>
      <c r="W46" s="2">
        <v>3910.8872640539057</v>
      </c>
      <c r="X46" s="2">
        <v>6636.657175364202</v>
      </c>
      <c r="Y46" s="2">
        <v>6636.657175364202</v>
      </c>
      <c r="Z46" s="2">
        <v>6636.657175364202</v>
      </c>
      <c r="AA46" s="2">
        <v>6636.657175364202</v>
      </c>
      <c r="AB46" s="2">
        <v>6636.657175364202</v>
      </c>
      <c r="AC46" s="2">
        <v>3673.8637935051838</v>
      </c>
      <c r="AD46" s="2">
        <v>3673.8637935051838</v>
      </c>
      <c r="AE46" s="2">
        <v>3673.8637935051838</v>
      </c>
      <c r="AF46" s="2">
        <v>3673.8637935051838</v>
      </c>
      <c r="AG46" s="2">
        <v>3673.8637935051838</v>
      </c>
      <c r="AH46" s="2">
        <v>3579.0544052856953</v>
      </c>
      <c r="AI46" s="2">
        <v>3579.0544052856953</v>
      </c>
      <c r="AJ46" s="2">
        <v>3579.0544052856953</v>
      </c>
      <c r="AK46" s="2">
        <v>3579.0544052856953</v>
      </c>
      <c r="AL46" s="2">
        <v>6849.9782988580528</v>
      </c>
      <c r="AM46" s="2">
        <v>6849.9782988580528</v>
      </c>
      <c r="AN46" s="2">
        <v>6849.9782988580528</v>
      </c>
      <c r="AO46" s="2">
        <v>6849.9782988580528</v>
      </c>
      <c r="AP46" s="2">
        <v>6849.9782988580528</v>
      </c>
      <c r="AQ46" s="2">
        <v>6304.8243165959921</v>
      </c>
      <c r="AR46" s="2">
        <v>6304.8243165959921</v>
      </c>
      <c r="AS46" s="2">
        <v>6304.8243165959921</v>
      </c>
      <c r="AT46" s="2">
        <v>6304.8243165959921</v>
      </c>
      <c r="AU46" s="2">
        <v>8438.0355515344872</v>
      </c>
      <c r="AV46" s="2">
        <v>8438.0355515344872</v>
      </c>
      <c r="AW46" s="2">
        <v>8438.0355515344872</v>
      </c>
      <c r="AX46" s="2">
        <v>8438.0355515344872</v>
      </c>
      <c r="AY46" s="2">
        <v>8295.8214692052534</v>
      </c>
      <c r="AZ46" s="2">
        <v>8295.8214692052534</v>
      </c>
      <c r="BA46" s="2">
        <v>8295.8214692052534</v>
      </c>
      <c r="BB46" s="2">
        <v>8295.8214692052534</v>
      </c>
    </row>
    <row r="47" spans="1:54" x14ac:dyDescent="0.25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</row>
    <row r="48" spans="1:54" x14ac:dyDescent="0.25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</row>
    <row r="49" spans="2:54" x14ac:dyDescent="0.25"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</row>
    <row r="50" spans="2:54" x14ac:dyDescent="0.25"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</row>
    <row r="51" spans="2:54" x14ac:dyDescent="0.25"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</row>
    <row r="52" spans="2:54" x14ac:dyDescent="0.25"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</row>
    <row r="53" spans="2:54" x14ac:dyDescent="0.25"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</row>
    <row r="54" spans="2:54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</row>
    <row r="55" spans="2:54" x14ac:dyDescent="0.25"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</row>
    <row r="56" spans="2:54" x14ac:dyDescent="0.25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</row>
    <row r="57" spans="2:54" x14ac:dyDescent="0.25"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</row>
    <row r="58" spans="2:54" x14ac:dyDescent="0.25"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</row>
    <row r="59" spans="2:54" x14ac:dyDescent="0.25"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</row>
    <row r="60" spans="2:54" x14ac:dyDescent="0.25"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</row>
    <row r="61" spans="2:54" x14ac:dyDescent="0.25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</row>
    <row r="62" spans="2:54" x14ac:dyDescent="0.25"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</row>
    <row r="63" spans="2:54" x14ac:dyDescent="0.25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L271"/>
  <sheetViews>
    <sheetView tabSelected="1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K20" sqref="K20"/>
    </sheetView>
  </sheetViews>
  <sheetFormatPr defaultRowHeight="15" x14ac:dyDescent="0.25"/>
  <cols>
    <col min="1" max="1" width="9.28515625" style="1" customWidth="1"/>
    <col min="2" max="4" width="9.28515625" customWidth="1"/>
    <col min="5" max="6" width="15.85546875" customWidth="1"/>
    <col min="7" max="7" width="17" customWidth="1"/>
    <col min="8" max="8" width="9.28515625" style="2" customWidth="1"/>
    <col min="9" max="9" width="13.42578125" style="9" customWidth="1"/>
    <col min="10" max="10" width="9.28515625" style="2" customWidth="1"/>
    <col min="11" max="11" width="9.28515625" style="4" customWidth="1"/>
    <col min="12" max="12" width="9.28515625" style="2" customWidth="1"/>
    <col min="13" max="13" width="13.42578125" style="3" customWidth="1"/>
    <col min="14" max="14" width="15.85546875" style="3" customWidth="1"/>
    <col min="15" max="15" width="13.42578125" style="3" customWidth="1"/>
    <col min="16" max="16" width="10" style="5" customWidth="1"/>
    <col min="17" max="20" width="9.28515625" style="6" customWidth="1"/>
    <col min="21" max="21" width="9.28515625" style="7" customWidth="1"/>
    <col min="22" max="63" width="9.28515625" style="6" customWidth="1"/>
    <col min="64" max="64" width="9.140625" style="20"/>
  </cols>
  <sheetData>
    <row r="1" spans="1:63" x14ac:dyDescent="0.25">
      <c r="A1" s="1" t="s">
        <v>103</v>
      </c>
      <c r="B1" t="s">
        <v>101</v>
      </c>
      <c r="C1" t="s">
        <v>104</v>
      </c>
      <c r="D1" t="s">
        <v>102</v>
      </c>
      <c r="E1" t="s">
        <v>117</v>
      </c>
      <c r="F1" t="s">
        <v>116</v>
      </c>
      <c r="G1" t="s">
        <v>111</v>
      </c>
      <c r="H1" s="2" t="s">
        <v>100</v>
      </c>
      <c r="I1" s="9" t="s">
        <v>99</v>
      </c>
      <c r="J1" s="2" t="s">
        <v>98</v>
      </c>
      <c r="K1" s="4" t="s">
        <v>115</v>
      </c>
      <c r="L1" s="2" t="s">
        <v>97</v>
      </c>
      <c r="M1" s="3" t="s">
        <v>110</v>
      </c>
      <c r="N1" s="14" t="s">
        <v>134</v>
      </c>
      <c r="O1" s="3" t="s">
        <v>105</v>
      </c>
      <c r="P1" t="s">
        <v>52</v>
      </c>
      <c r="Q1" t="s">
        <v>53</v>
      </c>
      <c r="R1" t="s">
        <v>54</v>
      </c>
      <c r="S1" t="s">
        <v>55</v>
      </c>
      <c r="T1" t="s">
        <v>56</v>
      </c>
      <c r="U1" t="s">
        <v>57</v>
      </c>
      <c r="V1" t="s">
        <v>58</v>
      </c>
      <c r="W1" t="s">
        <v>59</v>
      </c>
      <c r="X1" t="s">
        <v>60</v>
      </c>
      <c r="Y1" t="s">
        <v>61</v>
      </c>
      <c r="Z1" t="s">
        <v>62</v>
      </c>
      <c r="AA1" t="s">
        <v>63</v>
      </c>
      <c r="AB1" t="s">
        <v>64</v>
      </c>
      <c r="AC1" t="s">
        <v>65</v>
      </c>
      <c r="AD1" t="s">
        <v>66</v>
      </c>
      <c r="AE1" t="s">
        <v>67</v>
      </c>
      <c r="AF1" t="s">
        <v>68</v>
      </c>
      <c r="AG1" t="s">
        <v>69</v>
      </c>
      <c r="AH1" t="s">
        <v>70</v>
      </c>
      <c r="AI1" t="s">
        <v>71</v>
      </c>
      <c r="AJ1" t="s">
        <v>72</v>
      </c>
      <c r="AK1" t="s">
        <v>73</v>
      </c>
      <c r="AL1" t="s">
        <v>74</v>
      </c>
      <c r="AM1" t="s">
        <v>75</v>
      </c>
      <c r="AN1" t="s">
        <v>76</v>
      </c>
      <c r="AO1" t="s">
        <v>77</v>
      </c>
      <c r="AP1" t="s">
        <v>78</v>
      </c>
      <c r="AQ1" t="s">
        <v>79</v>
      </c>
      <c r="AR1" t="s">
        <v>80</v>
      </c>
      <c r="AS1" t="s">
        <v>81</v>
      </c>
      <c r="AT1" t="s">
        <v>82</v>
      </c>
      <c r="AU1" t="s">
        <v>83</v>
      </c>
      <c r="AV1" t="s">
        <v>84</v>
      </c>
      <c r="AW1" t="s">
        <v>85</v>
      </c>
      <c r="AX1" t="s">
        <v>86</v>
      </c>
      <c r="AY1" t="s">
        <v>87</v>
      </c>
      <c r="AZ1" t="s">
        <v>88</v>
      </c>
      <c r="BA1" t="s">
        <v>89</v>
      </c>
      <c r="BB1" t="s">
        <v>90</v>
      </c>
      <c r="BC1" t="s">
        <v>91</v>
      </c>
      <c r="BD1" t="s">
        <v>92</v>
      </c>
      <c r="BE1" t="s">
        <v>93</v>
      </c>
      <c r="BF1" t="s">
        <v>94</v>
      </c>
      <c r="BG1" t="s">
        <v>95</v>
      </c>
      <c r="BH1" t="s">
        <v>96</v>
      </c>
      <c r="BI1"/>
      <c r="BJ1"/>
      <c r="BK1"/>
    </row>
    <row r="2" spans="1:63" x14ac:dyDescent="0.25">
      <c r="A2" s="1">
        <v>1</v>
      </c>
      <c r="B2" s="18" t="s">
        <v>52</v>
      </c>
      <c r="C2">
        <v>1</v>
      </c>
      <c r="D2" t="s">
        <v>106</v>
      </c>
      <c r="E2" s="12" t="str">
        <f>CONCATENATE("Als onderdeel van het programma 'Netwerk op zijn Best' omvat dit groot onderhoudsproject op de ",B2," een verbetermaatregel aan de binnenring door het plaatsen van fly-overs op de knooppunten tussen ",B2," grenzend aan de M1 en de M2.")</f>
        <v>Als onderdeel van het programma 'Netwerk op zijn Best' omvat dit groot onderhoudsproject op de B1-A een verbetermaatregel aan de binnenring door het plaatsen van fly-overs op de knooppunten tussen B1-A grenzend aan de M1 en de M2.</v>
      </c>
      <c r="F2" s="13" t="s">
        <v>135</v>
      </c>
      <c r="G2" s="2" t="s">
        <v>114</v>
      </c>
      <c r="H2" s="2">
        <v>8000</v>
      </c>
      <c r="I2" s="17">
        <v>3184500</v>
      </c>
      <c r="J2" s="2">
        <v>9.9</v>
      </c>
      <c r="K2" s="11">
        <f>1/3</f>
        <v>0.33333333333333331</v>
      </c>
      <c r="L2" s="2">
        <v>2</v>
      </c>
      <c r="M2" s="14">
        <f>O2-I2</f>
        <v>1449500</v>
      </c>
      <c r="N2" s="14">
        <f>0.8*M2</f>
        <v>1159600</v>
      </c>
      <c r="O2" s="3">
        <v>4634000</v>
      </c>
      <c r="P2" s="15">
        <v>1</v>
      </c>
      <c r="Q2" s="22">
        <v>1</v>
      </c>
      <c r="R2" s="22">
        <v>1.60302041926325</v>
      </c>
      <c r="S2" s="22">
        <v>1.3015102096316249</v>
      </c>
      <c r="T2" s="22">
        <v>1.3015102096316249</v>
      </c>
      <c r="U2" s="22">
        <v>1.60302041926325</v>
      </c>
      <c r="V2" s="22">
        <v>1</v>
      </c>
      <c r="W2" s="22">
        <v>1</v>
      </c>
      <c r="X2" s="22">
        <v>1</v>
      </c>
      <c r="Y2" s="22">
        <v>1</v>
      </c>
      <c r="Z2" s="22">
        <v>1</v>
      </c>
      <c r="AA2" s="22">
        <v>1</v>
      </c>
      <c r="AB2" s="22">
        <v>1</v>
      </c>
      <c r="AC2" s="22">
        <v>1</v>
      </c>
      <c r="AD2" s="22">
        <v>1</v>
      </c>
      <c r="AE2" s="22">
        <v>1</v>
      </c>
      <c r="AF2" s="22">
        <v>1</v>
      </c>
      <c r="AG2" s="22">
        <v>1.3015102096316249</v>
      </c>
      <c r="AH2" s="22">
        <v>1</v>
      </c>
      <c r="AI2" s="22">
        <v>1</v>
      </c>
      <c r="AJ2" s="22">
        <v>1.3015102096316249</v>
      </c>
      <c r="AK2" s="22">
        <v>1</v>
      </c>
      <c r="AL2" s="22">
        <v>1</v>
      </c>
      <c r="AM2" s="22">
        <v>1</v>
      </c>
      <c r="AN2" s="22">
        <v>1</v>
      </c>
      <c r="AO2" s="22">
        <v>1</v>
      </c>
      <c r="AP2" s="22">
        <v>1</v>
      </c>
      <c r="AQ2" s="22">
        <v>1</v>
      </c>
      <c r="AR2" s="22">
        <v>1</v>
      </c>
      <c r="AS2" s="22">
        <v>1</v>
      </c>
      <c r="AT2" s="22">
        <v>1</v>
      </c>
      <c r="AU2" s="22">
        <v>1</v>
      </c>
      <c r="AV2" s="22">
        <v>1</v>
      </c>
      <c r="AW2" s="22">
        <v>1</v>
      </c>
      <c r="AX2" s="22">
        <v>1</v>
      </c>
      <c r="AY2" s="22">
        <v>1</v>
      </c>
      <c r="AZ2" s="22">
        <v>1</v>
      </c>
      <c r="BA2" s="22">
        <v>1</v>
      </c>
      <c r="BB2" s="22">
        <v>1</v>
      </c>
      <c r="BC2" s="22">
        <v>1</v>
      </c>
      <c r="BD2" s="22">
        <v>1</v>
      </c>
      <c r="BE2" s="22">
        <v>1.60302041926325</v>
      </c>
      <c r="BF2" s="22">
        <v>1.60302041926325</v>
      </c>
      <c r="BG2" s="22">
        <v>1.3015102096316249</v>
      </c>
      <c r="BH2" s="22">
        <v>1</v>
      </c>
      <c r="BI2" s="22"/>
      <c r="BJ2" s="22"/>
      <c r="BK2"/>
    </row>
    <row r="3" spans="1:63" x14ac:dyDescent="0.25">
      <c r="A3" s="1">
        <v>1</v>
      </c>
      <c r="B3" s="18" t="s">
        <v>52</v>
      </c>
      <c r="C3">
        <v>2</v>
      </c>
      <c r="D3" t="s">
        <v>107</v>
      </c>
      <c r="E3" s="12" t="str">
        <f>CONCATENATE("Als onderdeel van het programma 'Netwerk op zijn Best' omvat dit groot onderhoudsproject op de ",B3," een verbetermaatregel aan de binnenring door het plaatsen van fly-overs op de knooppunten tussen ",B3," grenzend aan de M1 en de M2.")</f>
        <v>Als onderdeel van het programma 'Netwerk op zijn Best' omvat dit groot onderhoudsproject op de B1-A een verbetermaatregel aan de binnenring door het plaatsen van fly-overs op de knooppunten tussen B1-A grenzend aan de M1 en de M2.</v>
      </c>
      <c r="F3" s="13" t="s">
        <v>136</v>
      </c>
      <c r="G3" s="2" t="s">
        <v>114</v>
      </c>
      <c r="H3" s="2">
        <v>12000</v>
      </c>
      <c r="I3" s="17">
        <v>2026500</v>
      </c>
      <c r="J3" s="2">
        <v>9</v>
      </c>
      <c r="K3" s="11">
        <f t="shared" ref="K3:K66" si="0">1/3</f>
        <v>0.33333333333333331</v>
      </c>
      <c r="L3" s="2">
        <v>4</v>
      </c>
      <c r="M3" s="14">
        <f t="shared" ref="M3:M66" si="1">O3-I3</f>
        <v>2607500</v>
      </c>
      <c r="N3" s="14">
        <f t="shared" ref="N3:N66" si="2">0.8*M3</f>
        <v>2086000</v>
      </c>
      <c r="O3" s="3">
        <v>4634000</v>
      </c>
      <c r="P3" s="15">
        <v>1.9045306288948751</v>
      </c>
      <c r="Q3" s="22">
        <v>1.9045306288948751</v>
      </c>
      <c r="R3" s="22">
        <v>1.9045306288948751</v>
      </c>
      <c r="S3" s="22">
        <v>1.4522653144474376</v>
      </c>
      <c r="T3" s="22">
        <v>1.4522653144474376</v>
      </c>
      <c r="U3" s="22">
        <v>1.9045306288948751</v>
      </c>
      <c r="V3" s="22">
        <v>1</v>
      </c>
      <c r="W3" s="22">
        <v>1</v>
      </c>
      <c r="X3" s="22">
        <v>1</v>
      </c>
      <c r="Y3" s="22">
        <v>1</v>
      </c>
      <c r="Z3" s="22">
        <v>1</v>
      </c>
      <c r="AA3" s="22">
        <v>1</v>
      </c>
      <c r="AB3" s="22">
        <v>1</v>
      </c>
      <c r="AC3" s="22">
        <v>1</v>
      </c>
      <c r="AD3" s="22">
        <v>1</v>
      </c>
      <c r="AE3" s="22">
        <v>1</v>
      </c>
      <c r="AF3" s="22">
        <v>1</v>
      </c>
      <c r="AG3" s="22">
        <v>1.4522653144474376</v>
      </c>
      <c r="AH3" s="22">
        <v>1</v>
      </c>
      <c r="AI3" s="22">
        <v>1</v>
      </c>
      <c r="AJ3" s="22">
        <v>1.4522653144474376</v>
      </c>
      <c r="AK3" s="22">
        <v>1</v>
      </c>
      <c r="AL3" s="22">
        <v>1</v>
      </c>
      <c r="AM3" s="22">
        <v>1</v>
      </c>
      <c r="AN3" s="22">
        <v>1</v>
      </c>
      <c r="AO3" s="22">
        <v>1</v>
      </c>
      <c r="AP3" s="22">
        <v>1</v>
      </c>
      <c r="AQ3" s="22">
        <v>1</v>
      </c>
      <c r="AR3" s="22">
        <v>1</v>
      </c>
      <c r="AS3" s="22">
        <v>1</v>
      </c>
      <c r="AT3" s="22">
        <v>1</v>
      </c>
      <c r="AU3" s="22">
        <v>1</v>
      </c>
      <c r="AV3" s="22">
        <v>1</v>
      </c>
      <c r="AW3" s="22">
        <v>1</v>
      </c>
      <c r="AX3" s="22">
        <v>1</v>
      </c>
      <c r="AY3" s="22">
        <v>1</v>
      </c>
      <c r="AZ3" s="22">
        <v>1</v>
      </c>
      <c r="BA3" s="22">
        <v>1</v>
      </c>
      <c r="BB3" s="22">
        <v>1</v>
      </c>
      <c r="BC3" s="22">
        <v>1</v>
      </c>
      <c r="BD3" s="22">
        <v>1</v>
      </c>
      <c r="BE3" s="22">
        <v>1.9045306288948751</v>
      </c>
      <c r="BF3" s="22">
        <v>1.9045306288948751</v>
      </c>
      <c r="BG3" s="22">
        <v>1.4522653144474376</v>
      </c>
      <c r="BH3" s="22">
        <v>1</v>
      </c>
      <c r="BI3" s="22"/>
      <c r="BJ3" s="22"/>
      <c r="BK3"/>
    </row>
    <row r="4" spans="1:63" x14ac:dyDescent="0.25">
      <c r="A4" s="1">
        <v>1</v>
      </c>
      <c r="B4" s="18" t="s">
        <v>52</v>
      </c>
      <c r="C4">
        <v>3</v>
      </c>
      <c r="D4" t="s">
        <v>108</v>
      </c>
      <c r="E4" s="12" t="str">
        <f>CONCATENATE("Als onderdeel van het programma 'Netwerk op zijn Best' omvat dit groot onderhoudsproject op de ",B4," een verbetermaatregel aan de binnenring door het plaatsen van fly-overs op de knooppunten tussen ",B4," grenzend aan de M1 en de M2.")</f>
        <v>Als onderdeel van het programma 'Netwerk op zijn Best' omvat dit groot onderhoudsproject op de B1-A een verbetermaatregel aan de binnenring door het plaatsen van fly-overs op de knooppunten tussen B1-A grenzend aan de M1 en de M2.</v>
      </c>
      <c r="F4" s="13" t="s">
        <v>137</v>
      </c>
      <c r="G4" s="2" t="s">
        <v>114</v>
      </c>
      <c r="H4" s="2">
        <v>10000</v>
      </c>
      <c r="I4" s="17">
        <v>3184500</v>
      </c>
      <c r="J4" s="2">
        <v>9</v>
      </c>
      <c r="K4" s="11">
        <f t="shared" si="0"/>
        <v>0.33333333333333331</v>
      </c>
      <c r="L4" s="2">
        <v>0</v>
      </c>
      <c r="M4" s="14">
        <f t="shared" si="1"/>
        <v>1449500</v>
      </c>
      <c r="N4" s="14">
        <f t="shared" si="2"/>
        <v>1159600</v>
      </c>
      <c r="O4" s="3">
        <v>4634000</v>
      </c>
      <c r="P4" s="15">
        <v>1.3768877620395312</v>
      </c>
      <c r="Q4" s="22">
        <v>1.3768877620395312</v>
      </c>
      <c r="R4" s="22">
        <v>1.7537755240790625</v>
      </c>
      <c r="S4" s="22">
        <v>1.3768877620395312</v>
      </c>
      <c r="T4" s="22">
        <v>1.3768877620395312</v>
      </c>
      <c r="U4" s="22">
        <v>1.7537755240790625</v>
      </c>
      <c r="V4" s="22">
        <v>1</v>
      </c>
      <c r="W4" s="22">
        <v>1</v>
      </c>
      <c r="X4" s="22">
        <v>1</v>
      </c>
      <c r="Y4" s="22">
        <v>1</v>
      </c>
      <c r="Z4" s="22">
        <v>1</v>
      </c>
      <c r="AA4" s="22">
        <v>1</v>
      </c>
      <c r="AB4" s="22">
        <v>1</v>
      </c>
      <c r="AC4" s="22">
        <v>1</v>
      </c>
      <c r="AD4" s="22">
        <v>1</v>
      </c>
      <c r="AE4" s="22">
        <v>1</v>
      </c>
      <c r="AF4" s="22">
        <v>1</v>
      </c>
      <c r="AG4" s="22">
        <v>1.3768877620395312</v>
      </c>
      <c r="AH4" s="22">
        <v>1</v>
      </c>
      <c r="AI4" s="22">
        <v>1</v>
      </c>
      <c r="AJ4" s="22">
        <v>1.3768877620395312</v>
      </c>
      <c r="AK4" s="22">
        <v>1</v>
      </c>
      <c r="AL4" s="22">
        <v>1</v>
      </c>
      <c r="AM4" s="22">
        <v>1</v>
      </c>
      <c r="AN4" s="22">
        <v>1</v>
      </c>
      <c r="AO4" s="22">
        <v>1</v>
      </c>
      <c r="AP4" s="22">
        <v>1</v>
      </c>
      <c r="AQ4" s="22">
        <v>1</v>
      </c>
      <c r="AR4" s="22">
        <v>1</v>
      </c>
      <c r="AS4" s="22">
        <v>1</v>
      </c>
      <c r="AT4" s="22">
        <v>1</v>
      </c>
      <c r="AU4" s="22">
        <v>1</v>
      </c>
      <c r="AV4" s="22">
        <v>1</v>
      </c>
      <c r="AW4" s="22">
        <v>1</v>
      </c>
      <c r="AX4" s="22">
        <v>1</v>
      </c>
      <c r="AY4" s="22">
        <v>1</v>
      </c>
      <c r="AZ4" s="22">
        <v>1</v>
      </c>
      <c r="BA4" s="22">
        <v>1</v>
      </c>
      <c r="BB4" s="22">
        <v>1</v>
      </c>
      <c r="BC4" s="22">
        <v>1</v>
      </c>
      <c r="BD4" s="22">
        <v>1</v>
      </c>
      <c r="BE4" s="22">
        <v>1.7537755240790625</v>
      </c>
      <c r="BF4" s="22">
        <v>1.7537755240790625</v>
      </c>
      <c r="BG4" s="22">
        <v>1.3768877620395312</v>
      </c>
      <c r="BH4" s="22">
        <v>1</v>
      </c>
      <c r="BI4" s="22"/>
      <c r="BJ4" s="22"/>
      <c r="BK4"/>
    </row>
    <row r="5" spans="1:63" x14ac:dyDescent="0.25">
      <c r="A5" s="1">
        <v>1</v>
      </c>
      <c r="B5" s="18" t="s">
        <v>52</v>
      </c>
      <c r="C5">
        <v>4</v>
      </c>
      <c r="D5" t="s">
        <v>109</v>
      </c>
      <c r="E5" s="12" t="str">
        <f>CONCATENATE("Als onderdeel van het programma 'Netwerk op zijn Best' omvat dit groot onderhoudsproject op de ",B5," een verbetermaatregel aan de binnenring door het plaatsen van fly-overs op de knooppunten tussen ",B5," grenzend aan de M1 en de M2.")</f>
        <v>Als onderdeel van het programma 'Netwerk op zijn Best' omvat dit groot onderhoudsproject op de B1-A een verbetermaatregel aan de binnenring door het plaatsen van fly-overs op de knooppunten tussen B1-A grenzend aan de M1 en de M2.</v>
      </c>
      <c r="F5" s="13" t="s">
        <v>138</v>
      </c>
      <c r="G5" s="2" t="s">
        <v>114</v>
      </c>
      <c r="H5" s="2">
        <v>12000</v>
      </c>
      <c r="I5" s="17">
        <v>2895000</v>
      </c>
      <c r="J5" s="2">
        <v>6.3</v>
      </c>
      <c r="K5" s="11">
        <f t="shared" si="0"/>
        <v>0.33333333333333331</v>
      </c>
      <c r="L5" s="2">
        <v>2</v>
      </c>
      <c r="M5" s="14">
        <f t="shared" si="1"/>
        <v>1739000</v>
      </c>
      <c r="N5" s="14">
        <f t="shared" si="2"/>
        <v>1391200</v>
      </c>
      <c r="O5" s="3">
        <v>4634000</v>
      </c>
      <c r="P5" s="15">
        <v>1.9045306288948751</v>
      </c>
      <c r="Q5" s="22">
        <v>1.9045306288948751</v>
      </c>
      <c r="R5" s="22">
        <v>1.9045306288948751</v>
      </c>
      <c r="S5" s="22">
        <v>1.4522653144474376</v>
      </c>
      <c r="T5" s="22">
        <v>1.4522653144474376</v>
      </c>
      <c r="U5" s="22">
        <v>1.9045306288948751</v>
      </c>
      <c r="V5" s="22">
        <v>1</v>
      </c>
      <c r="W5" s="22">
        <v>1</v>
      </c>
      <c r="X5" s="22">
        <v>1</v>
      </c>
      <c r="Y5" s="22">
        <v>1</v>
      </c>
      <c r="Z5" s="22">
        <v>1</v>
      </c>
      <c r="AA5" s="22">
        <v>1</v>
      </c>
      <c r="AB5" s="22">
        <v>1</v>
      </c>
      <c r="AC5" s="22">
        <v>1</v>
      </c>
      <c r="AD5" s="22">
        <v>1</v>
      </c>
      <c r="AE5" s="22">
        <v>1</v>
      </c>
      <c r="AF5" s="22">
        <v>1</v>
      </c>
      <c r="AG5" s="22">
        <v>1.4522653144474376</v>
      </c>
      <c r="AH5" s="22">
        <v>1</v>
      </c>
      <c r="AI5" s="22">
        <v>1</v>
      </c>
      <c r="AJ5" s="22">
        <v>1.4522653144474376</v>
      </c>
      <c r="AK5" s="22">
        <v>1</v>
      </c>
      <c r="AL5" s="22">
        <v>1</v>
      </c>
      <c r="AM5" s="22">
        <v>1</v>
      </c>
      <c r="AN5" s="22">
        <v>1</v>
      </c>
      <c r="AO5" s="22">
        <v>1</v>
      </c>
      <c r="AP5" s="22">
        <v>1</v>
      </c>
      <c r="AQ5" s="22">
        <v>1</v>
      </c>
      <c r="AR5" s="22">
        <v>1</v>
      </c>
      <c r="AS5" s="22">
        <v>1</v>
      </c>
      <c r="AT5" s="22">
        <v>1</v>
      </c>
      <c r="AU5" s="22">
        <v>1</v>
      </c>
      <c r="AV5" s="22">
        <v>1</v>
      </c>
      <c r="AW5" s="22">
        <v>1</v>
      </c>
      <c r="AX5" s="22">
        <v>1</v>
      </c>
      <c r="AY5" s="22">
        <v>1</v>
      </c>
      <c r="AZ5" s="22">
        <v>1</v>
      </c>
      <c r="BA5" s="22">
        <v>1</v>
      </c>
      <c r="BB5" s="22">
        <v>1</v>
      </c>
      <c r="BC5" s="22">
        <v>1</v>
      </c>
      <c r="BD5" s="22">
        <v>1</v>
      </c>
      <c r="BE5" s="22">
        <v>1.9045306288948751</v>
      </c>
      <c r="BF5" s="22">
        <v>1.9045306288948751</v>
      </c>
      <c r="BG5" s="22">
        <v>1.4522653144474376</v>
      </c>
      <c r="BH5" s="22">
        <v>1</v>
      </c>
      <c r="BI5" s="22"/>
      <c r="BJ5" s="22"/>
      <c r="BK5"/>
    </row>
    <row r="6" spans="1:63" x14ac:dyDescent="0.25">
      <c r="A6" s="1">
        <v>2</v>
      </c>
      <c r="B6" s="18" t="s">
        <v>53</v>
      </c>
      <c r="C6">
        <v>1</v>
      </c>
      <c r="D6" t="s">
        <v>106</v>
      </c>
      <c r="E6" s="12" t="str">
        <f>CONCATENATE("Als onderdeel van het programma 'Netwerk op zijn Best' omvat dit groot onderhoudsproject op de ",B6," een verbetermaatregel aan de binnenring door het plaatsen van fly-overs op de knooppunten tussen ",B6," grenzend aan de M2 en de M3.")</f>
        <v>Als onderdeel van het programma 'Netwerk op zijn Best' omvat dit groot onderhoudsproject op de B1-B een verbetermaatregel aan de binnenring door het plaatsen van fly-overs op de knooppunten tussen B1-B grenzend aan de M2 en de M3.</v>
      </c>
      <c r="F6" s="13" t="s">
        <v>135</v>
      </c>
      <c r="G6" s="2" t="s">
        <v>114</v>
      </c>
      <c r="H6" s="2">
        <v>8000</v>
      </c>
      <c r="I6" s="17">
        <v>3184500</v>
      </c>
      <c r="J6" s="2">
        <v>9.9</v>
      </c>
      <c r="K6" s="11">
        <f t="shared" si="0"/>
        <v>0.33333333333333331</v>
      </c>
      <c r="L6" s="2">
        <v>2</v>
      </c>
      <c r="M6" s="14">
        <f t="shared" si="1"/>
        <v>1449500</v>
      </c>
      <c r="N6" s="14">
        <f t="shared" si="2"/>
        <v>1159600</v>
      </c>
      <c r="O6" s="3">
        <v>4634000</v>
      </c>
      <c r="P6" s="10">
        <v>1.60302041926325</v>
      </c>
      <c r="Q6" s="22">
        <v>1.60302041926325</v>
      </c>
      <c r="R6" s="22">
        <v>1</v>
      </c>
      <c r="S6" s="22">
        <v>1.60302041926325</v>
      </c>
      <c r="T6" s="22">
        <v>1.3015102096316249</v>
      </c>
      <c r="U6" s="22">
        <v>1.3015102096316249</v>
      </c>
      <c r="V6" s="22">
        <v>1</v>
      </c>
      <c r="W6" s="22">
        <v>1</v>
      </c>
      <c r="X6" s="22">
        <v>1</v>
      </c>
      <c r="Y6" s="22">
        <v>1</v>
      </c>
      <c r="Z6" s="22">
        <v>1</v>
      </c>
      <c r="AA6" s="22">
        <v>1</v>
      </c>
      <c r="AB6" s="22">
        <v>1</v>
      </c>
      <c r="AC6" s="22">
        <v>1</v>
      </c>
      <c r="AD6" s="22">
        <v>1</v>
      </c>
      <c r="AE6" s="22">
        <v>1</v>
      </c>
      <c r="AF6" s="22">
        <v>1</v>
      </c>
      <c r="AG6" s="22">
        <v>1.3015102096316249</v>
      </c>
      <c r="AH6" s="22">
        <v>1</v>
      </c>
      <c r="AI6" s="22">
        <v>1</v>
      </c>
      <c r="AJ6" s="22">
        <v>1</v>
      </c>
      <c r="AK6" s="22">
        <v>1</v>
      </c>
      <c r="AL6" s="22">
        <v>1</v>
      </c>
      <c r="AM6" s="22">
        <v>1.3015102096316249</v>
      </c>
      <c r="AN6" s="22">
        <v>1</v>
      </c>
      <c r="AO6" s="22">
        <v>1</v>
      </c>
      <c r="AP6" s="22">
        <v>1</v>
      </c>
      <c r="AQ6" s="22">
        <v>1</v>
      </c>
      <c r="AR6" s="22">
        <v>1</v>
      </c>
      <c r="AS6" s="22">
        <v>1</v>
      </c>
      <c r="AT6" s="22">
        <v>1</v>
      </c>
      <c r="AU6" s="22">
        <v>1</v>
      </c>
      <c r="AV6" s="22">
        <v>1</v>
      </c>
      <c r="AW6" s="22">
        <v>1</v>
      </c>
      <c r="AX6" s="22">
        <v>1</v>
      </c>
      <c r="AY6" s="22">
        <v>1</v>
      </c>
      <c r="AZ6" s="22">
        <v>1</v>
      </c>
      <c r="BA6" s="22">
        <v>1</v>
      </c>
      <c r="BB6" s="22">
        <v>1</v>
      </c>
      <c r="BC6" s="22">
        <v>1</v>
      </c>
      <c r="BD6" s="22">
        <v>1</v>
      </c>
      <c r="BE6" s="22">
        <v>1.3015102096316249</v>
      </c>
      <c r="BF6" s="22">
        <v>1.60302041926325</v>
      </c>
      <c r="BG6" s="22">
        <v>1.60302041926325</v>
      </c>
      <c r="BH6" s="22">
        <v>1.3015102096316249</v>
      </c>
      <c r="BI6" s="22"/>
      <c r="BJ6" s="22"/>
      <c r="BK6"/>
    </row>
    <row r="7" spans="1:63" x14ac:dyDescent="0.25">
      <c r="A7" s="1">
        <v>2</v>
      </c>
      <c r="B7" s="18" t="s">
        <v>53</v>
      </c>
      <c r="C7">
        <v>2</v>
      </c>
      <c r="D7" t="s">
        <v>107</v>
      </c>
      <c r="E7" s="12" t="str">
        <f>CONCATENATE("Als onderdeel van het programma 'Netwerk op zijn Best' omvat dit groot onderhoudsproject op de ",B7," een verbetermaatregel aan de binnenring door het plaatsen van fly-overs op de knooppunten tussen ",B7," grenzend aan de M2 en de M3.")</f>
        <v>Als onderdeel van het programma 'Netwerk op zijn Best' omvat dit groot onderhoudsproject op de B1-B een verbetermaatregel aan de binnenring door het plaatsen van fly-overs op de knooppunten tussen B1-B grenzend aan de M2 en de M3.</v>
      </c>
      <c r="F7" s="13" t="s">
        <v>136</v>
      </c>
      <c r="G7" s="2" t="s">
        <v>114</v>
      </c>
      <c r="H7" s="2">
        <v>12000</v>
      </c>
      <c r="I7" s="17">
        <v>2026500</v>
      </c>
      <c r="J7" s="2">
        <v>9</v>
      </c>
      <c r="K7" s="11">
        <f t="shared" si="0"/>
        <v>0.33333333333333331</v>
      </c>
      <c r="L7" s="2">
        <v>4</v>
      </c>
      <c r="M7" s="14">
        <f t="shared" si="1"/>
        <v>2607500</v>
      </c>
      <c r="N7" s="14">
        <f t="shared" si="2"/>
        <v>2086000</v>
      </c>
      <c r="O7" s="3">
        <v>4634000</v>
      </c>
      <c r="P7" s="10">
        <v>1.9045306288948751</v>
      </c>
      <c r="Q7" s="22">
        <v>1.9045306288948751</v>
      </c>
      <c r="R7" s="22">
        <v>1.9045306288948751</v>
      </c>
      <c r="S7" s="22">
        <v>1.9045306288948751</v>
      </c>
      <c r="T7" s="22">
        <v>1.4522653144474376</v>
      </c>
      <c r="U7" s="22">
        <v>1.4522653144474376</v>
      </c>
      <c r="V7" s="22">
        <v>1</v>
      </c>
      <c r="W7" s="22">
        <v>1</v>
      </c>
      <c r="X7" s="22">
        <v>1</v>
      </c>
      <c r="Y7" s="22">
        <v>1</v>
      </c>
      <c r="Z7" s="22">
        <v>1</v>
      </c>
      <c r="AA7" s="22">
        <v>1</v>
      </c>
      <c r="AB7" s="22">
        <v>1</v>
      </c>
      <c r="AC7" s="22">
        <v>1</v>
      </c>
      <c r="AD7" s="22">
        <v>1</v>
      </c>
      <c r="AE7" s="22">
        <v>1</v>
      </c>
      <c r="AF7" s="22">
        <v>1</v>
      </c>
      <c r="AG7" s="22">
        <v>1.4522653144474376</v>
      </c>
      <c r="AH7" s="22">
        <v>1</v>
      </c>
      <c r="AI7" s="22">
        <v>1</v>
      </c>
      <c r="AJ7" s="22">
        <v>1</v>
      </c>
      <c r="AK7" s="22">
        <v>1</v>
      </c>
      <c r="AL7" s="22">
        <v>1</v>
      </c>
      <c r="AM7" s="22">
        <v>1.4522653144474376</v>
      </c>
      <c r="AN7" s="22">
        <v>1</v>
      </c>
      <c r="AO7" s="22">
        <v>1</v>
      </c>
      <c r="AP7" s="22">
        <v>1</v>
      </c>
      <c r="AQ7" s="22">
        <v>1</v>
      </c>
      <c r="AR7" s="22">
        <v>1</v>
      </c>
      <c r="AS7" s="22">
        <v>1</v>
      </c>
      <c r="AT7" s="22">
        <v>1</v>
      </c>
      <c r="AU7" s="22">
        <v>1</v>
      </c>
      <c r="AV7" s="22">
        <v>1</v>
      </c>
      <c r="AW7" s="22">
        <v>1</v>
      </c>
      <c r="AX7" s="22">
        <v>1</v>
      </c>
      <c r="AY7" s="22">
        <v>1</v>
      </c>
      <c r="AZ7" s="22">
        <v>1</v>
      </c>
      <c r="BA7" s="22">
        <v>1</v>
      </c>
      <c r="BB7" s="22">
        <v>1</v>
      </c>
      <c r="BC7" s="22">
        <v>1</v>
      </c>
      <c r="BD7" s="22">
        <v>1</v>
      </c>
      <c r="BE7" s="22">
        <v>1.4522653144474376</v>
      </c>
      <c r="BF7" s="22">
        <v>1.9045306288948751</v>
      </c>
      <c r="BG7" s="22">
        <v>1.9045306288948751</v>
      </c>
      <c r="BH7" s="22">
        <v>1.4522653144474376</v>
      </c>
      <c r="BI7" s="22"/>
      <c r="BJ7" s="22"/>
      <c r="BK7"/>
    </row>
    <row r="8" spans="1:63" x14ac:dyDescent="0.25">
      <c r="A8" s="1">
        <v>2</v>
      </c>
      <c r="B8" s="18" t="s">
        <v>53</v>
      </c>
      <c r="C8">
        <v>3</v>
      </c>
      <c r="D8" t="s">
        <v>108</v>
      </c>
      <c r="E8" s="12" t="str">
        <f>CONCATENATE("Als onderdeel van het programma 'Netwerk op zijn Best' omvat dit groot onderhoudsproject op de ",B8," een verbetermaatregel aan de binnenring door het plaatsen van fly-overs op de knooppunten tussen ",B8," grenzend aan de M2 en de M3.")</f>
        <v>Als onderdeel van het programma 'Netwerk op zijn Best' omvat dit groot onderhoudsproject op de B1-B een verbetermaatregel aan de binnenring door het plaatsen van fly-overs op de knooppunten tussen B1-B grenzend aan de M2 en de M3.</v>
      </c>
      <c r="F8" s="13" t="s">
        <v>137</v>
      </c>
      <c r="G8" s="2" t="s">
        <v>114</v>
      </c>
      <c r="H8" s="2">
        <v>10000</v>
      </c>
      <c r="I8" s="17">
        <v>3184500</v>
      </c>
      <c r="J8" s="2">
        <v>9</v>
      </c>
      <c r="K8" s="11">
        <f t="shared" si="0"/>
        <v>0.33333333333333331</v>
      </c>
      <c r="L8" s="2">
        <v>0</v>
      </c>
      <c r="M8" s="14">
        <f t="shared" si="1"/>
        <v>1449500</v>
      </c>
      <c r="N8" s="14">
        <f t="shared" si="2"/>
        <v>1159600</v>
      </c>
      <c r="O8" s="3">
        <v>4634000</v>
      </c>
      <c r="P8" s="10">
        <v>1.7537755240790625</v>
      </c>
      <c r="Q8" s="22">
        <v>1.7537755240790625</v>
      </c>
      <c r="R8" s="22">
        <v>1.3768877620395312</v>
      </c>
      <c r="S8" s="22">
        <v>1.7537755240790625</v>
      </c>
      <c r="T8" s="22">
        <v>1.3768877620395312</v>
      </c>
      <c r="U8" s="22">
        <v>1.3768877620395312</v>
      </c>
      <c r="V8" s="22">
        <v>1</v>
      </c>
      <c r="W8" s="22">
        <v>1</v>
      </c>
      <c r="X8" s="22">
        <v>1</v>
      </c>
      <c r="Y8" s="22">
        <v>1</v>
      </c>
      <c r="Z8" s="22">
        <v>1</v>
      </c>
      <c r="AA8" s="22">
        <v>1</v>
      </c>
      <c r="AB8" s="22">
        <v>1</v>
      </c>
      <c r="AC8" s="22">
        <v>1</v>
      </c>
      <c r="AD8" s="22">
        <v>1</v>
      </c>
      <c r="AE8" s="22">
        <v>1</v>
      </c>
      <c r="AF8" s="22">
        <v>1</v>
      </c>
      <c r="AG8" s="22">
        <v>1.3768877620395312</v>
      </c>
      <c r="AH8" s="22">
        <v>1</v>
      </c>
      <c r="AI8" s="22">
        <v>1</v>
      </c>
      <c r="AJ8" s="22">
        <v>1</v>
      </c>
      <c r="AK8" s="22">
        <v>1</v>
      </c>
      <c r="AL8" s="22">
        <v>1</v>
      </c>
      <c r="AM8" s="22">
        <v>1.3768877620395312</v>
      </c>
      <c r="AN8" s="22">
        <v>1</v>
      </c>
      <c r="AO8" s="22">
        <v>1</v>
      </c>
      <c r="AP8" s="22">
        <v>1</v>
      </c>
      <c r="AQ8" s="22">
        <v>1</v>
      </c>
      <c r="AR8" s="22">
        <v>1</v>
      </c>
      <c r="AS8" s="22">
        <v>1</v>
      </c>
      <c r="AT8" s="22">
        <v>1</v>
      </c>
      <c r="AU8" s="22">
        <v>1</v>
      </c>
      <c r="AV8" s="22">
        <v>1</v>
      </c>
      <c r="AW8" s="22">
        <v>1</v>
      </c>
      <c r="AX8" s="22">
        <v>1</v>
      </c>
      <c r="AY8" s="22">
        <v>1</v>
      </c>
      <c r="AZ8" s="22">
        <v>1</v>
      </c>
      <c r="BA8" s="22">
        <v>1</v>
      </c>
      <c r="BB8" s="22">
        <v>1</v>
      </c>
      <c r="BC8" s="22">
        <v>1</v>
      </c>
      <c r="BD8" s="22">
        <v>1</v>
      </c>
      <c r="BE8" s="22">
        <v>1.3768877620395312</v>
      </c>
      <c r="BF8" s="22">
        <v>1.7537755240790625</v>
      </c>
      <c r="BG8" s="22">
        <v>1.7537755240790625</v>
      </c>
      <c r="BH8" s="22">
        <v>1.3768877620395312</v>
      </c>
      <c r="BI8" s="22"/>
      <c r="BJ8" s="22"/>
      <c r="BK8"/>
    </row>
    <row r="9" spans="1:63" x14ac:dyDescent="0.25">
      <c r="A9" s="1">
        <v>2</v>
      </c>
      <c r="B9" s="18" t="s">
        <v>53</v>
      </c>
      <c r="C9">
        <v>4</v>
      </c>
      <c r="D9" t="s">
        <v>109</v>
      </c>
      <c r="E9" s="12" t="str">
        <f>CONCATENATE("Als onderdeel van het programma 'Netwerk op zijn Best' omvat dit groot onderhoudsproject op de ",B9," een verbetermaatregel aan de binnenring door het plaatsen van fly-overs op de knooppunten tussen ",B9," grenzend aan de M2 en de M3.")</f>
        <v>Als onderdeel van het programma 'Netwerk op zijn Best' omvat dit groot onderhoudsproject op de B1-B een verbetermaatregel aan de binnenring door het plaatsen van fly-overs op de knooppunten tussen B1-B grenzend aan de M2 en de M3.</v>
      </c>
      <c r="F9" s="13" t="s">
        <v>138</v>
      </c>
      <c r="G9" s="2" t="s">
        <v>114</v>
      </c>
      <c r="H9" s="2">
        <v>12000</v>
      </c>
      <c r="I9" s="17">
        <v>2895000</v>
      </c>
      <c r="J9" s="2">
        <v>6.3</v>
      </c>
      <c r="K9" s="11">
        <f t="shared" si="0"/>
        <v>0.33333333333333331</v>
      </c>
      <c r="L9" s="2">
        <v>2</v>
      </c>
      <c r="M9" s="14">
        <f t="shared" si="1"/>
        <v>1739000</v>
      </c>
      <c r="N9" s="14">
        <f t="shared" si="2"/>
        <v>1391200</v>
      </c>
      <c r="O9" s="3">
        <v>4634000</v>
      </c>
      <c r="P9" s="10">
        <v>1.9045306288948751</v>
      </c>
      <c r="Q9" s="22">
        <v>1.9045306288948751</v>
      </c>
      <c r="R9" s="22">
        <v>1.9045306288948751</v>
      </c>
      <c r="S9" s="22">
        <v>1.9045306288948751</v>
      </c>
      <c r="T9" s="22">
        <v>1.4522653144474376</v>
      </c>
      <c r="U9" s="22">
        <v>1.4522653144474376</v>
      </c>
      <c r="V9" s="22">
        <v>1</v>
      </c>
      <c r="W9" s="22">
        <v>1</v>
      </c>
      <c r="X9" s="22">
        <v>1</v>
      </c>
      <c r="Y9" s="22">
        <v>1</v>
      </c>
      <c r="Z9" s="22">
        <v>1</v>
      </c>
      <c r="AA9" s="22">
        <v>1</v>
      </c>
      <c r="AB9" s="22">
        <v>1</v>
      </c>
      <c r="AC9" s="22">
        <v>1</v>
      </c>
      <c r="AD9" s="22">
        <v>1</v>
      </c>
      <c r="AE9" s="22">
        <v>1</v>
      </c>
      <c r="AF9" s="22">
        <v>1</v>
      </c>
      <c r="AG9" s="22">
        <v>1.4522653144474376</v>
      </c>
      <c r="AH9" s="22">
        <v>1</v>
      </c>
      <c r="AI9" s="22">
        <v>1</v>
      </c>
      <c r="AJ9" s="22">
        <v>1</v>
      </c>
      <c r="AK9" s="22">
        <v>1</v>
      </c>
      <c r="AL9" s="22">
        <v>1</v>
      </c>
      <c r="AM9" s="22">
        <v>1.4522653144474376</v>
      </c>
      <c r="AN9" s="22">
        <v>1</v>
      </c>
      <c r="AO9" s="22">
        <v>1</v>
      </c>
      <c r="AP9" s="22">
        <v>1</v>
      </c>
      <c r="AQ9" s="22">
        <v>1</v>
      </c>
      <c r="AR9" s="22">
        <v>1</v>
      </c>
      <c r="AS9" s="22">
        <v>1</v>
      </c>
      <c r="AT9" s="22">
        <v>1</v>
      </c>
      <c r="AU9" s="22">
        <v>1</v>
      </c>
      <c r="AV9" s="22">
        <v>1</v>
      </c>
      <c r="AW9" s="22">
        <v>1</v>
      </c>
      <c r="AX9" s="22">
        <v>1</v>
      </c>
      <c r="AY9" s="22">
        <v>1</v>
      </c>
      <c r="AZ9" s="22">
        <v>1</v>
      </c>
      <c r="BA9" s="22">
        <v>1</v>
      </c>
      <c r="BB9" s="22">
        <v>1</v>
      </c>
      <c r="BC9" s="22">
        <v>1</v>
      </c>
      <c r="BD9" s="22">
        <v>1</v>
      </c>
      <c r="BE9" s="22">
        <v>1.4522653144474376</v>
      </c>
      <c r="BF9" s="22">
        <v>1.9045306288948751</v>
      </c>
      <c r="BG9" s="22">
        <v>1.9045306288948751</v>
      </c>
      <c r="BH9" s="22">
        <v>1.4522653144474376</v>
      </c>
      <c r="BI9" s="22"/>
      <c r="BJ9" s="22"/>
      <c r="BK9"/>
    </row>
    <row r="10" spans="1:63" x14ac:dyDescent="0.25">
      <c r="A10" s="1">
        <v>3</v>
      </c>
      <c r="B10" s="18" t="s">
        <v>54</v>
      </c>
      <c r="C10">
        <v>1</v>
      </c>
      <c r="D10" t="s">
        <v>106</v>
      </c>
      <c r="E10" s="12" t="str">
        <f>CONCATENATE("Als onderdeel van het programma 'Netwerk op zijn Best' omvat dit groot onderhoudsproject op de ",B10," een verbetermaatregel aan de binnenring door het plaatsen van fly-overs op de knooppunten tussen ",B10," grenzend aan de M3 en de M4.")</f>
        <v>Als onderdeel van het programma 'Netwerk op zijn Best' omvat dit groot onderhoudsproject op de B1-C een verbetermaatregel aan de binnenring door het plaatsen van fly-overs op de knooppunten tussen B1-C grenzend aan de M3 en de M4.</v>
      </c>
      <c r="F10" s="13" t="s">
        <v>135</v>
      </c>
      <c r="G10" s="2" t="s">
        <v>114</v>
      </c>
      <c r="H10" s="2">
        <v>8000</v>
      </c>
      <c r="I10" s="17">
        <v>3184500</v>
      </c>
      <c r="J10" s="2">
        <v>9.9</v>
      </c>
      <c r="K10" s="11">
        <f t="shared" si="0"/>
        <v>0.33333333333333331</v>
      </c>
      <c r="L10" s="2">
        <v>2</v>
      </c>
      <c r="M10" s="14">
        <f t="shared" si="1"/>
        <v>1449500</v>
      </c>
      <c r="N10" s="14">
        <f t="shared" si="2"/>
        <v>1159600</v>
      </c>
      <c r="O10" s="3">
        <v>4634000</v>
      </c>
      <c r="P10" s="10">
        <v>1.3015102096316249</v>
      </c>
      <c r="Q10" s="22">
        <v>1.3015102096316249</v>
      </c>
      <c r="R10" s="22">
        <v>1.60302041926325</v>
      </c>
      <c r="S10" s="22">
        <v>1</v>
      </c>
      <c r="T10" s="22">
        <v>1.60302041926325</v>
      </c>
      <c r="U10" s="22">
        <v>1.3015102096316249</v>
      </c>
      <c r="V10" s="22">
        <v>1</v>
      </c>
      <c r="W10" s="22">
        <v>1</v>
      </c>
      <c r="X10" s="22">
        <v>1</v>
      </c>
      <c r="Y10" s="22">
        <v>1</v>
      </c>
      <c r="Z10" s="22">
        <v>1</v>
      </c>
      <c r="AA10" s="22">
        <v>1</v>
      </c>
      <c r="AB10" s="22">
        <v>1</v>
      </c>
      <c r="AC10" s="22">
        <v>1</v>
      </c>
      <c r="AD10" s="22">
        <v>1</v>
      </c>
      <c r="AE10" s="22">
        <v>1</v>
      </c>
      <c r="AF10" s="22">
        <v>1</v>
      </c>
      <c r="AG10" s="22">
        <v>1</v>
      </c>
      <c r="AH10" s="22">
        <v>1</v>
      </c>
      <c r="AI10" s="22">
        <v>1</v>
      </c>
      <c r="AJ10" s="22">
        <v>1</v>
      </c>
      <c r="AK10" s="22">
        <v>1</v>
      </c>
      <c r="AL10" s="22">
        <v>1</v>
      </c>
      <c r="AM10" s="22">
        <v>1.3015102096316249</v>
      </c>
      <c r="AN10" s="22">
        <v>1</v>
      </c>
      <c r="AO10" s="22">
        <v>1</v>
      </c>
      <c r="AP10" s="22">
        <v>1.3015102096316249</v>
      </c>
      <c r="AQ10" s="22">
        <v>1</v>
      </c>
      <c r="AR10" s="22">
        <v>1</v>
      </c>
      <c r="AS10" s="22">
        <v>1</v>
      </c>
      <c r="AT10" s="22">
        <v>1</v>
      </c>
      <c r="AU10" s="22">
        <v>1</v>
      </c>
      <c r="AV10" s="22">
        <v>1</v>
      </c>
      <c r="AW10" s="22">
        <v>1</v>
      </c>
      <c r="AX10" s="22">
        <v>1</v>
      </c>
      <c r="AY10" s="22">
        <v>1</v>
      </c>
      <c r="AZ10" s="22">
        <v>1</v>
      </c>
      <c r="BA10" s="22">
        <v>1</v>
      </c>
      <c r="BB10" s="22">
        <v>1</v>
      </c>
      <c r="BC10" s="22">
        <v>1</v>
      </c>
      <c r="BD10" s="22">
        <v>1</v>
      </c>
      <c r="BE10" s="22">
        <v>1</v>
      </c>
      <c r="BF10" s="22">
        <v>1.3015102096316249</v>
      </c>
      <c r="BG10" s="22">
        <v>1.60302041926325</v>
      </c>
      <c r="BH10" s="22">
        <v>1.60302041926325</v>
      </c>
      <c r="BI10" s="22"/>
      <c r="BJ10" s="22"/>
      <c r="BK10"/>
    </row>
    <row r="11" spans="1:63" x14ac:dyDescent="0.25">
      <c r="A11" s="1">
        <v>3</v>
      </c>
      <c r="B11" s="18" t="s">
        <v>54</v>
      </c>
      <c r="C11">
        <v>2</v>
      </c>
      <c r="D11" t="s">
        <v>107</v>
      </c>
      <c r="E11" s="12" t="str">
        <f>CONCATENATE("Als onderdeel van het programma 'Netwerk op zijn Best' omvat dit groot onderhoudsproject op de ",B11," een verbetermaatregel aan de binnenring door het plaatsen van fly-overs op de knooppunten tussen ",B11," grenzend aan de M3 en de M4.")</f>
        <v>Als onderdeel van het programma 'Netwerk op zijn Best' omvat dit groot onderhoudsproject op de B1-C een verbetermaatregel aan de binnenring door het plaatsen van fly-overs op de knooppunten tussen B1-C grenzend aan de M3 en de M4.</v>
      </c>
      <c r="F11" s="13" t="s">
        <v>136</v>
      </c>
      <c r="G11" s="2" t="s">
        <v>114</v>
      </c>
      <c r="H11" s="2">
        <v>12000</v>
      </c>
      <c r="I11" s="17">
        <v>2026500</v>
      </c>
      <c r="J11" s="2">
        <v>9</v>
      </c>
      <c r="K11" s="11">
        <f t="shared" si="0"/>
        <v>0.33333333333333331</v>
      </c>
      <c r="L11" s="2">
        <v>4</v>
      </c>
      <c r="M11" s="14">
        <f t="shared" si="1"/>
        <v>2607500</v>
      </c>
      <c r="N11" s="14">
        <f t="shared" si="2"/>
        <v>2086000</v>
      </c>
      <c r="O11" s="3">
        <v>4634000</v>
      </c>
      <c r="P11" s="10">
        <v>1.4522653144474376</v>
      </c>
      <c r="Q11" s="22">
        <v>1.4522653144474376</v>
      </c>
      <c r="R11" s="22">
        <v>1.9045306288948751</v>
      </c>
      <c r="S11" s="22">
        <v>1.9045306288948751</v>
      </c>
      <c r="T11" s="22">
        <v>1.9045306288948751</v>
      </c>
      <c r="U11" s="22">
        <v>1.4522653144474376</v>
      </c>
      <c r="V11" s="22">
        <v>1</v>
      </c>
      <c r="W11" s="22">
        <v>1</v>
      </c>
      <c r="X11" s="22">
        <v>1</v>
      </c>
      <c r="Y11" s="22">
        <v>1</v>
      </c>
      <c r="Z11" s="22">
        <v>1</v>
      </c>
      <c r="AA11" s="22">
        <v>1</v>
      </c>
      <c r="AB11" s="22">
        <v>1</v>
      </c>
      <c r="AC11" s="22">
        <v>1</v>
      </c>
      <c r="AD11" s="22">
        <v>1</v>
      </c>
      <c r="AE11" s="22">
        <v>1</v>
      </c>
      <c r="AF11" s="22">
        <v>1</v>
      </c>
      <c r="AG11" s="22">
        <v>1</v>
      </c>
      <c r="AH11" s="22">
        <v>1</v>
      </c>
      <c r="AI11" s="22">
        <v>1</v>
      </c>
      <c r="AJ11" s="22">
        <v>1</v>
      </c>
      <c r="AK11" s="22">
        <v>1</v>
      </c>
      <c r="AL11" s="22">
        <v>1</v>
      </c>
      <c r="AM11" s="22">
        <v>1.4522653144474376</v>
      </c>
      <c r="AN11" s="22">
        <v>1</v>
      </c>
      <c r="AO11" s="22">
        <v>1</v>
      </c>
      <c r="AP11" s="22">
        <v>1.4522653144474376</v>
      </c>
      <c r="AQ11" s="22">
        <v>1</v>
      </c>
      <c r="AR11" s="22">
        <v>1</v>
      </c>
      <c r="AS11" s="22">
        <v>1</v>
      </c>
      <c r="AT11" s="22">
        <v>1</v>
      </c>
      <c r="AU11" s="22">
        <v>1</v>
      </c>
      <c r="AV11" s="22">
        <v>1</v>
      </c>
      <c r="AW11" s="22">
        <v>1</v>
      </c>
      <c r="AX11" s="22">
        <v>1</v>
      </c>
      <c r="AY11" s="22">
        <v>1</v>
      </c>
      <c r="AZ11" s="22">
        <v>1</v>
      </c>
      <c r="BA11" s="22">
        <v>1</v>
      </c>
      <c r="BB11" s="22">
        <v>1</v>
      </c>
      <c r="BC11" s="22">
        <v>1</v>
      </c>
      <c r="BD11" s="22">
        <v>1</v>
      </c>
      <c r="BE11" s="22">
        <v>1</v>
      </c>
      <c r="BF11" s="22">
        <v>1.4522653144474376</v>
      </c>
      <c r="BG11" s="22">
        <v>1.9045306288948751</v>
      </c>
      <c r="BH11" s="22">
        <v>1.9045306288948751</v>
      </c>
      <c r="BI11" s="22"/>
      <c r="BJ11" s="22"/>
      <c r="BK11"/>
    </row>
    <row r="12" spans="1:63" x14ac:dyDescent="0.25">
      <c r="A12" s="1">
        <v>3</v>
      </c>
      <c r="B12" s="18" t="s">
        <v>54</v>
      </c>
      <c r="C12">
        <v>3</v>
      </c>
      <c r="D12" t="s">
        <v>108</v>
      </c>
      <c r="E12" s="12" t="str">
        <f>CONCATENATE("Als onderdeel van het programma 'Netwerk op zijn Best' omvat dit groot onderhoudsproject op de ",B12," een verbetermaatregel aan de binnenring door het plaatsen van fly-overs op de knooppunten tussen ",B12," grenzend aan de M3 en de M4.")</f>
        <v>Als onderdeel van het programma 'Netwerk op zijn Best' omvat dit groot onderhoudsproject op de B1-C een verbetermaatregel aan de binnenring door het plaatsen van fly-overs op de knooppunten tussen B1-C grenzend aan de M3 en de M4.</v>
      </c>
      <c r="F12" s="13" t="s">
        <v>137</v>
      </c>
      <c r="G12" s="2" t="s">
        <v>114</v>
      </c>
      <c r="H12" s="2">
        <v>10000</v>
      </c>
      <c r="I12" s="17">
        <v>3184500</v>
      </c>
      <c r="J12" s="2">
        <v>9</v>
      </c>
      <c r="K12" s="11">
        <f t="shared" si="0"/>
        <v>0.33333333333333331</v>
      </c>
      <c r="L12" s="2">
        <v>0</v>
      </c>
      <c r="M12" s="14">
        <f t="shared" si="1"/>
        <v>1449500</v>
      </c>
      <c r="N12" s="14">
        <f t="shared" si="2"/>
        <v>1159600</v>
      </c>
      <c r="O12" s="3">
        <v>4634000</v>
      </c>
      <c r="P12" s="10">
        <v>1.3768877620395312</v>
      </c>
      <c r="Q12" s="22">
        <v>1.3768877620395312</v>
      </c>
      <c r="R12" s="22">
        <v>1.7537755240790625</v>
      </c>
      <c r="S12" s="22">
        <v>1.3768877620395312</v>
      </c>
      <c r="T12" s="22">
        <v>1.7537755240790625</v>
      </c>
      <c r="U12" s="22">
        <v>1.3768877620395312</v>
      </c>
      <c r="V12" s="22">
        <v>1</v>
      </c>
      <c r="W12" s="22">
        <v>1</v>
      </c>
      <c r="X12" s="22">
        <v>1</v>
      </c>
      <c r="Y12" s="22">
        <v>1</v>
      </c>
      <c r="Z12" s="22">
        <v>1</v>
      </c>
      <c r="AA12" s="22">
        <v>1</v>
      </c>
      <c r="AB12" s="22">
        <v>1</v>
      </c>
      <c r="AC12" s="22">
        <v>1</v>
      </c>
      <c r="AD12" s="22">
        <v>1</v>
      </c>
      <c r="AE12" s="22">
        <v>1</v>
      </c>
      <c r="AF12" s="22">
        <v>1</v>
      </c>
      <c r="AG12" s="22">
        <v>1</v>
      </c>
      <c r="AH12" s="22">
        <v>1</v>
      </c>
      <c r="AI12" s="22">
        <v>1</v>
      </c>
      <c r="AJ12" s="22">
        <v>1</v>
      </c>
      <c r="AK12" s="22">
        <v>1</v>
      </c>
      <c r="AL12" s="22">
        <v>1</v>
      </c>
      <c r="AM12" s="22">
        <v>1.3768877620395312</v>
      </c>
      <c r="AN12" s="22">
        <v>1</v>
      </c>
      <c r="AO12" s="22">
        <v>1</v>
      </c>
      <c r="AP12" s="22">
        <v>1.3768877620395312</v>
      </c>
      <c r="AQ12" s="22">
        <v>1</v>
      </c>
      <c r="AR12" s="22">
        <v>1</v>
      </c>
      <c r="AS12" s="22">
        <v>1</v>
      </c>
      <c r="AT12" s="22">
        <v>1</v>
      </c>
      <c r="AU12" s="22">
        <v>1</v>
      </c>
      <c r="AV12" s="22">
        <v>1</v>
      </c>
      <c r="AW12" s="22">
        <v>1</v>
      </c>
      <c r="AX12" s="22">
        <v>1</v>
      </c>
      <c r="AY12" s="22">
        <v>1</v>
      </c>
      <c r="AZ12" s="22">
        <v>1</v>
      </c>
      <c r="BA12" s="22">
        <v>1</v>
      </c>
      <c r="BB12" s="22">
        <v>1</v>
      </c>
      <c r="BC12" s="22">
        <v>1</v>
      </c>
      <c r="BD12" s="22">
        <v>1</v>
      </c>
      <c r="BE12" s="22">
        <v>1</v>
      </c>
      <c r="BF12" s="22">
        <v>1.3768877620395312</v>
      </c>
      <c r="BG12" s="22">
        <v>1.7537755240790625</v>
      </c>
      <c r="BH12" s="22">
        <v>1.7537755240790625</v>
      </c>
      <c r="BI12" s="22"/>
      <c r="BJ12" s="22"/>
      <c r="BK12"/>
    </row>
    <row r="13" spans="1:63" x14ac:dyDescent="0.25">
      <c r="A13" s="1">
        <v>3</v>
      </c>
      <c r="B13" s="18" t="s">
        <v>54</v>
      </c>
      <c r="C13">
        <v>4</v>
      </c>
      <c r="D13" t="s">
        <v>109</v>
      </c>
      <c r="E13" s="12" t="str">
        <f>CONCATENATE("Als onderdeel van het programma 'Netwerk op zijn Best' omvat dit groot onderhoudsproject op de ",B13," een verbetermaatregel aan de binnenring door het plaatsen van fly-overs op de knooppunten tussen ",B13," grenzend aan de M3 en de M4.")</f>
        <v>Als onderdeel van het programma 'Netwerk op zijn Best' omvat dit groot onderhoudsproject op de B1-C een verbetermaatregel aan de binnenring door het plaatsen van fly-overs op de knooppunten tussen B1-C grenzend aan de M3 en de M4.</v>
      </c>
      <c r="F13" s="13" t="s">
        <v>138</v>
      </c>
      <c r="G13" s="2" t="s">
        <v>114</v>
      </c>
      <c r="H13" s="2">
        <v>12000</v>
      </c>
      <c r="I13" s="17">
        <v>2895000</v>
      </c>
      <c r="J13" s="2">
        <v>6.3</v>
      </c>
      <c r="K13" s="11">
        <f t="shared" si="0"/>
        <v>0.33333333333333331</v>
      </c>
      <c r="L13" s="2">
        <v>2</v>
      </c>
      <c r="M13" s="14">
        <f t="shared" si="1"/>
        <v>1739000</v>
      </c>
      <c r="N13" s="14">
        <f t="shared" si="2"/>
        <v>1391200</v>
      </c>
      <c r="O13" s="3">
        <v>4634000</v>
      </c>
      <c r="P13" s="10">
        <v>1.4522653144474376</v>
      </c>
      <c r="Q13" s="22">
        <v>1.4522653144474376</v>
      </c>
      <c r="R13" s="22">
        <v>1.9045306288948751</v>
      </c>
      <c r="S13" s="22">
        <v>1.9045306288948751</v>
      </c>
      <c r="T13" s="22">
        <v>1.9045306288948751</v>
      </c>
      <c r="U13" s="22">
        <v>1.4522653144474376</v>
      </c>
      <c r="V13" s="22">
        <v>1</v>
      </c>
      <c r="W13" s="22">
        <v>1</v>
      </c>
      <c r="X13" s="22">
        <v>1</v>
      </c>
      <c r="Y13" s="22">
        <v>1</v>
      </c>
      <c r="Z13" s="22">
        <v>1</v>
      </c>
      <c r="AA13" s="22">
        <v>1</v>
      </c>
      <c r="AB13" s="22">
        <v>1</v>
      </c>
      <c r="AC13" s="22">
        <v>1</v>
      </c>
      <c r="AD13" s="22">
        <v>1</v>
      </c>
      <c r="AE13" s="22">
        <v>1</v>
      </c>
      <c r="AF13" s="22">
        <v>1</v>
      </c>
      <c r="AG13" s="22">
        <v>1</v>
      </c>
      <c r="AH13" s="22">
        <v>1</v>
      </c>
      <c r="AI13" s="22">
        <v>1</v>
      </c>
      <c r="AJ13" s="22">
        <v>1</v>
      </c>
      <c r="AK13" s="22">
        <v>1</v>
      </c>
      <c r="AL13" s="22">
        <v>1</v>
      </c>
      <c r="AM13" s="22">
        <v>1.4522653144474376</v>
      </c>
      <c r="AN13" s="22">
        <v>1</v>
      </c>
      <c r="AO13" s="22">
        <v>1</v>
      </c>
      <c r="AP13" s="22">
        <v>1.4522653144474376</v>
      </c>
      <c r="AQ13" s="22">
        <v>1</v>
      </c>
      <c r="AR13" s="22">
        <v>1</v>
      </c>
      <c r="AS13" s="22">
        <v>1</v>
      </c>
      <c r="AT13" s="22">
        <v>1</v>
      </c>
      <c r="AU13" s="22">
        <v>1</v>
      </c>
      <c r="AV13" s="22">
        <v>1</v>
      </c>
      <c r="AW13" s="22">
        <v>1</v>
      </c>
      <c r="AX13" s="22">
        <v>1</v>
      </c>
      <c r="AY13" s="22">
        <v>1</v>
      </c>
      <c r="AZ13" s="22">
        <v>1</v>
      </c>
      <c r="BA13" s="22">
        <v>1</v>
      </c>
      <c r="BB13" s="22">
        <v>1</v>
      </c>
      <c r="BC13" s="22">
        <v>1</v>
      </c>
      <c r="BD13" s="22">
        <v>1</v>
      </c>
      <c r="BE13" s="22">
        <v>1</v>
      </c>
      <c r="BF13" s="22">
        <v>1.4522653144474376</v>
      </c>
      <c r="BG13" s="22">
        <v>1.9045306288948751</v>
      </c>
      <c r="BH13" s="22">
        <v>1.9045306288948751</v>
      </c>
      <c r="BI13" s="22"/>
      <c r="BJ13" s="22"/>
      <c r="BK13"/>
    </row>
    <row r="14" spans="1:63" x14ac:dyDescent="0.25">
      <c r="A14" s="1">
        <v>4</v>
      </c>
      <c r="B14" s="18" t="s">
        <v>55</v>
      </c>
      <c r="C14">
        <v>1</v>
      </c>
      <c r="D14" t="s">
        <v>106</v>
      </c>
      <c r="E14" s="12" t="str">
        <f>CONCATENATE("Als onderdeel van het programma 'Netwerk op zijn Best' omvat dit groot onderhoudsproject op de ",B14," een verbetermaatregel aan de binnenring door het plaatsen van fly-overs op de knooppunten tussen ",B14," grenzend aan de M4 en de M5.")</f>
        <v>Als onderdeel van het programma 'Netwerk op zijn Best' omvat dit groot onderhoudsproject op de B1-D een verbetermaatregel aan de binnenring door het plaatsen van fly-overs op de knooppunten tussen B1-D grenzend aan de M4 en de M5.</v>
      </c>
      <c r="F14" s="13" t="s">
        <v>135</v>
      </c>
      <c r="G14" s="2" t="s">
        <v>114</v>
      </c>
      <c r="H14" s="2">
        <v>8000</v>
      </c>
      <c r="I14" s="17">
        <v>3184500</v>
      </c>
      <c r="J14" s="2">
        <v>9.9</v>
      </c>
      <c r="K14" s="11">
        <f t="shared" si="0"/>
        <v>0.33333333333333331</v>
      </c>
      <c r="L14" s="2">
        <v>2</v>
      </c>
      <c r="M14" s="14">
        <f t="shared" si="1"/>
        <v>1449500</v>
      </c>
      <c r="N14" s="14">
        <f t="shared" si="2"/>
        <v>1159600</v>
      </c>
      <c r="O14" s="3">
        <v>4634000</v>
      </c>
      <c r="P14" s="10">
        <v>1.3015102096316249</v>
      </c>
      <c r="Q14" s="22">
        <v>1.3015102096316249</v>
      </c>
      <c r="R14" s="22">
        <v>1.3015102096316249</v>
      </c>
      <c r="S14" s="22">
        <v>1.60302041926325</v>
      </c>
      <c r="T14" s="22">
        <v>1</v>
      </c>
      <c r="U14" s="22">
        <v>1.60302041926325</v>
      </c>
      <c r="V14" s="22">
        <v>1</v>
      </c>
      <c r="W14" s="22">
        <v>1</v>
      </c>
      <c r="X14" s="22">
        <v>1</v>
      </c>
      <c r="Y14" s="22">
        <v>1</v>
      </c>
      <c r="Z14" s="22">
        <v>1</v>
      </c>
      <c r="AA14" s="22">
        <v>1</v>
      </c>
      <c r="AB14" s="22">
        <v>1</v>
      </c>
      <c r="AC14" s="22">
        <v>1</v>
      </c>
      <c r="AD14" s="22">
        <v>1</v>
      </c>
      <c r="AE14" s="22">
        <v>1</v>
      </c>
      <c r="AF14" s="22">
        <v>1</v>
      </c>
      <c r="AG14" s="22">
        <v>1</v>
      </c>
      <c r="AH14" s="22">
        <v>1</v>
      </c>
      <c r="AI14" s="22">
        <v>1</v>
      </c>
      <c r="AJ14" s="22">
        <v>1</v>
      </c>
      <c r="AK14" s="22">
        <v>1</v>
      </c>
      <c r="AL14" s="22">
        <v>1</v>
      </c>
      <c r="AM14" s="22">
        <v>1</v>
      </c>
      <c r="AN14" s="22">
        <v>1</v>
      </c>
      <c r="AO14" s="22">
        <v>1</v>
      </c>
      <c r="AP14" s="22">
        <v>1.3015102096316249</v>
      </c>
      <c r="AQ14" s="22">
        <v>1</v>
      </c>
      <c r="AR14" s="22">
        <v>1</v>
      </c>
      <c r="AS14" s="22">
        <v>1.3015102096316249</v>
      </c>
      <c r="AT14" s="22">
        <v>1</v>
      </c>
      <c r="AU14" s="22">
        <v>1</v>
      </c>
      <c r="AV14" s="22">
        <v>1</v>
      </c>
      <c r="AW14" s="22">
        <v>1</v>
      </c>
      <c r="AX14" s="22">
        <v>1</v>
      </c>
      <c r="AY14" s="22">
        <v>1</v>
      </c>
      <c r="AZ14" s="22">
        <v>1</v>
      </c>
      <c r="BA14" s="22">
        <v>1</v>
      </c>
      <c r="BB14" s="22">
        <v>1</v>
      </c>
      <c r="BC14" s="22">
        <v>1</v>
      </c>
      <c r="BD14" s="22">
        <v>1</v>
      </c>
      <c r="BE14" s="22">
        <v>1.3015102096316249</v>
      </c>
      <c r="BF14" s="22">
        <v>1</v>
      </c>
      <c r="BG14" s="22">
        <v>1.3015102096316249</v>
      </c>
      <c r="BH14" s="22">
        <v>1.60302041926325</v>
      </c>
      <c r="BI14" s="22"/>
      <c r="BJ14" s="22"/>
      <c r="BK14"/>
    </row>
    <row r="15" spans="1:63" x14ac:dyDescent="0.25">
      <c r="A15" s="1">
        <v>4</v>
      </c>
      <c r="B15" s="18" t="s">
        <v>55</v>
      </c>
      <c r="C15">
        <v>2</v>
      </c>
      <c r="D15" t="s">
        <v>107</v>
      </c>
      <c r="E15" s="12" t="str">
        <f>CONCATENATE("Als onderdeel van het programma 'Netwerk op zijn Best' omvat dit groot onderhoudsproject op de ",B15," een verbetermaatregel aan de binnenring door het plaatsen van fly-overs op de knooppunten tussen ",B15," grenzend aan de M4 en de M5.")</f>
        <v>Als onderdeel van het programma 'Netwerk op zijn Best' omvat dit groot onderhoudsproject op de B1-D een verbetermaatregel aan de binnenring door het plaatsen van fly-overs op de knooppunten tussen B1-D grenzend aan de M4 en de M5.</v>
      </c>
      <c r="F15" s="13" t="s">
        <v>136</v>
      </c>
      <c r="G15" s="2" t="s">
        <v>114</v>
      </c>
      <c r="H15" s="2">
        <v>12000</v>
      </c>
      <c r="I15" s="17">
        <v>2026500</v>
      </c>
      <c r="J15" s="2">
        <v>9</v>
      </c>
      <c r="K15" s="11">
        <f t="shared" si="0"/>
        <v>0.33333333333333331</v>
      </c>
      <c r="L15" s="2">
        <v>4</v>
      </c>
      <c r="M15" s="14">
        <f t="shared" si="1"/>
        <v>2607500</v>
      </c>
      <c r="N15" s="14">
        <f t="shared" si="2"/>
        <v>2086000</v>
      </c>
      <c r="O15" s="3">
        <v>4634000</v>
      </c>
      <c r="P15" s="10">
        <v>1.4522653144474376</v>
      </c>
      <c r="Q15" s="22">
        <v>1.4522653144474376</v>
      </c>
      <c r="R15" s="22">
        <v>1.4522653144474376</v>
      </c>
      <c r="S15" s="22">
        <v>1.9045306288948751</v>
      </c>
      <c r="T15" s="22">
        <v>1.9045306288948751</v>
      </c>
      <c r="U15" s="22">
        <v>1.9045306288948751</v>
      </c>
      <c r="V15" s="22">
        <v>1</v>
      </c>
      <c r="W15" s="22">
        <v>1</v>
      </c>
      <c r="X15" s="22">
        <v>1</v>
      </c>
      <c r="Y15" s="22">
        <v>1</v>
      </c>
      <c r="Z15" s="22">
        <v>1</v>
      </c>
      <c r="AA15" s="22">
        <v>1</v>
      </c>
      <c r="AB15" s="22">
        <v>1</v>
      </c>
      <c r="AC15" s="22">
        <v>1</v>
      </c>
      <c r="AD15" s="22">
        <v>1</v>
      </c>
      <c r="AE15" s="22">
        <v>1</v>
      </c>
      <c r="AF15" s="22">
        <v>1</v>
      </c>
      <c r="AG15" s="22">
        <v>1</v>
      </c>
      <c r="AH15" s="22">
        <v>1</v>
      </c>
      <c r="AI15" s="22">
        <v>1</v>
      </c>
      <c r="AJ15" s="22">
        <v>1</v>
      </c>
      <c r="AK15" s="22">
        <v>1</v>
      </c>
      <c r="AL15" s="22">
        <v>1</v>
      </c>
      <c r="AM15" s="22">
        <v>1</v>
      </c>
      <c r="AN15" s="22">
        <v>1</v>
      </c>
      <c r="AO15" s="22">
        <v>1</v>
      </c>
      <c r="AP15" s="22">
        <v>1.4522653144474376</v>
      </c>
      <c r="AQ15" s="22">
        <v>1</v>
      </c>
      <c r="AR15" s="22">
        <v>1</v>
      </c>
      <c r="AS15" s="22">
        <v>1.4522653144474376</v>
      </c>
      <c r="AT15" s="22">
        <v>1</v>
      </c>
      <c r="AU15" s="22">
        <v>1</v>
      </c>
      <c r="AV15" s="22">
        <v>1</v>
      </c>
      <c r="AW15" s="22">
        <v>1</v>
      </c>
      <c r="AX15" s="22">
        <v>1</v>
      </c>
      <c r="AY15" s="22">
        <v>1</v>
      </c>
      <c r="AZ15" s="22">
        <v>1</v>
      </c>
      <c r="BA15" s="22">
        <v>1</v>
      </c>
      <c r="BB15" s="22">
        <v>1</v>
      </c>
      <c r="BC15" s="22">
        <v>1</v>
      </c>
      <c r="BD15" s="22">
        <v>1</v>
      </c>
      <c r="BE15" s="22">
        <v>1.4522653144474376</v>
      </c>
      <c r="BF15" s="22">
        <v>1</v>
      </c>
      <c r="BG15" s="22">
        <v>1.4522653144474376</v>
      </c>
      <c r="BH15" s="22">
        <v>1.9045306288948751</v>
      </c>
      <c r="BI15" s="22"/>
      <c r="BJ15" s="22"/>
      <c r="BK15"/>
    </row>
    <row r="16" spans="1:63" x14ac:dyDescent="0.25">
      <c r="A16" s="1">
        <v>4</v>
      </c>
      <c r="B16" s="18" t="s">
        <v>55</v>
      </c>
      <c r="C16">
        <v>3</v>
      </c>
      <c r="D16" t="s">
        <v>108</v>
      </c>
      <c r="E16" s="12" t="str">
        <f>CONCATENATE("Als onderdeel van het programma 'Netwerk op zijn Best' omvat dit groot onderhoudsproject op de ",B16," een verbetermaatregel aan de binnenring door het plaatsen van fly-overs op de knooppunten tussen ",B16," grenzend aan de M4 en de M5.")</f>
        <v>Als onderdeel van het programma 'Netwerk op zijn Best' omvat dit groot onderhoudsproject op de B1-D een verbetermaatregel aan de binnenring door het plaatsen van fly-overs op de knooppunten tussen B1-D grenzend aan de M4 en de M5.</v>
      </c>
      <c r="F16" s="13" t="s">
        <v>137</v>
      </c>
      <c r="G16" s="2" t="s">
        <v>114</v>
      </c>
      <c r="H16" s="2">
        <v>10000</v>
      </c>
      <c r="I16" s="17">
        <v>3184500</v>
      </c>
      <c r="J16" s="2">
        <v>9</v>
      </c>
      <c r="K16" s="11">
        <f t="shared" si="0"/>
        <v>0.33333333333333331</v>
      </c>
      <c r="L16" s="2">
        <v>0</v>
      </c>
      <c r="M16" s="14">
        <f t="shared" si="1"/>
        <v>1449500</v>
      </c>
      <c r="N16" s="14">
        <f t="shared" si="2"/>
        <v>1159600</v>
      </c>
      <c r="O16" s="3">
        <v>4634000</v>
      </c>
      <c r="P16" s="10">
        <v>1.3768877620395312</v>
      </c>
      <c r="Q16" s="22">
        <v>1.3768877620395312</v>
      </c>
      <c r="R16" s="22">
        <v>1.3768877620395312</v>
      </c>
      <c r="S16" s="22">
        <v>1.7537755240790625</v>
      </c>
      <c r="T16" s="22">
        <v>1.3768877620395312</v>
      </c>
      <c r="U16" s="22">
        <v>1.7537755240790625</v>
      </c>
      <c r="V16" s="22">
        <v>1</v>
      </c>
      <c r="W16" s="22">
        <v>1</v>
      </c>
      <c r="X16" s="22">
        <v>1</v>
      </c>
      <c r="Y16" s="22">
        <v>1</v>
      </c>
      <c r="Z16" s="22">
        <v>1</v>
      </c>
      <c r="AA16" s="22">
        <v>1</v>
      </c>
      <c r="AB16" s="22">
        <v>1</v>
      </c>
      <c r="AC16" s="22">
        <v>1</v>
      </c>
      <c r="AD16" s="22">
        <v>1</v>
      </c>
      <c r="AE16" s="22">
        <v>1</v>
      </c>
      <c r="AF16" s="22">
        <v>1</v>
      </c>
      <c r="AG16" s="22">
        <v>1</v>
      </c>
      <c r="AH16" s="22">
        <v>1</v>
      </c>
      <c r="AI16" s="22">
        <v>1</v>
      </c>
      <c r="AJ16" s="22">
        <v>1</v>
      </c>
      <c r="AK16" s="22">
        <v>1</v>
      </c>
      <c r="AL16" s="22">
        <v>1</v>
      </c>
      <c r="AM16" s="22">
        <v>1</v>
      </c>
      <c r="AN16" s="22">
        <v>1</v>
      </c>
      <c r="AO16" s="22">
        <v>1</v>
      </c>
      <c r="AP16" s="22">
        <v>1.3768877620395312</v>
      </c>
      <c r="AQ16" s="22">
        <v>1</v>
      </c>
      <c r="AR16" s="22">
        <v>1</v>
      </c>
      <c r="AS16" s="22">
        <v>1.3768877620395312</v>
      </c>
      <c r="AT16" s="22">
        <v>1</v>
      </c>
      <c r="AU16" s="22">
        <v>1</v>
      </c>
      <c r="AV16" s="22">
        <v>1</v>
      </c>
      <c r="AW16" s="22">
        <v>1</v>
      </c>
      <c r="AX16" s="22">
        <v>1</v>
      </c>
      <c r="AY16" s="22">
        <v>1</v>
      </c>
      <c r="AZ16" s="22">
        <v>1</v>
      </c>
      <c r="BA16" s="22">
        <v>1</v>
      </c>
      <c r="BB16" s="22">
        <v>1</v>
      </c>
      <c r="BC16" s="22">
        <v>1</v>
      </c>
      <c r="BD16" s="22">
        <v>1</v>
      </c>
      <c r="BE16" s="22">
        <v>1.3768877620395312</v>
      </c>
      <c r="BF16" s="22">
        <v>1</v>
      </c>
      <c r="BG16" s="22">
        <v>1.3768877620395312</v>
      </c>
      <c r="BH16" s="22">
        <v>1.7537755240790625</v>
      </c>
      <c r="BI16" s="22"/>
      <c r="BJ16" s="22"/>
      <c r="BK16"/>
    </row>
    <row r="17" spans="1:63" x14ac:dyDescent="0.25">
      <c r="A17" s="1">
        <v>4</v>
      </c>
      <c r="B17" s="18" t="s">
        <v>55</v>
      </c>
      <c r="C17">
        <v>4</v>
      </c>
      <c r="D17" t="s">
        <v>109</v>
      </c>
      <c r="E17" s="12" t="str">
        <f>CONCATENATE("Als onderdeel van het programma 'Netwerk op zijn Best' omvat dit groot onderhoudsproject op de ",B17," een verbetermaatregel aan de binnenring door het plaatsen van fly-overs op de knooppunten tussen ",B17," grenzend aan de M4 en de M5.")</f>
        <v>Als onderdeel van het programma 'Netwerk op zijn Best' omvat dit groot onderhoudsproject op de B1-D een verbetermaatregel aan de binnenring door het plaatsen van fly-overs op de knooppunten tussen B1-D grenzend aan de M4 en de M5.</v>
      </c>
      <c r="F17" s="13" t="s">
        <v>138</v>
      </c>
      <c r="G17" s="2" t="s">
        <v>114</v>
      </c>
      <c r="H17" s="2">
        <v>12000</v>
      </c>
      <c r="I17" s="17">
        <v>2895000</v>
      </c>
      <c r="J17" s="2">
        <v>6.3</v>
      </c>
      <c r="K17" s="11">
        <f t="shared" si="0"/>
        <v>0.33333333333333331</v>
      </c>
      <c r="L17" s="2">
        <v>2</v>
      </c>
      <c r="M17" s="14">
        <f t="shared" si="1"/>
        <v>1739000</v>
      </c>
      <c r="N17" s="14">
        <f t="shared" si="2"/>
        <v>1391200</v>
      </c>
      <c r="O17" s="3">
        <v>4634000</v>
      </c>
      <c r="P17" s="10">
        <v>1.4522653144474376</v>
      </c>
      <c r="Q17" s="22">
        <v>1.4522653144474376</v>
      </c>
      <c r="R17" s="22">
        <v>1.4522653144474376</v>
      </c>
      <c r="S17" s="22">
        <v>1.9045306288948751</v>
      </c>
      <c r="T17" s="22">
        <v>1.9045306288948751</v>
      </c>
      <c r="U17" s="22">
        <v>1.9045306288948751</v>
      </c>
      <c r="V17" s="22">
        <v>1</v>
      </c>
      <c r="W17" s="22">
        <v>1</v>
      </c>
      <c r="X17" s="22">
        <v>1</v>
      </c>
      <c r="Y17" s="22">
        <v>1</v>
      </c>
      <c r="Z17" s="22">
        <v>1</v>
      </c>
      <c r="AA17" s="22">
        <v>1</v>
      </c>
      <c r="AB17" s="22">
        <v>1</v>
      </c>
      <c r="AC17" s="22">
        <v>1</v>
      </c>
      <c r="AD17" s="22">
        <v>1</v>
      </c>
      <c r="AE17" s="22">
        <v>1</v>
      </c>
      <c r="AF17" s="22">
        <v>1</v>
      </c>
      <c r="AG17" s="22">
        <v>1</v>
      </c>
      <c r="AH17" s="22">
        <v>1</v>
      </c>
      <c r="AI17" s="22">
        <v>1</v>
      </c>
      <c r="AJ17" s="22">
        <v>1</v>
      </c>
      <c r="AK17" s="22">
        <v>1</v>
      </c>
      <c r="AL17" s="22">
        <v>1</v>
      </c>
      <c r="AM17" s="22">
        <v>1</v>
      </c>
      <c r="AN17" s="22">
        <v>1</v>
      </c>
      <c r="AO17" s="22">
        <v>1</v>
      </c>
      <c r="AP17" s="22">
        <v>1.4522653144474376</v>
      </c>
      <c r="AQ17" s="22">
        <v>1</v>
      </c>
      <c r="AR17" s="22">
        <v>1</v>
      </c>
      <c r="AS17" s="22">
        <v>1.4522653144474376</v>
      </c>
      <c r="AT17" s="22">
        <v>1</v>
      </c>
      <c r="AU17" s="22">
        <v>1</v>
      </c>
      <c r="AV17" s="22">
        <v>1</v>
      </c>
      <c r="AW17" s="22">
        <v>1</v>
      </c>
      <c r="AX17" s="22">
        <v>1</v>
      </c>
      <c r="AY17" s="22">
        <v>1</v>
      </c>
      <c r="AZ17" s="22">
        <v>1</v>
      </c>
      <c r="BA17" s="22">
        <v>1</v>
      </c>
      <c r="BB17" s="22">
        <v>1</v>
      </c>
      <c r="BC17" s="22">
        <v>1</v>
      </c>
      <c r="BD17" s="22">
        <v>1</v>
      </c>
      <c r="BE17" s="22">
        <v>1.4522653144474376</v>
      </c>
      <c r="BF17" s="22">
        <v>1</v>
      </c>
      <c r="BG17" s="22">
        <v>1.4522653144474376</v>
      </c>
      <c r="BH17" s="22">
        <v>1.9045306288948751</v>
      </c>
      <c r="BI17" s="22"/>
      <c r="BJ17" s="22"/>
      <c r="BK17"/>
    </row>
    <row r="18" spans="1:63" x14ac:dyDescent="0.25">
      <c r="A18" s="1">
        <v>5</v>
      </c>
      <c r="B18" s="18" t="s">
        <v>56</v>
      </c>
      <c r="C18">
        <v>1</v>
      </c>
      <c r="D18" t="s">
        <v>106</v>
      </c>
      <c r="E18" s="12" t="str">
        <f>CONCATENATE("Als onderdeel van het programma 'Netwerk op zijn Best' omvat dit groot onderhoudsproject op de ",B18," een verbetermaatregel aan de binnenring door het plaatsen van fly-overs op de knooppunten tussen ",B18," grenzend aan de M5 en de M1.")</f>
        <v>Als onderdeel van het programma 'Netwerk op zijn Best' omvat dit groot onderhoudsproject op de B1-E een verbetermaatregel aan de binnenring door het plaatsen van fly-overs op de knooppunten tussen B1-E grenzend aan de M5 en de M1.</v>
      </c>
      <c r="F18" s="13" t="s">
        <v>135</v>
      </c>
      <c r="G18" s="2" t="s">
        <v>114</v>
      </c>
      <c r="H18" s="2">
        <v>8000</v>
      </c>
      <c r="I18" s="17">
        <v>3184500</v>
      </c>
      <c r="J18" s="2">
        <v>9.9</v>
      </c>
      <c r="K18" s="11">
        <f t="shared" si="0"/>
        <v>0.33333333333333331</v>
      </c>
      <c r="L18" s="2">
        <v>2</v>
      </c>
      <c r="M18" s="14">
        <f t="shared" si="1"/>
        <v>1449500</v>
      </c>
      <c r="N18" s="14">
        <f t="shared" si="2"/>
        <v>1159600</v>
      </c>
      <c r="O18" s="3">
        <v>4634000</v>
      </c>
      <c r="P18" s="10">
        <v>1.60302041926325</v>
      </c>
      <c r="Q18" s="22">
        <v>1.60302041926325</v>
      </c>
      <c r="R18" s="22">
        <v>1.3015102096316249</v>
      </c>
      <c r="S18" s="22">
        <v>1.3015102096316249</v>
      </c>
      <c r="T18" s="22">
        <v>1.60302041926325</v>
      </c>
      <c r="U18" s="22">
        <v>1</v>
      </c>
      <c r="V18" s="22">
        <v>1</v>
      </c>
      <c r="W18" s="22">
        <v>1</v>
      </c>
      <c r="X18" s="22">
        <v>1</v>
      </c>
      <c r="Y18" s="22">
        <v>1</v>
      </c>
      <c r="Z18" s="22">
        <v>1</v>
      </c>
      <c r="AA18" s="22">
        <v>1</v>
      </c>
      <c r="AB18" s="22">
        <v>1</v>
      </c>
      <c r="AC18" s="22">
        <v>1</v>
      </c>
      <c r="AD18" s="22">
        <v>1</v>
      </c>
      <c r="AE18" s="22">
        <v>1</v>
      </c>
      <c r="AF18" s="22">
        <v>1</v>
      </c>
      <c r="AG18" s="22">
        <v>1</v>
      </c>
      <c r="AH18" s="22">
        <v>1</v>
      </c>
      <c r="AI18" s="22">
        <v>1</v>
      </c>
      <c r="AJ18" s="22">
        <v>1.3015102096316249</v>
      </c>
      <c r="AK18" s="22">
        <v>1</v>
      </c>
      <c r="AL18" s="22">
        <v>1</v>
      </c>
      <c r="AM18" s="22">
        <v>1</v>
      </c>
      <c r="AN18" s="22">
        <v>1</v>
      </c>
      <c r="AO18" s="22">
        <v>1</v>
      </c>
      <c r="AP18" s="22">
        <v>1</v>
      </c>
      <c r="AQ18" s="22">
        <v>1</v>
      </c>
      <c r="AR18" s="22">
        <v>1</v>
      </c>
      <c r="AS18" s="22">
        <v>1.3015102096316249</v>
      </c>
      <c r="AT18" s="22">
        <v>1</v>
      </c>
      <c r="AU18" s="22">
        <v>1</v>
      </c>
      <c r="AV18" s="22">
        <v>1</v>
      </c>
      <c r="AW18" s="22">
        <v>1</v>
      </c>
      <c r="AX18" s="22">
        <v>1</v>
      </c>
      <c r="AY18" s="22">
        <v>1</v>
      </c>
      <c r="AZ18" s="22">
        <v>1</v>
      </c>
      <c r="BA18" s="22">
        <v>1</v>
      </c>
      <c r="BB18" s="22">
        <v>1</v>
      </c>
      <c r="BC18" s="22">
        <v>1</v>
      </c>
      <c r="BD18" s="22">
        <v>1</v>
      </c>
      <c r="BE18" s="22">
        <v>1.60302041926325</v>
      </c>
      <c r="BF18" s="22">
        <v>1.3015102096316249</v>
      </c>
      <c r="BG18" s="22">
        <v>1</v>
      </c>
      <c r="BH18" s="22">
        <v>1.3015102096316249</v>
      </c>
      <c r="BI18" s="22"/>
      <c r="BJ18" s="22"/>
      <c r="BK18"/>
    </row>
    <row r="19" spans="1:63" x14ac:dyDescent="0.25">
      <c r="A19" s="1">
        <v>5</v>
      </c>
      <c r="B19" s="18" t="s">
        <v>56</v>
      </c>
      <c r="C19">
        <v>2</v>
      </c>
      <c r="D19" t="s">
        <v>107</v>
      </c>
      <c r="E19" s="12" t="str">
        <f>CONCATENATE("Als onderdeel van het programma 'Netwerk op zijn Best' omvat dit groot onderhoudsproject op de ",B19," een verbetermaatregel aan de binnenring door het plaatsen van fly-overs op de knooppunten tussen ",B19," grenzend aan de M5 en de M1.")</f>
        <v>Als onderdeel van het programma 'Netwerk op zijn Best' omvat dit groot onderhoudsproject op de B1-E een verbetermaatregel aan de binnenring door het plaatsen van fly-overs op de knooppunten tussen B1-E grenzend aan de M5 en de M1.</v>
      </c>
      <c r="F19" s="13" t="s">
        <v>136</v>
      </c>
      <c r="G19" s="2" t="s">
        <v>114</v>
      </c>
      <c r="H19" s="2">
        <v>12000</v>
      </c>
      <c r="I19" s="17">
        <v>2026500</v>
      </c>
      <c r="J19" s="2">
        <v>9</v>
      </c>
      <c r="K19" s="11">
        <f t="shared" si="0"/>
        <v>0.33333333333333331</v>
      </c>
      <c r="L19" s="2">
        <v>4</v>
      </c>
      <c r="M19" s="14">
        <f t="shared" si="1"/>
        <v>2607500</v>
      </c>
      <c r="N19" s="14">
        <f t="shared" si="2"/>
        <v>2086000</v>
      </c>
      <c r="O19" s="3">
        <v>4634000</v>
      </c>
      <c r="P19" s="10">
        <v>1.9045306288948751</v>
      </c>
      <c r="Q19" s="22">
        <v>1.9045306288948751</v>
      </c>
      <c r="R19" s="22">
        <v>1.4522653144474376</v>
      </c>
      <c r="S19" s="22">
        <v>1.4522653144474376</v>
      </c>
      <c r="T19" s="22">
        <v>1.9045306288948751</v>
      </c>
      <c r="U19" s="22">
        <v>1.9045306288948751</v>
      </c>
      <c r="V19" s="22">
        <v>1</v>
      </c>
      <c r="W19" s="22">
        <v>1</v>
      </c>
      <c r="X19" s="22">
        <v>1</v>
      </c>
      <c r="Y19" s="22">
        <v>1</v>
      </c>
      <c r="Z19" s="22">
        <v>1</v>
      </c>
      <c r="AA19" s="22">
        <v>1</v>
      </c>
      <c r="AB19" s="22">
        <v>1</v>
      </c>
      <c r="AC19" s="22">
        <v>1</v>
      </c>
      <c r="AD19" s="22">
        <v>1</v>
      </c>
      <c r="AE19" s="22">
        <v>1</v>
      </c>
      <c r="AF19" s="22">
        <v>1</v>
      </c>
      <c r="AG19" s="22">
        <v>1</v>
      </c>
      <c r="AH19" s="22">
        <v>1</v>
      </c>
      <c r="AI19" s="22">
        <v>1</v>
      </c>
      <c r="AJ19" s="22">
        <v>1.4522653144474376</v>
      </c>
      <c r="AK19" s="22">
        <v>1</v>
      </c>
      <c r="AL19" s="22">
        <v>1</v>
      </c>
      <c r="AM19" s="22">
        <v>1</v>
      </c>
      <c r="AN19" s="22">
        <v>1</v>
      </c>
      <c r="AO19" s="22">
        <v>1</v>
      </c>
      <c r="AP19" s="22">
        <v>1</v>
      </c>
      <c r="AQ19" s="22">
        <v>1</v>
      </c>
      <c r="AR19" s="22">
        <v>1</v>
      </c>
      <c r="AS19" s="22">
        <v>1.4522653144474376</v>
      </c>
      <c r="AT19" s="22">
        <v>1</v>
      </c>
      <c r="AU19" s="22">
        <v>1</v>
      </c>
      <c r="AV19" s="22">
        <v>1</v>
      </c>
      <c r="AW19" s="22">
        <v>1</v>
      </c>
      <c r="AX19" s="22">
        <v>1</v>
      </c>
      <c r="AY19" s="22">
        <v>1</v>
      </c>
      <c r="AZ19" s="22">
        <v>1</v>
      </c>
      <c r="BA19" s="22">
        <v>1</v>
      </c>
      <c r="BB19" s="22">
        <v>1</v>
      </c>
      <c r="BC19" s="22">
        <v>1</v>
      </c>
      <c r="BD19" s="22">
        <v>1</v>
      </c>
      <c r="BE19" s="22">
        <v>1.9045306288948751</v>
      </c>
      <c r="BF19" s="22">
        <v>1.4522653144474376</v>
      </c>
      <c r="BG19" s="22">
        <v>1</v>
      </c>
      <c r="BH19" s="22">
        <v>1.4522653144474376</v>
      </c>
      <c r="BI19" s="22"/>
      <c r="BJ19" s="22"/>
      <c r="BK19"/>
    </row>
    <row r="20" spans="1:63" x14ac:dyDescent="0.25">
      <c r="A20" s="1">
        <v>5</v>
      </c>
      <c r="B20" s="18" t="s">
        <v>56</v>
      </c>
      <c r="C20">
        <v>3</v>
      </c>
      <c r="D20" t="s">
        <v>108</v>
      </c>
      <c r="E20" s="12" t="str">
        <f>CONCATENATE("Als onderdeel van het programma 'Netwerk op zijn Best' omvat dit groot onderhoudsproject op de ",B20," een verbetermaatregel aan de binnenring door het plaatsen van fly-overs op de knooppunten tussen ",B20," grenzend aan de M5 en de M1.")</f>
        <v>Als onderdeel van het programma 'Netwerk op zijn Best' omvat dit groot onderhoudsproject op de B1-E een verbetermaatregel aan de binnenring door het plaatsen van fly-overs op de knooppunten tussen B1-E grenzend aan de M5 en de M1.</v>
      </c>
      <c r="F20" s="13" t="s">
        <v>137</v>
      </c>
      <c r="G20" s="2" t="s">
        <v>114</v>
      </c>
      <c r="H20" s="2">
        <v>10000</v>
      </c>
      <c r="I20" s="17">
        <v>3184500</v>
      </c>
      <c r="J20" s="2">
        <v>9</v>
      </c>
      <c r="K20" s="11">
        <f t="shared" si="0"/>
        <v>0.33333333333333331</v>
      </c>
      <c r="L20" s="2">
        <v>0</v>
      </c>
      <c r="M20" s="14">
        <f t="shared" si="1"/>
        <v>1449500</v>
      </c>
      <c r="N20" s="14">
        <f t="shared" si="2"/>
        <v>1159600</v>
      </c>
      <c r="O20" s="3">
        <v>4634000</v>
      </c>
      <c r="P20" s="10">
        <v>1.7537755240790625</v>
      </c>
      <c r="Q20" s="22">
        <v>1.7537755240790625</v>
      </c>
      <c r="R20" s="22">
        <v>1.3768877620395312</v>
      </c>
      <c r="S20" s="22">
        <v>1.3768877620395312</v>
      </c>
      <c r="T20" s="22">
        <v>1.7537755240790625</v>
      </c>
      <c r="U20" s="22">
        <v>1.3768877620395312</v>
      </c>
      <c r="V20" s="22">
        <v>1</v>
      </c>
      <c r="W20" s="22">
        <v>1</v>
      </c>
      <c r="X20" s="22">
        <v>1</v>
      </c>
      <c r="Y20" s="22">
        <v>1</v>
      </c>
      <c r="Z20" s="22">
        <v>1</v>
      </c>
      <c r="AA20" s="22">
        <v>1</v>
      </c>
      <c r="AB20" s="22">
        <v>1</v>
      </c>
      <c r="AC20" s="22">
        <v>1</v>
      </c>
      <c r="AD20" s="22">
        <v>1</v>
      </c>
      <c r="AE20" s="22">
        <v>1</v>
      </c>
      <c r="AF20" s="22">
        <v>1</v>
      </c>
      <c r="AG20" s="22">
        <v>1</v>
      </c>
      <c r="AH20" s="22">
        <v>1</v>
      </c>
      <c r="AI20" s="22">
        <v>1</v>
      </c>
      <c r="AJ20" s="22">
        <v>1.3768877620395312</v>
      </c>
      <c r="AK20" s="22">
        <v>1</v>
      </c>
      <c r="AL20" s="22">
        <v>1</v>
      </c>
      <c r="AM20" s="22">
        <v>1</v>
      </c>
      <c r="AN20" s="22">
        <v>1</v>
      </c>
      <c r="AO20" s="22">
        <v>1</v>
      </c>
      <c r="AP20" s="22">
        <v>1</v>
      </c>
      <c r="AQ20" s="22">
        <v>1</v>
      </c>
      <c r="AR20" s="22">
        <v>1</v>
      </c>
      <c r="AS20" s="22">
        <v>1.3768877620395312</v>
      </c>
      <c r="AT20" s="22">
        <v>1</v>
      </c>
      <c r="AU20" s="22">
        <v>1</v>
      </c>
      <c r="AV20" s="22">
        <v>1</v>
      </c>
      <c r="AW20" s="22">
        <v>1</v>
      </c>
      <c r="AX20" s="22">
        <v>1</v>
      </c>
      <c r="AY20" s="22">
        <v>1</v>
      </c>
      <c r="AZ20" s="22">
        <v>1</v>
      </c>
      <c r="BA20" s="22">
        <v>1</v>
      </c>
      <c r="BB20" s="22">
        <v>1</v>
      </c>
      <c r="BC20" s="22">
        <v>1</v>
      </c>
      <c r="BD20" s="22">
        <v>1</v>
      </c>
      <c r="BE20" s="22">
        <v>1.7537755240790625</v>
      </c>
      <c r="BF20" s="22">
        <v>1.3768877620395312</v>
      </c>
      <c r="BG20" s="22">
        <v>1</v>
      </c>
      <c r="BH20" s="22">
        <v>1.3768877620395312</v>
      </c>
      <c r="BI20" s="22"/>
      <c r="BJ20" s="22"/>
      <c r="BK20"/>
    </row>
    <row r="21" spans="1:63" x14ac:dyDescent="0.25">
      <c r="A21" s="1">
        <v>5</v>
      </c>
      <c r="B21" s="18" t="s">
        <v>56</v>
      </c>
      <c r="C21">
        <v>4</v>
      </c>
      <c r="D21" t="s">
        <v>109</v>
      </c>
      <c r="E21" s="12" t="str">
        <f>CONCATENATE("Als onderdeel van het programma 'Netwerk op zijn Best' omvat dit groot onderhoudsproject op de ",B21," een verbetermaatregel aan de binnenring door het plaatsen van fly-overs op de knooppunten tussen ",B21," grenzend aan de M5 en de M1.")</f>
        <v>Als onderdeel van het programma 'Netwerk op zijn Best' omvat dit groot onderhoudsproject op de B1-E een verbetermaatregel aan de binnenring door het plaatsen van fly-overs op de knooppunten tussen B1-E grenzend aan de M5 en de M1.</v>
      </c>
      <c r="F21" s="13" t="s">
        <v>138</v>
      </c>
      <c r="G21" s="2" t="s">
        <v>114</v>
      </c>
      <c r="H21" s="2">
        <v>12000</v>
      </c>
      <c r="I21" s="17">
        <v>2895000</v>
      </c>
      <c r="J21" s="2">
        <v>6.3</v>
      </c>
      <c r="K21" s="11">
        <f t="shared" si="0"/>
        <v>0.33333333333333331</v>
      </c>
      <c r="L21" s="2">
        <v>2</v>
      </c>
      <c r="M21" s="14">
        <f t="shared" si="1"/>
        <v>1739000</v>
      </c>
      <c r="N21" s="14">
        <f t="shared" si="2"/>
        <v>1391200</v>
      </c>
      <c r="O21" s="3">
        <v>4634000</v>
      </c>
      <c r="P21" s="10">
        <v>1.9045306288948751</v>
      </c>
      <c r="Q21" s="22">
        <v>1.9045306288948751</v>
      </c>
      <c r="R21" s="22">
        <v>1.4522653144474376</v>
      </c>
      <c r="S21" s="22">
        <v>1.4522653144474376</v>
      </c>
      <c r="T21" s="22">
        <v>1.9045306288948751</v>
      </c>
      <c r="U21" s="22">
        <v>1.9045306288948751</v>
      </c>
      <c r="V21" s="22">
        <v>1</v>
      </c>
      <c r="W21" s="22">
        <v>1</v>
      </c>
      <c r="X21" s="22">
        <v>1</v>
      </c>
      <c r="Y21" s="22">
        <v>1</v>
      </c>
      <c r="Z21" s="22">
        <v>1</v>
      </c>
      <c r="AA21" s="22">
        <v>1</v>
      </c>
      <c r="AB21" s="22">
        <v>1</v>
      </c>
      <c r="AC21" s="22">
        <v>1</v>
      </c>
      <c r="AD21" s="22">
        <v>1</v>
      </c>
      <c r="AE21" s="22">
        <v>1</v>
      </c>
      <c r="AF21" s="22">
        <v>1</v>
      </c>
      <c r="AG21" s="22">
        <v>1</v>
      </c>
      <c r="AH21" s="22">
        <v>1</v>
      </c>
      <c r="AI21" s="22">
        <v>1</v>
      </c>
      <c r="AJ21" s="22">
        <v>1.4522653144474376</v>
      </c>
      <c r="AK21" s="22">
        <v>1</v>
      </c>
      <c r="AL21" s="22">
        <v>1</v>
      </c>
      <c r="AM21" s="22">
        <v>1</v>
      </c>
      <c r="AN21" s="22">
        <v>1</v>
      </c>
      <c r="AO21" s="22">
        <v>1</v>
      </c>
      <c r="AP21" s="22">
        <v>1</v>
      </c>
      <c r="AQ21" s="22">
        <v>1</v>
      </c>
      <c r="AR21" s="22">
        <v>1</v>
      </c>
      <c r="AS21" s="22">
        <v>1.4522653144474376</v>
      </c>
      <c r="AT21" s="22">
        <v>1</v>
      </c>
      <c r="AU21" s="22">
        <v>1</v>
      </c>
      <c r="AV21" s="22">
        <v>1</v>
      </c>
      <c r="AW21" s="22">
        <v>1</v>
      </c>
      <c r="AX21" s="22">
        <v>1</v>
      </c>
      <c r="AY21" s="22">
        <v>1</v>
      </c>
      <c r="AZ21" s="22">
        <v>1</v>
      </c>
      <c r="BA21" s="22">
        <v>1</v>
      </c>
      <c r="BB21" s="22">
        <v>1</v>
      </c>
      <c r="BC21" s="22">
        <v>1</v>
      </c>
      <c r="BD21" s="22">
        <v>1</v>
      </c>
      <c r="BE21" s="22">
        <v>1.9045306288948751</v>
      </c>
      <c r="BF21" s="22">
        <v>1.4522653144474376</v>
      </c>
      <c r="BG21" s="22">
        <v>1</v>
      </c>
      <c r="BH21" s="22">
        <v>1.4522653144474376</v>
      </c>
      <c r="BI21" s="22"/>
      <c r="BJ21" s="22"/>
      <c r="BK21"/>
    </row>
    <row r="22" spans="1:63" x14ac:dyDescent="0.25">
      <c r="A22" s="1">
        <v>16</v>
      </c>
      <c r="B22" s="19" t="s">
        <v>67</v>
      </c>
      <c r="C22">
        <v>1</v>
      </c>
      <c r="D22" t="s">
        <v>106</v>
      </c>
      <c r="E22" s="12" t="str">
        <f>CONCATENATE("Als onderdeel van het programma 'Netwerk op zijn Best' omvat dit groot onderhoudsproject op de ",B22," een grootschalige vernieuwing van het asfalt.")</f>
        <v>Als onderdeel van het programma 'Netwerk op zijn Best' omvat dit groot onderhoudsproject op de B11-A een grootschalige vernieuwing van het asfalt.</v>
      </c>
      <c r="F22" s="13" t="s">
        <v>135</v>
      </c>
      <c r="G22" s="2" t="s">
        <v>113</v>
      </c>
      <c r="H22" s="2">
        <v>1760</v>
      </c>
      <c r="I22" s="17">
        <v>5778000</v>
      </c>
      <c r="J22" s="2">
        <v>8.8000000000000007</v>
      </c>
      <c r="K22" s="11">
        <f t="shared" si="0"/>
        <v>0.33333333333333331</v>
      </c>
      <c r="L22" s="2">
        <v>2</v>
      </c>
      <c r="M22" s="14">
        <f t="shared" si="1"/>
        <v>2630000</v>
      </c>
      <c r="N22" s="14">
        <f t="shared" si="2"/>
        <v>2104000</v>
      </c>
      <c r="O22" s="3">
        <v>8408000</v>
      </c>
      <c r="P22" s="10">
        <v>1</v>
      </c>
      <c r="Q22" s="22">
        <v>1</v>
      </c>
      <c r="R22" s="22">
        <v>1</v>
      </c>
      <c r="S22" s="22">
        <v>1</v>
      </c>
      <c r="T22" s="22">
        <v>1</v>
      </c>
      <c r="U22" s="22">
        <v>1</v>
      </c>
      <c r="V22" s="22">
        <v>1.3299738429026797</v>
      </c>
      <c r="W22" s="22">
        <v>1.6599476858053595</v>
      </c>
      <c r="X22" s="22">
        <v>1</v>
      </c>
      <c r="Y22" s="22">
        <v>1.3299738429026797</v>
      </c>
      <c r="Z22" s="22">
        <v>1</v>
      </c>
      <c r="AA22" s="22">
        <v>1</v>
      </c>
      <c r="AB22" s="22">
        <v>1</v>
      </c>
      <c r="AC22" s="22">
        <v>1</v>
      </c>
      <c r="AD22" s="22">
        <v>1</v>
      </c>
      <c r="AE22" s="21">
        <v>1</v>
      </c>
      <c r="AF22" s="22">
        <v>1</v>
      </c>
      <c r="AG22" s="22">
        <v>1.6599476858053595</v>
      </c>
      <c r="AH22" s="22">
        <v>1.3299738429026797</v>
      </c>
      <c r="AI22" s="22">
        <v>1.6599476858053595</v>
      </c>
      <c r="AJ22" s="22">
        <v>1.6599476858053595</v>
      </c>
      <c r="AK22" s="21">
        <v>1.3299738429026797</v>
      </c>
      <c r="AL22" s="22">
        <v>1.3299738429026797</v>
      </c>
      <c r="AM22" s="22">
        <v>1.3299738429026797</v>
      </c>
      <c r="AN22" s="22">
        <v>1</v>
      </c>
      <c r="AO22" s="22">
        <v>1</v>
      </c>
      <c r="AP22" s="21">
        <v>1</v>
      </c>
      <c r="AQ22" s="21">
        <v>1</v>
      </c>
      <c r="AR22" s="21">
        <v>1</v>
      </c>
      <c r="AS22" s="21">
        <v>1.3299738429026797</v>
      </c>
      <c r="AT22" s="21">
        <v>1.3299738429026797</v>
      </c>
      <c r="AU22" s="22">
        <v>1.3299738429026797</v>
      </c>
      <c r="AV22" s="22">
        <v>1</v>
      </c>
      <c r="AW22" s="22">
        <v>1</v>
      </c>
      <c r="AX22" s="22">
        <v>1</v>
      </c>
      <c r="AY22" s="22">
        <v>1</v>
      </c>
      <c r="AZ22" s="22">
        <v>1</v>
      </c>
      <c r="BA22" s="22">
        <v>1</v>
      </c>
      <c r="BB22" s="22">
        <v>1</v>
      </c>
      <c r="BC22" s="22">
        <v>1</v>
      </c>
      <c r="BD22" s="22">
        <v>1.3299738429026797</v>
      </c>
      <c r="BE22" s="22">
        <v>1.3299738429026797</v>
      </c>
      <c r="BF22" s="22">
        <v>1.3299738429026797</v>
      </c>
      <c r="BG22" s="22">
        <v>1</v>
      </c>
      <c r="BH22" s="22">
        <v>1</v>
      </c>
      <c r="BI22" s="21"/>
      <c r="BJ22" s="21"/>
      <c r="BK22"/>
    </row>
    <row r="23" spans="1:63" x14ac:dyDescent="0.25">
      <c r="A23" s="1">
        <v>16</v>
      </c>
      <c r="B23" s="19" t="s">
        <v>67</v>
      </c>
      <c r="C23">
        <v>2</v>
      </c>
      <c r="D23" t="s">
        <v>107</v>
      </c>
      <c r="E23" s="12" t="str">
        <f>CONCATENATE("Als onderdeel van het programma 'Netwerk op zijn Best' omvat dit groot onderhoudsproject op de ",B23," een grootschalige vernieuwing van het asfalt.")</f>
        <v>Als onderdeel van het programma 'Netwerk op zijn Best' omvat dit groot onderhoudsproject op de B11-A een grootschalige vernieuwing van het asfalt.</v>
      </c>
      <c r="F23" s="13" t="s">
        <v>136</v>
      </c>
      <c r="G23" s="2" t="s">
        <v>113</v>
      </c>
      <c r="H23" s="2">
        <v>2640</v>
      </c>
      <c r="I23" s="17">
        <v>3676500</v>
      </c>
      <c r="J23" s="2">
        <v>8</v>
      </c>
      <c r="K23" s="11">
        <f t="shared" si="0"/>
        <v>0.33333333333333331</v>
      </c>
      <c r="L23" s="2">
        <v>4</v>
      </c>
      <c r="M23" s="14">
        <f t="shared" si="1"/>
        <v>4731500</v>
      </c>
      <c r="N23" s="14">
        <f t="shared" si="2"/>
        <v>3785200</v>
      </c>
      <c r="O23" s="3">
        <v>8408000</v>
      </c>
      <c r="P23" s="10">
        <v>1</v>
      </c>
      <c r="Q23" s="22">
        <v>1</v>
      </c>
      <c r="R23" s="22">
        <v>1</v>
      </c>
      <c r="S23" s="22">
        <v>1</v>
      </c>
      <c r="T23" s="22">
        <v>1</v>
      </c>
      <c r="U23" s="22">
        <v>1</v>
      </c>
      <c r="V23" s="22">
        <v>1.4949607643540195</v>
      </c>
      <c r="W23" s="22">
        <v>1.9899215287080392</v>
      </c>
      <c r="X23" s="22">
        <v>1</v>
      </c>
      <c r="Y23" s="22">
        <v>1.4949607643540195</v>
      </c>
      <c r="Z23" s="22">
        <v>1</v>
      </c>
      <c r="AA23" s="22">
        <v>1</v>
      </c>
      <c r="AB23" s="22">
        <v>1</v>
      </c>
      <c r="AC23" s="22">
        <v>1</v>
      </c>
      <c r="AD23" s="22">
        <v>1</v>
      </c>
      <c r="AE23" s="21">
        <v>1</v>
      </c>
      <c r="AF23" s="22">
        <v>1.9899215287080392</v>
      </c>
      <c r="AG23" s="22">
        <v>1.9899215287080392</v>
      </c>
      <c r="AH23" s="22">
        <v>1.4949607643540195</v>
      </c>
      <c r="AI23" s="22">
        <v>1.9899215287080392</v>
      </c>
      <c r="AJ23" s="22">
        <v>1.9899215287080392</v>
      </c>
      <c r="AK23" s="21">
        <v>1.4949607643540195</v>
      </c>
      <c r="AL23" s="22">
        <v>1.4949607643540195</v>
      </c>
      <c r="AM23" s="22">
        <v>1.4949607643540195</v>
      </c>
      <c r="AN23" s="22">
        <v>1</v>
      </c>
      <c r="AO23" s="22">
        <v>1</v>
      </c>
      <c r="AP23" s="21">
        <v>1</v>
      </c>
      <c r="AQ23" s="21">
        <v>1</v>
      </c>
      <c r="AR23" s="21">
        <v>1</v>
      </c>
      <c r="AS23" s="21">
        <v>1.4949607643540195</v>
      </c>
      <c r="AT23" s="21">
        <v>1.4949607643540195</v>
      </c>
      <c r="AU23" s="22">
        <v>1.4949607643540195</v>
      </c>
      <c r="AV23" s="22">
        <v>1</v>
      </c>
      <c r="AW23" s="22">
        <v>1</v>
      </c>
      <c r="AX23" s="22">
        <v>1</v>
      </c>
      <c r="AY23" s="22">
        <v>1</v>
      </c>
      <c r="AZ23" s="22">
        <v>1</v>
      </c>
      <c r="BA23" s="22">
        <v>1</v>
      </c>
      <c r="BB23" s="22">
        <v>1</v>
      </c>
      <c r="BC23" s="22">
        <v>1</v>
      </c>
      <c r="BD23" s="22">
        <v>1.4949607643540195</v>
      </c>
      <c r="BE23" s="22">
        <v>1.4949607643540195</v>
      </c>
      <c r="BF23" s="22">
        <v>1.4949607643540195</v>
      </c>
      <c r="BG23" s="22">
        <v>1</v>
      </c>
      <c r="BH23" s="22">
        <v>1</v>
      </c>
      <c r="BI23" s="21"/>
      <c r="BJ23" s="21"/>
      <c r="BK23"/>
    </row>
    <row r="24" spans="1:63" x14ac:dyDescent="0.25">
      <c r="A24" s="1">
        <v>16</v>
      </c>
      <c r="B24" s="19" t="s">
        <v>67</v>
      </c>
      <c r="C24">
        <v>3</v>
      </c>
      <c r="D24" t="s">
        <v>108</v>
      </c>
      <c r="E24" s="12" t="str">
        <f>CONCATENATE("Als onderdeel van het programma 'Netwerk op zijn Best' omvat dit groot onderhoudsproject op de ",B24," een grootschalige vernieuwing van het asfalt.")</f>
        <v>Als onderdeel van het programma 'Netwerk op zijn Best' omvat dit groot onderhoudsproject op de B11-A een grootschalige vernieuwing van het asfalt.</v>
      </c>
      <c r="F24" s="13" t="s">
        <v>137</v>
      </c>
      <c r="G24" s="2" t="s">
        <v>113</v>
      </c>
      <c r="H24" s="2">
        <v>2200</v>
      </c>
      <c r="I24" s="17">
        <v>5778300.0000000009</v>
      </c>
      <c r="J24" s="2">
        <v>8</v>
      </c>
      <c r="K24" s="11">
        <f t="shared" si="0"/>
        <v>0.33333333333333331</v>
      </c>
      <c r="L24" s="2">
        <v>0</v>
      </c>
      <c r="M24" s="14">
        <f t="shared" si="1"/>
        <v>2629699.9999999991</v>
      </c>
      <c r="N24" s="14">
        <f t="shared" si="2"/>
        <v>2103759.9999999995</v>
      </c>
      <c r="O24" s="14">
        <v>8408000</v>
      </c>
      <c r="P24" s="10">
        <v>1</v>
      </c>
      <c r="Q24" s="22">
        <v>1</v>
      </c>
      <c r="R24" s="22">
        <v>1</v>
      </c>
      <c r="S24" s="22">
        <v>1</v>
      </c>
      <c r="T24" s="22">
        <v>1</v>
      </c>
      <c r="U24" s="22">
        <v>1</v>
      </c>
      <c r="V24" s="22">
        <v>1.4124673036283497</v>
      </c>
      <c r="W24" s="22">
        <v>1.8249346072566994</v>
      </c>
      <c r="X24" s="22">
        <v>1</v>
      </c>
      <c r="Y24" s="22">
        <v>1.4124673036283497</v>
      </c>
      <c r="Z24" s="22">
        <v>1</v>
      </c>
      <c r="AA24" s="22">
        <v>1</v>
      </c>
      <c r="AB24" s="22">
        <v>1</v>
      </c>
      <c r="AC24" s="22">
        <v>1</v>
      </c>
      <c r="AD24" s="22">
        <v>1</v>
      </c>
      <c r="AE24" s="21">
        <v>1</v>
      </c>
      <c r="AF24" s="22">
        <v>1.4124673036283497</v>
      </c>
      <c r="AG24" s="22">
        <v>1.8249346072566994</v>
      </c>
      <c r="AH24" s="22">
        <v>1.4124673036283497</v>
      </c>
      <c r="AI24" s="22">
        <v>1.8249346072566994</v>
      </c>
      <c r="AJ24" s="22">
        <v>1.8249346072566994</v>
      </c>
      <c r="AK24" s="21">
        <v>1.4124673036283497</v>
      </c>
      <c r="AL24" s="22">
        <v>1.4124673036283497</v>
      </c>
      <c r="AM24" s="22">
        <v>1.4124673036283497</v>
      </c>
      <c r="AN24" s="22">
        <v>1</v>
      </c>
      <c r="AO24" s="22">
        <v>1</v>
      </c>
      <c r="AP24" s="21">
        <v>1</v>
      </c>
      <c r="AQ24" s="21">
        <v>1</v>
      </c>
      <c r="AR24" s="21">
        <v>1</v>
      </c>
      <c r="AS24" s="21">
        <v>1.4124673036283497</v>
      </c>
      <c r="AT24" s="21">
        <v>1.4124673036283497</v>
      </c>
      <c r="AU24" s="22">
        <v>1.4124673036283497</v>
      </c>
      <c r="AV24" s="22">
        <v>1</v>
      </c>
      <c r="AW24" s="22">
        <v>1</v>
      </c>
      <c r="AX24" s="22">
        <v>1</v>
      </c>
      <c r="AY24" s="22">
        <v>1</v>
      </c>
      <c r="AZ24" s="22">
        <v>1</v>
      </c>
      <c r="BA24" s="22">
        <v>1</v>
      </c>
      <c r="BB24" s="22">
        <v>1</v>
      </c>
      <c r="BC24" s="22">
        <v>1</v>
      </c>
      <c r="BD24" s="22">
        <v>1.4124673036283497</v>
      </c>
      <c r="BE24" s="22">
        <v>1.4124673036283497</v>
      </c>
      <c r="BF24" s="22">
        <v>1.4124673036283497</v>
      </c>
      <c r="BG24" s="22">
        <v>1</v>
      </c>
      <c r="BH24" s="22">
        <v>1</v>
      </c>
      <c r="BI24" s="21"/>
      <c r="BJ24" s="21"/>
      <c r="BK24"/>
    </row>
    <row r="25" spans="1:63" x14ac:dyDescent="0.25">
      <c r="A25" s="1">
        <v>16</v>
      </c>
      <c r="B25" s="19" t="s">
        <v>67</v>
      </c>
      <c r="C25">
        <v>4</v>
      </c>
      <c r="D25" t="s">
        <v>109</v>
      </c>
      <c r="E25" s="12" t="str">
        <f>CONCATENATE("Als onderdeel van het programma 'Netwerk op zijn Best' omvat dit groot onderhoudsproject op de ",B25," een grootschalige vernieuwing van het asfalt.")</f>
        <v>Als onderdeel van het programma 'Netwerk op zijn Best' omvat dit groot onderhoudsproject op de B11-A een grootschalige vernieuwing van het asfalt.</v>
      </c>
      <c r="F25" s="13" t="s">
        <v>138</v>
      </c>
      <c r="G25" s="2" t="s">
        <v>113</v>
      </c>
      <c r="H25" s="2">
        <v>2640</v>
      </c>
      <c r="I25" s="17">
        <v>5253000</v>
      </c>
      <c r="J25" s="2">
        <v>5.6</v>
      </c>
      <c r="K25" s="11">
        <f t="shared" si="0"/>
        <v>0.33333333333333331</v>
      </c>
      <c r="L25" s="2">
        <v>2</v>
      </c>
      <c r="M25" s="14">
        <f t="shared" si="1"/>
        <v>3155000</v>
      </c>
      <c r="N25" s="14">
        <f t="shared" si="2"/>
        <v>2524000</v>
      </c>
      <c r="O25" s="3">
        <v>8408000</v>
      </c>
      <c r="P25" s="10">
        <v>1</v>
      </c>
      <c r="Q25" s="22">
        <v>1</v>
      </c>
      <c r="R25" s="22">
        <v>1</v>
      </c>
      <c r="S25" s="22">
        <v>1</v>
      </c>
      <c r="T25" s="22">
        <v>1</v>
      </c>
      <c r="U25" s="22">
        <v>1</v>
      </c>
      <c r="V25" s="22">
        <v>1.4949607643540195</v>
      </c>
      <c r="W25" s="22">
        <v>1.9899215287080392</v>
      </c>
      <c r="X25" s="22">
        <v>1</v>
      </c>
      <c r="Y25" s="22">
        <v>1.4949607643540195</v>
      </c>
      <c r="Z25" s="22">
        <v>1</v>
      </c>
      <c r="AA25" s="22">
        <v>1</v>
      </c>
      <c r="AB25" s="22">
        <v>1</v>
      </c>
      <c r="AC25" s="22">
        <v>1</v>
      </c>
      <c r="AD25" s="22">
        <v>1</v>
      </c>
      <c r="AE25" s="21">
        <v>1</v>
      </c>
      <c r="AF25" s="22">
        <v>1.9899215287080392</v>
      </c>
      <c r="AG25" s="22">
        <v>1.9899215287080392</v>
      </c>
      <c r="AH25" s="22">
        <v>1.4949607643540195</v>
      </c>
      <c r="AI25" s="22">
        <v>1.9899215287080392</v>
      </c>
      <c r="AJ25" s="22">
        <v>1.9899215287080392</v>
      </c>
      <c r="AK25" s="21">
        <v>1.4949607643540195</v>
      </c>
      <c r="AL25" s="22">
        <v>1.4949607643540195</v>
      </c>
      <c r="AM25" s="22">
        <v>1.4949607643540195</v>
      </c>
      <c r="AN25" s="22">
        <v>1</v>
      </c>
      <c r="AO25" s="22">
        <v>1</v>
      </c>
      <c r="AP25" s="21">
        <v>1</v>
      </c>
      <c r="AQ25" s="21">
        <v>1</v>
      </c>
      <c r="AR25" s="21">
        <v>1</v>
      </c>
      <c r="AS25" s="21">
        <v>1.4949607643540195</v>
      </c>
      <c r="AT25" s="21">
        <v>1.4949607643540195</v>
      </c>
      <c r="AU25" s="22">
        <v>1.4949607643540195</v>
      </c>
      <c r="AV25" s="22">
        <v>1</v>
      </c>
      <c r="AW25" s="22">
        <v>1</v>
      </c>
      <c r="AX25" s="22">
        <v>1</v>
      </c>
      <c r="AY25" s="22">
        <v>1</v>
      </c>
      <c r="AZ25" s="22">
        <v>1</v>
      </c>
      <c r="BA25" s="22">
        <v>1</v>
      </c>
      <c r="BB25" s="22">
        <v>1</v>
      </c>
      <c r="BC25" s="22">
        <v>1</v>
      </c>
      <c r="BD25" s="22">
        <v>1.4949607643540195</v>
      </c>
      <c r="BE25" s="22">
        <v>1.4949607643540195</v>
      </c>
      <c r="BF25" s="22">
        <v>1.4949607643540195</v>
      </c>
      <c r="BG25" s="22">
        <v>1</v>
      </c>
      <c r="BH25" s="22">
        <v>1</v>
      </c>
      <c r="BI25" s="21"/>
      <c r="BJ25" s="21"/>
      <c r="BK25"/>
    </row>
    <row r="26" spans="1:63" x14ac:dyDescent="0.25">
      <c r="A26" s="1">
        <v>17</v>
      </c>
      <c r="B26" t="s">
        <v>68</v>
      </c>
      <c r="C26">
        <v>1</v>
      </c>
      <c r="D26" t="s">
        <v>106</v>
      </c>
      <c r="E26" t="str">
        <f>CONCATENATE("Als onderdeel van het programma 'Netwerk op zijn Best' omvat dit groot onderhoudsproject op de ",B26," een rijbaanverbreding van 3 naar 4 rijstroken op het knooppunt tussen de ",B26," en de M2.")</f>
        <v>Als onderdeel van het programma 'Netwerk op zijn Best' omvat dit groot onderhoudsproject op de B11-B een rijbaanverbreding van 3 naar 4 rijstroken op het knooppunt tussen de B11-B en de M2.</v>
      </c>
      <c r="F26" s="13" t="s">
        <v>135</v>
      </c>
      <c r="G26" s="2" t="s">
        <v>112</v>
      </c>
      <c r="H26" s="2">
        <v>3040</v>
      </c>
      <c r="I26" s="17">
        <v>4618500</v>
      </c>
      <c r="J26" s="2">
        <v>14.3</v>
      </c>
      <c r="K26" s="11">
        <f t="shared" si="0"/>
        <v>0.33333333333333331</v>
      </c>
      <c r="L26" s="2">
        <v>2</v>
      </c>
      <c r="M26" s="14">
        <f t="shared" si="1"/>
        <v>2103500</v>
      </c>
      <c r="N26" s="14">
        <f t="shared" si="2"/>
        <v>1682800</v>
      </c>
      <c r="O26" s="3">
        <v>6722000</v>
      </c>
      <c r="P26" s="10">
        <v>1.3141519078074428</v>
      </c>
      <c r="Q26" s="22">
        <v>1.3141519078074428</v>
      </c>
      <c r="R26" s="22">
        <v>1.3141519078074428</v>
      </c>
      <c r="S26" s="22">
        <v>1</v>
      </c>
      <c r="T26" s="22">
        <v>1</v>
      </c>
      <c r="U26" s="22">
        <v>1</v>
      </c>
      <c r="V26" s="22">
        <v>1</v>
      </c>
      <c r="W26" s="22">
        <v>1.3141519078074428</v>
      </c>
      <c r="X26" s="22">
        <v>1</v>
      </c>
      <c r="Y26" s="22">
        <v>1.3141519078074428</v>
      </c>
      <c r="Z26" s="22">
        <v>1</v>
      </c>
      <c r="AA26" s="22">
        <v>1.3141519078074428</v>
      </c>
      <c r="AB26" s="22">
        <v>1</v>
      </c>
      <c r="AC26" s="22">
        <v>1</v>
      </c>
      <c r="AD26" s="22">
        <v>1</v>
      </c>
      <c r="AE26" s="22">
        <v>1</v>
      </c>
      <c r="AF26" s="22">
        <v>1.6283038156148857</v>
      </c>
      <c r="AG26" s="22">
        <v>1</v>
      </c>
      <c r="AH26" s="22">
        <v>1.6283038156148857</v>
      </c>
      <c r="AI26" s="22">
        <v>1.6283038156148857</v>
      </c>
      <c r="AJ26" s="22">
        <v>1.6283038156148857</v>
      </c>
      <c r="AK26" s="22">
        <v>1.3141519078074428</v>
      </c>
      <c r="AL26" s="22">
        <v>1.6283038156148857</v>
      </c>
      <c r="AM26" s="22">
        <v>1.6283038156148857</v>
      </c>
      <c r="AN26" s="22">
        <v>1.3141519078074428</v>
      </c>
      <c r="AO26" s="22">
        <v>1.3141519078074428</v>
      </c>
      <c r="AP26" s="22">
        <v>1.3141519078074428</v>
      </c>
      <c r="AQ26" s="22">
        <v>1</v>
      </c>
      <c r="AR26" s="22">
        <v>1</v>
      </c>
      <c r="AS26" s="22">
        <v>1.3141519078074428</v>
      </c>
      <c r="AT26" s="22">
        <v>1.3141519078074428</v>
      </c>
      <c r="AU26" s="22">
        <v>1</v>
      </c>
      <c r="AV26" s="22">
        <v>1</v>
      </c>
      <c r="AW26" s="22">
        <v>1</v>
      </c>
      <c r="AX26" s="22">
        <v>1</v>
      </c>
      <c r="AY26" s="22">
        <v>1</v>
      </c>
      <c r="AZ26" s="22">
        <v>1</v>
      </c>
      <c r="BA26" s="22">
        <v>1</v>
      </c>
      <c r="BB26" s="22">
        <v>1</v>
      </c>
      <c r="BC26" s="22">
        <v>1</v>
      </c>
      <c r="BD26" s="22">
        <v>1</v>
      </c>
      <c r="BE26" s="22">
        <v>1.3141519078074428</v>
      </c>
      <c r="BF26" s="22">
        <v>1.6283038156148857</v>
      </c>
      <c r="BG26" s="22">
        <v>1.3141519078074428</v>
      </c>
      <c r="BH26" s="22">
        <v>1</v>
      </c>
      <c r="BI26" s="22"/>
      <c r="BJ26" s="10"/>
      <c r="BK26"/>
    </row>
    <row r="27" spans="1:63" x14ac:dyDescent="0.25">
      <c r="A27" s="1">
        <v>17</v>
      </c>
      <c r="B27" t="s">
        <v>68</v>
      </c>
      <c r="C27">
        <v>2</v>
      </c>
      <c r="D27" t="s">
        <v>107</v>
      </c>
      <c r="E27" t="str">
        <f>CONCATENATE("Als onderdeel van het programma 'Netwerk op zijn Best' omvat dit groot onderhoudsproject op de ",B27," een rijbaanverbreding van 3 naar 4 rijstroken op het knooppunt tussen de ",B27," en de M2.")</f>
        <v>Als onderdeel van het programma 'Netwerk op zijn Best' omvat dit groot onderhoudsproject op de B11-B een rijbaanverbreding van 3 naar 4 rijstroken op het knooppunt tussen de B11-B en de M2.</v>
      </c>
      <c r="F27" s="13" t="s">
        <v>136</v>
      </c>
      <c r="G27" s="2" t="s">
        <v>112</v>
      </c>
      <c r="H27" s="2">
        <v>4560</v>
      </c>
      <c r="I27" s="17">
        <v>2938500</v>
      </c>
      <c r="J27" s="2">
        <v>13</v>
      </c>
      <c r="K27" s="11">
        <f t="shared" si="0"/>
        <v>0.33333333333333331</v>
      </c>
      <c r="L27" s="2">
        <v>4</v>
      </c>
      <c r="M27" s="14">
        <f t="shared" si="1"/>
        <v>3783500</v>
      </c>
      <c r="N27" s="14">
        <f t="shared" si="2"/>
        <v>3026800</v>
      </c>
      <c r="O27" s="3">
        <v>6722000</v>
      </c>
      <c r="P27" s="10">
        <v>1.4712278617111645</v>
      </c>
      <c r="Q27" s="22">
        <v>1.4712278617111645</v>
      </c>
      <c r="R27" s="22">
        <v>1.4712278617111645</v>
      </c>
      <c r="S27" s="22">
        <v>1</v>
      </c>
      <c r="T27" s="22">
        <v>1</v>
      </c>
      <c r="U27" s="22">
        <v>1</v>
      </c>
      <c r="V27" s="22">
        <v>1</v>
      </c>
      <c r="W27" s="22">
        <v>1.4712278617111645</v>
      </c>
      <c r="X27" s="22">
        <v>1</v>
      </c>
      <c r="Y27" s="22">
        <v>1.4712278617111645</v>
      </c>
      <c r="Z27" s="22">
        <v>1</v>
      </c>
      <c r="AA27" s="22">
        <v>1.4712278617111645</v>
      </c>
      <c r="AB27" s="22">
        <v>1</v>
      </c>
      <c r="AC27" s="22">
        <v>1</v>
      </c>
      <c r="AD27" s="22">
        <v>1</v>
      </c>
      <c r="AE27" s="22">
        <v>1</v>
      </c>
      <c r="AF27" s="22">
        <v>1.9424557234223288</v>
      </c>
      <c r="AG27" s="22">
        <v>1.9424557234223288</v>
      </c>
      <c r="AH27" s="22">
        <v>1.9424557234223288</v>
      </c>
      <c r="AI27" s="22">
        <v>1.9424557234223288</v>
      </c>
      <c r="AJ27" s="22">
        <v>1.9424557234223288</v>
      </c>
      <c r="AK27" s="22">
        <v>1.4712278617111645</v>
      </c>
      <c r="AL27" s="22">
        <v>1.9424557234223288</v>
      </c>
      <c r="AM27" s="22">
        <v>1.9424557234223288</v>
      </c>
      <c r="AN27" s="22">
        <v>1.4712278617111645</v>
      </c>
      <c r="AO27" s="22">
        <v>1.4712278617111645</v>
      </c>
      <c r="AP27" s="22">
        <v>1.4712278617111645</v>
      </c>
      <c r="AQ27" s="22">
        <v>1</v>
      </c>
      <c r="AR27" s="22">
        <v>1</v>
      </c>
      <c r="AS27" s="22">
        <v>1.4712278617111645</v>
      </c>
      <c r="AT27" s="22">
        <v>1.4712278617111645</v>
      </c>
      <c r="AU27" s="22">
        <v>1</v>
      </c>
      <c r="AV27" s="22">
        <v>1</v>
      </c>
      <c r="AW27" s="22">
        <v>1</v>
      </c>
      <c r="AX27" s="22">
        <v>1</v>
      </c>
      <c r="AY27" s="22">
        <v>1</v>
      </c>
      <c r="AZ27" s="22">
        <v>1</v>
      </c>
      <c r="BA27" s="22">
        <v>1</v>
      </c>
      <c r="BB27" s="22">
        <v>1</v>
      </c>
      <c r="BC27" s="22">
        <v>1</v>
      </c>
      <c r="BD27" s="22">
        <v>1</v>
      </c>
      <c r="BE27" s="22">
        <v>1.4712278617111645</v>
      </c>
      <c r="BF27" s="22">
        <v>1.9424557234223288</v>
      </c>
      <c r="BG27" s="22">
        <v>1.4712278617111645</v>
      </c>
      <c r="BH27" s="22">
        <v>1</v>
      </c>
      <c r="BI27" s="22"/>
      <c r="BJ27" s="10"/>
      <c r="BK27"/>
    </row>
    <row r="28" spans="1:63" x14ac:dyDescent="0.25">
      <c r="A28" s="1">
        <v>17</v>
      </c>
      <c r="B28" t="s">
        <v>68</v>
      </c>
      <c r="C28">
        <v>3</v>
      </c>
      <c r="D28" t="s">
        <v>108</v>
      </c>
      <c r="E28" t="str">
        <f>CONCATENATE("Als onderdeel van het programma 'Netwerk op zijn Best' omvat dit groot onderhoudsproject op de ",B28," een rijbaanverbreding van 3 naar 4 rijstroken op het knooppunt tussen de ",B28," en de M2.")</f>
        <v>Als onderdeel van het programma 'Netwerk op zijn Best' omvat dit groot onderhoudsproject op de B11-B een rijbaanverbreding van 3 naar 4 rijstroken op het knooppunt tussen de B11-B en de M2.</v>
      </c>
      <c r="F28" s="13" t="s">
        <v>137</v>
      </c>
      <c r="G28" s="2" t="s">
        <v>112</v>
      </c>
      <c r="H28" s="2">
        <v>3800</v>
      </c>
      <c r="I28" s="17">
        <v>4618350.0000000009</v>
      </c>
      <c r="J28" s="2">
        <v>13</v>
      </c>
      <c r="K28" s="11">
        <f t="shared" si="0"/>
        <v>0.33333333333333331</v>
      </c>
      <c r="L28" s="2">
        <v>0</v>
      </c>
      <c r="M28" s="14">
        <f t="shared" si="1"/>
        <v>2103649.9999999991</v>
      </c>
      <c r="N28" s="14">
        <f t="shared" si="2"/>
        <v>1682919.9999999993</v>
      </c>
      <c r="O28" s="14">
        <v>6722000</v>
      </c>
      <c r="P28" s="10">
        <v>1.3926898847593037</v>
      </c>
      <c r="Q28" s="22">
        <v>1.3926898847593037</v>
      </c>
      <c r="R28" s="22">
        <v>1.3926898847593037</v>
      </c>
      <c r="S28" s="22">
        <v>1</v>
      </c>
      <c r="T28" s="22">
        <v>1</v>
      </c>
      <c r="U28" s="22">
        <v>1</v>
      </c>
      <c r="V28" s="22">
        <v>1</v>
      </c>
      <c r="W28" s="22">
        <v>1.3926898847593037</v>
      </c>
      <c r="X28" s="22">
        <v>1</v>
      </c>
      <c r="Y28" s="22">
        <v>1.3926898847593037</v>
      </c>
      <c r="Z28" s="22">
        <v>1</v>
      </c>
      <c r="AA28" s="22">
        <v>1.3926898847593037</v>
      </c>
      <c r="AB28" s="22">
        <v>1</v>
      </c>
      <c r="AC28" s="22">
        <v>1</v>
      </c>
      <c r="AD28" s="22">
        <v>1</v>
      </c>
      <c r="AE28" s="22">
        <v>1</v>
      </c>
      <c r="AF28" s="22">
        <v>1.7853797695186073</v>
      </c>
      <c r="AG28" s="22">
        <v>1.3926898847593037</v>
      </c>
      <c r="AH28" s="22">
        <v>1.7853797695186073</v>
      </c>
      <c r="AI28" s="22">
        <v>1.7853797695186073</v>
      </c>
      <c r="AJ28" s="22">
        <v>1.7853797695186073</v>
      </c>
      <c r="AK28" s="22">
        <v>1.3926898847593037</v>
      </c>
      <c r="AL28" s="22">
        <v>1.7853797695186073</v>
      </c>
      <c r="AM28" s="22">
        <v>1.7853797695186073</v>
      </c>
      <c r="AN28" s="22">
        <v>1.3926898847593037</v>
      </c>
      <c r="AO28" s="22">
        <v>1.3926898847593037</v>
      </c>
      <c r="AP28" s="22">
        <v>1.3926898847593037</v>
      </c>
      <c r="AQ28" s="22">
        <v>1</v>
      </c>
      <c r="AR28" s="22">
        <v>1</v>
      </c>
      <c r="AS28" s="22">
        <v>1.3926898847593037</v>
      </c>
      <c r="AT28" s="22">
        <v>1.3926898847593037</v>
      </c>
      <c r="AU28" s="22">
        <v>1</v>
      </c>
      <c r="AV28" s="22">
        <v>1</v>
      </c>
      <c r="AW28" s="22">
        <v>1</v>
      </c>
      <c r="AX28" s="22">
        <v>1</v>
      </c>
      <c r="AY28" s="22">
        <v>1</v>
      </c>
      <c r="AZ28" s="22">
        <v>1</v>
      </c>
      <c r="BA28" s="22">
        <v>1</v>
      </c>
      <c r="BB28" s="22">
        <v>1</v>
      </c>
      <c r="BC28" s="22">
        <v>1</v>
      </c>
      <c r="BD28" s="22">
        <v>1</v>
      </c>
      <c r="BE28" s="22">
        <v>1.3926898847593037</v>
      </c>
      <c r="BF28" s="22">
        <v>1.7853797695186073</v>
      </c>
      <c r="BG28" s="22">
        <v>1.3926898847593037</v>
      </c>
      <c r="BH28" s="22">
        <v>1</v>
      </c>
      <c r="BI28" s="22"/>
      <c r="BJ28" s="10"/>
      <c r="BK28"/>
    </row>
    <row r="29" spans="1:63" x14ac:dyDescent="0.25">
      <c r="A29" s="1">
        <v>17</v>
      </c>
      <c r="B29" t="s">
        <v>68</v>
      </c>
      <c r="C29">
        <v>4</v>
      </c>
      <c r="D29" t="s">
        <v>109</v>
      </c>
      <c r="E29" t="str">
        <f>CONCATENATE("Als onderdeel van het programma 'Netwerk op zijn Best' omvat dit groot onderhoudsproject op de ",B29," een rijbaanverbreding van 3 naar 4 rijstroken op het knooppunt tussen de ",B29," en de M2.")</f>
        <v>Als onderdeel van het programma 'Netwerk op zijn Best' omvat dit groot onderhoudsproject op de B11-B een rijbaanverbreding van 3 naar 4 rijstroken op het knooppunt tussen de B11-B en de M2.</v>
      </c>
      <c r="F29" s="13" t="s">
        <v>138</v>
      </c>
      <c r="G29" s="2" t="s">
        <v>112</v>
      </c>
      <c r="H29" s="2">
        <v>4560</v>
      </c>
      <c r="I29" s="17">
        <v>4198500</v>
      </c>
      <c r="J29" s="2">
        <v>9.1</v>
      </c>
      <c r="K29" s="11">
        <f t="shared" si="0"/>
        <v>0.33333333333333331</v>
      </c>
      <c r="L29" s="2">
        <v>2</v>
      </c>
      <c r="M29" s="14">
        <f t="shared" si="1"/>
        <v>2523500</v>
      </c>
      <c r="N29" s="14">
        <f t="shared" si="2"/>
        <v>2018800</v>
      </c>
      <c r="O29" s="3">
        <v>6722000</v>
      </c>
      <c r="P29" s="10">
        <v>1.4712278617111645</v>
      </c>
      <c r="Q29" s="22">
        <v>1.4712278617111645</v>
      </c>
      <c r="R29" s="22">
        <v>1.4712278617111645</v>
      </c>
      <c r="S29" s="22">
        <v>1</v>
      </c>
      <c r="T29" s="22">
        <v>1</v>
      </c>
      <c r="U29" s="22">
        <v>1</v>
      </c>
      <c r="V29" s="22">
        <v>1</v>
      </c>
      <c r="W29" s="22">
        <v>1.4712278617111645</v>
      </c>
      <c r="X29" s="22">
        <v>1</v>
      </c>
      <c r="Y29" s="22">
        <v>1.4712278617111645</v>
      </c>
      <c r="Z29" s="22">
        <v>1</v>
      </c>
      <c r="AA29" s="22">
        <v>1.4712278617111645</v>
      </c>
      <c r="AB29" s="22">
        <v>1</v>
      </c>
      <c r="AC29" s="22">
        <v>1</v>
      </c>
      <c r="AD29" s="22">
        <v>1</v>
      </c>
      <c r="AE29" s="22">
        <v>1</v>
      </c>
      <c r="AF29" s="22">
        <v>1.9424557234223288</v>
      </c>
      <c r="AG29" s="22">
        <v>1.9424557234223288</v>
      </c>
      <c r="AH29" s="22">
        <v>1.9424557234223288</v>
      </c>
      <c r="AI29" s="22">
        <v>1.9424557234223288</v>
      </c>
      <c r="AJ29" s="22">
        <v>1.9424557234223288</v>
      </c>
      <c r="AK29" s="22">
        <v>1.4712278617111645</v>
      </c>
      <c r="AL29" s="22">
        <v>1.9424557234223288</v>
      </c>
      <c r="AM29" s="22">
        <v>1.9424557234223288</v>
      </c>
      <c r="AN29" s="22">
        <v>1.4712278617111645</v>
      </c>
      <c r="AO29" s="22">
        <v>1.4712278617111645</v>
      </c>
      <c r="AP29" s="22">
        <v>1.4712278617111645</v>
      </c>
      <c r="AQ29" s="22">
        <v>1</v>
      </c>
      <c r="AR29" s="22">
        <v>1</v>
      </c>
      <c r="AS29" s="22">
        <v>1.4712278617111645</v>
      </c>
      <c r="AT29" s="22">
        <v>1.4712278617111645</v>
      </c>
      <c r="AU29" s="22">
        <v>1</v>
      </c>
      <c r="AV29" s="22">
        <v>1</v>
      </c>
      <c r="AW29" s="22">
        <v>1</v>
      </c>
      <c r="AX29" s="22">
        <v>1</v>
      </c>
      <c r="AY29" s="22">
        <v>1</v>
      </c>
      <c r="AZ29" s="22">
        <v>1</v>
      </c>
      <c r="BA29" s="22">
        <v>1</v>
      </c>
      <c r="BB29" s="22">
        <v>1</v>
      </c>
      <c r="BC29" s="22">
        <v>1</v>
      </c>
      <c r="BD29" s="22">
        <v>1</v>
      </c>
      <c r="BE29" s="22">
        <v>1.4712278617111645</v>
      </c>
      <c r="BF29" s="22">
        <v>1.9424557234223288</v>
      </c>
      <c r="BG29" s="22">
        <v>1.4712278617111645</v>
      </c>
      <c r="BH29" s="22">
        <v>1</v>
      </c>
      <c r="BI29" s="22"/>
      <c r="BJ29" s="10"/>
      <c r="BK29"/>
    </row>
    <row r="30" spans="1:63" x14ac:dyDescent="0.25">
      <c r="A30" s="1">
        <v>18</v>
      </c>
      <c r="B30" s="20" t="s">
        <v>69</v>
      </c>
      <c r="C30">
        <v>1</v>
      </c>
      <c r="D30" t="s">
        <v>106</v>
      </c>
      <c r="E30" t="str">
        <f t="shared" ref="E30:E37" si="3">CONCATENATE("Als onderdeel van het programma 'Netwerk op zijn Best' omvat dit groot onderhoudsproject op de ",B30," een grootschalige vernieuwing van het asfalt.")</f>
        <v>Als onderdeel van het programma 'Netwerk op zijn Best' omvat dit groot onderhoudsproject op de B11-C een grootschalige vernieuwing van het asfalt.</v>
      </c>
      <c r="F30" s="13" t="s">
        <v>135</v>
      </c>
      <c r="G30" s="2" t="s">
        <v>113</v>
      </c>
      <c r="H30" s="2">
        <v>1120</v>
      </c>
      <c r="I30" s="17">
        <v>1848000</v>
      </c>
      <c r="J30" s="2">
        <v>5.5</v>
      </c>
      <c r="K30" s="11">
        <f t="shared" si="0"/>
        <v>0.33333333333333331</v>
      </c>
      <c r="L30" s="2">
        <v>1</v>
      </c>
      <c r="M30" s="14">
        <f t="shared" si="1"/>
        <v>840000</v>
      </c>
      <c r="N30" s="14">
        <f t="shared" si="2"/>
        <v>672000</v>
      </c>
      <c r="O30" s="3">
        <v>2688000</v>
      </c>
      <c r="P30" s="10">
        <v>1</v>
      </c>
      <c r="Q30" s="22">
        <v>1</v>
      </c>
      <c r="R30" s="22">
        <v>1</v>
      </c>
      <c r="S30" s="22">
        <v>1</v>
      </c>
      <c r="T30" s="22">
        <v>1</v>
      </c>
      <c r="U30" s="22">
        <v>1</v>
      </c>
      <c r="V30" s="22">
        <v>1</v>
      </c>
      <c r="W30" s="22">
        <v>1</v>
      </c>
      <c r="X30" s="22">
        <v>1</v>
      </c>
      <c r="Y30" s="22">
        <v>1.2099833545744325</v>
      </c>
      <c r="Z30" s="22">
        <v>1.2099833545744325</v>
      </c>
      <c r="AA30" s="22">
        <v>1.419966709148865</v>
      </c>
      <c r="AB30" s="22">
        <v>1</v>
      </c>
      <c r="AC30" s="22">
        <v>1</v>
      </c>
      <c r="AD30" s="22">
        <v>1</v>
      </c>
      <c r="AE30" s="22">
        <v>1</v>
      </c>
      <c r="AF30" s="22">
        <v>1.2099833545744325</v>
      </c>
      <c r="AG30" s="22">
        <v>1.419966709148865</v>
      </c>
      <c r="AH30" s="22">
        <v>1</v>
      </c>
      <c r="AI30" s="22">
        <v>1.2099833545744325</v>
      </c>
      <c r="AJ30" s="22">
        <v>1.2099833545744325</v>
      </c>
      <c r="AK30" s="22">
        <v>1</v>
      </c>
      <c r="AL30" s="22">
        <v>1.419966709148865</v>
      </c>
      <c r="AM30" s="22">
        <v>1.419966709148865</v>
      </c>
      <c r="AN30" s="22">
        <v>1.2099833545744325</v>
      </c>
      <c r="AO30" s="22">
        <v>1.2099833545744325</v>
      </c>
      <c r="AP30" s="22">
        <v>1.2099833545744325</v>
      </c>
      <c r="AQ30" s="22">
        <v>1</v>
      </c>
      <c r="AR30" s="22">
        <v>1</v>
      </c>
      <c r="AS30" s="22">
        <v>1</v>
      </c>
      <c r="AT30" s="22">
        <v>1</v>
      </c>
      <c r="AU30" s="22">
        <v>1</v>
      </c>
      <c r="AV30" s="22">
        <v>1</v>
      </c>
      <c r="AW30" s="22">
        <v>1</v>
      </c>
      <c r="AX30" s="22">
        <v>1.2099833545744325</v>
      </c>
      <c r="AY30" s="22">
        <v>1.2099833545744325</v>
      </c>
      <c r="AZ30" s="22">
        <v>1</v>
      </c>
      <c r="BA30" s="22">
        <v>1</v>
      </c>
      <c r="BB30" s="22">
        <v>1</v>
      </c>
      <c r="BC30" s="22">
        <v>1</v>
      </c>
      <c r="BD30" s="22">
        <v>1</v>
      </c>
      <c r="BE30" s="22">
        <v>1</v>
      </c>
      <c r="BF30" s="22">
        <v>1.2099833545744325</v>
      </c>
      <c r="BG30" s="22">
        <v>1.2099833545744325</v>
      </c>
      <c r="BH30" s="22">
        <v>1</v>
      </c>
      <c r="BI30" s="22"/>
      <c r="BJ30" s="10"/>
      <c r="BK30"/>
    </row>
    <row r="31" spans="1:63" x14ac:dyDescent="0.25">
      <c r="A31" s="1">
        <v>18</v>
      </c>
      <c r="B31" s="20" t="s">
        <v>69</v>
      </c>
      <c r="C31">
        <v>2</v>
      </c>
      <c r="D31" t="s">
        <v>107</v>
      </c>
      <c r="E31" t="str">
        <f t="shared" si="3"/>
        <v>Als onderdeel van het programma 'Netwerk op zijn Best' omvat dit groot onderhoudsproject op de B11-C een grootschalige vernieuwing van het asfalt.</v>
      </c>
      <c r="F31" s="13" t="s">
        <v>136</v>
      </c>
      <c r="G31" s="2" t="s">
        <v>113</v>
      </c>
      <c r="H31" s="2">
        <v>1680</v>
      </c>
      <c r="I31" s="17">
        <v>1176000</v>
      </c>
      <c r="J31" s="2">
        <v>5</v>
      </c>
      <c r="K31" s="11">
        <f t="shared" si="0"/>
        <v>0.33333333333333331</v>
      </c>
      <c r="L31" s="2">
        <v>2</v>
      </c>
      <c r="M31" s="14">
        <f t="shared" si="1"/>
        <v>1512000</v>
      </c>
      <c r="N31" s="14">
        <f t="shared" si="2"/>
        <v>1209600</v>
      </c>
      <c r="O31" s="3">
        <v>2688000</v>
      </c>
      <c r="P31" s="10">
        <v>1</v>
      </c>
      <c r="Q31" s="22">
        <v>1</v>
      </c>
      <c r="R31" s="22">
        <v>1</v>
      </c>
      <c r="S31" s="22">
        <v>1</v>
      </c>
      <c r="T31" s="22">
        <v>1</v>
      </c>
      <c r="U31" s="22">
        <v>1</v>
      </c>
      <c r="V31" s="22">
        <v>1</v>
      </c>
      <c r="W31" s="22">
        <v>1</v>
      </c>
      <c r="X31" s="22">
        <v>1</v>
      </c>
      <c r="Y31" s="22">
        <v>1.3149750318616489</v>
      </c>
      <c r="Z31" s="22">
        <v>1.3149750318616489</v>
      </c>
      <c r="AA31" s="22">
        <v>1.6299500637232978</v>
      </c>
      <c r="AB31" s="22">
        <v>1</v>
      </c>
      <c r="AC31" s="22">
        <v>1</v>
      </c>
      <c r="AD31" s="22">
        <v>1</v>
      </c>
      <c r="AE31" s="22">
        <v>1</v>
      </c>
      <c r="AF31" s="22">
        <v>1.3149750318616489</v>
      </c>
      <c r="AG31" s="22">
        <v>1.6299500637232978</v>
      </c>
      <c r="AH31" s="22">
        <v>1.6299500637232978</v>
      </c>
      <c r="AI31" s="22">
        <v>1.3149750318616489</v>
      </c>
      <c r="AJ31" s="22">
        <v>1.3149750318616489</v>
      </c>
      <c r="AK31" s="22">
        <v>1</v>
      </c>
      <c r="AL31" s="22">
        <v>1.6299500637232978</v>
      </c>
      <c r="AM31" s="22">
        <v>1.6299500637232978</v>
      </c>
      <c r="AN31" s="22">
        <v>1.3149750318616489</v>
      </c>
      <c r="AO31" s="22">
        <v>1.3149750318616489</v>
      </c>
      <c r="AP31" s="22">
        <v>1.3149750318616489</v>
      </c>
      <c r="AQ31" s="22">
        <v>1</v>
      </c>
      <c r="AR31" s="22">
        <v>1</v>
      </c>
      <c r="AS31" s="22">
        <v>1</v>
      </c>
      <c r="AT31" s="22">
        <v>1</v>
      </c>
      <c r="AU31" s="22">
        <v>1</v>
      </c>
      <c r="AV31" s="22">
        <v>1</v>
      </c>
      <c r="AW31" s="22">
        <v>1</v>
      </c>
      <c r="AX31" s="22">
        <v>1.3149750318616489</v>
      </c>
      <c r="AY31" s="22">
        <v>1.3149750318616489</v>
      </c>
      <c r="AZ31" s="22">
        <v>1</v>
      </c>
      <c r="BA31" s="22">
        <v>1</v>
      </c>
      <c r="BB31" s="22">
        <v>1</v>
      </c>
      <c r="BC31" s="22">
        <v>1</v>
      </c>
      <c r="BD31" s="22">
        <v>1</v>
      </c>
      <c r="BE31" s="22">
        <v>1</v>
      </c>
      <c r="BF31" s="22">
        <v>1.3149750318616489</v>
      </c>
      <c r="BG31" s="22">
        <v>1.3149750318616489</v>
      </c>
      <c r="BH31" s="22">
        <v>1</v>
      </c>
      <c r="BI31" s="22"/>
      <c r="BJ31" s="10"/>
      <c r="BK31"/>
    </row>
    <row r="32" spans="1:63" x14ac:dyDescent="0.25">
      <c r="A32" s="1">
        <v>18</v>
      </c>
      <c r="B32" s="20" t="s">
        <v>69</v>
      </c>
      <c r="C32">
        <v>3</v>
      </c>
      <c r="D32" t="s">
        <v>108</v>
      </c>
      <c r="E32" t="str">
        <f t="shared" si="3"/>
        <v>Als onderdeel van het programma 'Netwerk op zijn Best' omvat dit groot onderhoudsproject op de B11-C een grootschalige vernieuwing van het asfalt.</v>
      </c>
      <c r="F32" s="13" t="s">
        <v>137</v>
      </c>
      <c r="G32" s="2" t="s">
        <v>113</v>
      </c>
      <c r="H32" s="2">
        <v>1400</v>
      </c>
      <c r="I32" s="17">
        <v>1848000</v>
      </c>
      <c r="J32" s="2">
        <v>5</v>
      </c>
      <c r="K32" s="11">
        <f t="shared" si="0"/>
        <v>0.33333333333333331</v>
      </c>
      <c r="L32" s="2">
        <v>0</v>
      </c>
      <c r="M32" s="14">
        <f t="shared" si="1"/>
        <v>840000</v>
      </c>
      <c r="N32" s="14">
        <f t="shared" si="2"/>
        <v>672000</v>
      </c>
      <c r="O32" s="3">
        <v>2688000</v>
      </c>
      <c r="P32" s="10">
        <v>1</v>
      </c>
      <c r="Q32" s="22">
        <v>1</v>
      </c>
      <c r="R32" s="22">
        <v>1</v>
      </c>
      <c r="S32" s="22">
        <v>1</v>
      </c>
      <c r="T32" s="22">
        <v>1</v>
      </c>
      <c r="U32" s="22">
        <v>1</v>
      </c>
      <c r="V32" s="22">
        <v>1</v>
      </c>
      <c r="W32" s="22">
        <v>1</v>
      </c>
      <c r="X32" s="22">
        <v>1</v>
      </c>
      <c r="Y32" s="22">
        <v>1.2624791932180406</v>
      </c>
      <c r="Z32" s="22">
        <v>1.2624791932180406</v>
      </c>
      <c r="AA32" s="22">
        <v>1.5249583864360814</v>
      </c>
      <c r="AB32" s="22">
        <v>1</v>
      </c>
      <c r="AC32" s="22">
        <v>1</v>
      </c>
      <c r="AD32" s="22">
        <v>1</v>
      </c>
      <c r="AE32" s="22">
        <v>1</v>
      </c>
      <c r="AF32" s="22">
        <v>1.2624791932180406</v>
      </c>
      <c r="AG32" s="22">
        <v>1.5249583864360814</v>
      </c>
      <c r="AH32" s="22">
        <v>1.2624791932180406</v>
      </c>
      <c r="AI32" s="22">
        <v>1.2624791932180406</v>
      </c>
      <c r="AJ32" s="22">
        <v>1.2624791932180406</v>
      </c>
      <c r="AK32" s="22">
        <v>1</v>
      </c>
      <c r="AL32" s="22">
        <v>1.5249583864360814</v>
      </c>
      <c r="AM32" s="22">
        <v>1.5249583864360814</v>
      </c>
      <c r="AN32" s="22">
        <v>1.2624791932180406</v>
      </c>
      <c r="AO32" s="22">
        <v>1.2624791932180406</v>
      </c>
      <c r="AP32" s="22">
        <v>1.2624791932180406</v>
      </c>
      <c r="AQ32" s="22">
        <v>1</v>
      </c>
      <c r="AR32" s="22">
        <v>1</v>
      </c>
      <c r="AS32" s="22">
        <v>1</v>
      </c>
      <c r="AT32" s="22">
        <v>1</v>
      </c>
      <c r="AU32" s="22">
        <v>1</v>
      </c>
      <c r="AV32" s="22">
        <v>1</v>
      </c>
      <c r="AW32" s="22">
        <v>1</v>
      </c>
      <c r="AX32" s="22">
        <v>1.2624791932180406</v>
      </c>
      <c r="AY32" s="22">
        <v>1.2624791932180406</v>
      </c>
      <c r="AZ32" s="22">
        <v>1</v>
      </c>
      <c r="BA32" s="22">
        <v>1</v>
      </c>
      <c r="BB32" s="22">
        <v>1</v>
      </c>
      <c r="BC32" s="22">
        <v>1</v>
      </c>
      <c r="BD32" s="22">
        <v>1</v>
      </c>
      <c r="BE32" s="22">
        <v>1</v>
      </c>
      <c r="BF32" s="22">
        <v>1.2624791932180406</v>
      </c>
      <c r="BG32" s="22">
        <v>1.2624791932180406</v>
      </c>
      <c r="BH32" s="22">
        <v>1</v>
      </c>
      <c r="BI32" s="22"/>
      <c r="BJ32" s="10"/>
      <c r="BK32"/>
    </row>
    <row r="33" spans="1:63" x14ac:dyDescent="0.25">
      <c r="A33" s="1">
        <v>18</v>
      </c>
      <c r="B33" s="20" t="s">
        <v>69</v>
      </c>
      <c r="C33">
        <v>4</v>
      </c>
      <c r="D33" t="s">
        <v>109</v>
      </c>
      <c r="E33" t="str">
        <f t="shared" si="3"/>
        <v>Als onderdeel van het programma 'Netwerk op zijn Best' omvat dit groot onderhoudsproject op de B11-C een grootschalige vernieuwing van het asfalt.</v>
      </c>
      <c r="F33" s="13" t="s">
        <v>138</v>
      </c>
      <c r="G33" s="2" t="s">
        <v>113</v>
      </c>
      <c r="H33" s="2">
        <v>1680</v>
      </c>
      <c r="I33" s="17">
        <v>1680000</v>
      </c>
      <c r="J33" s="2">
        <v>3.5</v>
      </c>
      <c r="K33" s="11">
        <f t="shared" si="0"/>
        <v>0.33333333333333331</v>
      </c>
      <c r="L33" s="2">
        <v>1</v>
      </c>
      <c r="M33" s="14">
        <f t="shared" si="1"/>
        <v>1008000</v>
      </c>
      <c r="N33" s="14">
        <f t="shared" si="2"/>
        <v>806400</v>
      </c>
      <c r="O33" s="3">
        <v>2688000</v>
      </c>
      <c r="P33" s="10">
        <v>1</v>
      </c>
      <c r="Q33" s="22">
        <v>1</v>
      </c>
      <c r="R33" s="22">
        <v>1</v>
      </c>
      <c r="S33" s="22">
        <v>1</v>
      </c>
      <c r="T33" s="22">
        <v>1</v>
      </c>
      <c r="U33" s="22">
        <v>1</v>
      </c>
      <c r="V33" s="22">
        <v>1</v>
      </c>
      <c r="W33" s="22">
        <v>1</v>
      </c>
      <c r="X33" s="22">
        <v>1</v>
      </c>
      <c r="Y33" s="22">
        <v>1.3149750318616489</v>
      </c>
      <c r="Z33" s="22">
        <v>1.3149750318616489</v>
      </c>
      <c r="AA33" s="22">
        <v>1.6299500637232978</v>
      </c>
      <c r="AB33" s="22">
        <v>1</v>
      </c>
      <c r="AC33" s="22">
        <v>1</v>
      </c>
      <c r="AD33" s="22">
        <v>1</v>
      </c>
      <c r="AE33" s="22">
        <v>1</v>
      </c>
      <c r="AF33" s="22">
        <v>1.3149750318616489</v>
      </c>
      <c r="AG33" s="22">
        <v>1.6299500637232978</v>
      </c>
      <c r="AH33" s="22">
        <v>1.6299500637232978</v>
      </c>
      <c r="AI33" s="22">
        <v>1.3149750318616489</v>
      </c>
      <c r="AJ33" s="22">
        <v>1.3149750318616489</v>
      </c>
      <c r="AK33" s="22">
        <v>1</v>
      </c>
      <c r="AL33" s="22">
        <v>1.6299500637232978</v>
      </c>
      <c r="AM33" s="22">
        <v>1.6299500637232978</v>
      </c>
      <c r="AN33" s="22">
        <v>1.3149750318616489</v>
      </c>
      <c r="AO33" s="22">
        <v>1.3149750318616489</v>
      </c>
      <c r="AP33" s="22">
        <v>1.3149750318616489</v>
      </c>
      <c r="AQ33" s="22">
        <v>1</v>
      </c>
      <c r="AR33" s="22">
        <v>1</v>
      </c>
      <c r="AS33" s="22">
        <v>1</v>
      </c>
      <c r="AT33" s="22">
        <v>1</v>
      </c>
      <c r="AU33" s="22">
        <v>1</v>
      </c>
      <c r="AV33" s="22">
        <v>1</v>
      </c>
      <c r="AW33" s="22">
        <v>1</v>
      </c>
      <c r="AX33" s="22">
        <v>1.3149750318616489</v>
      </c>
      <c r="AY33" s="22">
        <v>1.3149750318616489</v>
      </c>
      <c r="AZ33" s="22">
        <v>1</v>
      </c>
      <c r="BA33" s="22">
        <v>1</v>
      </c>
      <c r="BB33" s="22">
        <v>1</v>
      </c>
      <c r="BC33" s="22">
        <v>1</v>
      </c>
      <c r="BD33" s="22">
        <v>1</v>
      </c>
      <c r="BE33" s="22">
        <v>1</v>
      </c>
      <c r="BF33" s="22">
        <v>1.3149750318616489</v>
      </c>
      <c r="BG33" s="22">
        <v>1.3149750318616489</v>
      </c>
      <c r="BH33" s="22">
        <v>1</v>
      </c>
      <c r="BI33" s="22"/>
      <c r="BJ33" s="10"/>
      <c r="BK33"/>
    </row>
    <row r="34" spans="1:63" x14ac:dyDescent="0.25">
      <c r="A34" s="1">
        <v>19</v>
      </c>
      <c r="B34" s="19" t="s">
        <v>70</v>
      </c>
      <c r="C34">
        <v>1</v>
      </c>
      <c r="D34" t="s">
        <v>106</v>
      </c>
      <c r="E34" t="str">
        <f t="shared" si="3"/>
        <v>Als onderdeel van het programma 'Netwerk op zijn Best' omvat dit groot onderhoudsproject op de B12-A een grootschalige vernieuwing van het asfalt.</v>
      </c>
      <c r="F34" s="13" t="s">
        <v>135</v>
      </c>
      <c r="G34" s="2" t="s">
        <v>113</v>
      </c>
      <c r="H34" s="2">
        <v>1760</v>
      </c>
      <c r="I34" s="17">
        <v>5778000</v>
      </c>
      <c r="J34" s="2">
        <v>8.8000000000000007</v>
      </c>
      <c r="K34" s="11">
        <f t="shared" si="0"/>
        <v>0.33333333333333331</v>
      </c>
      <c r="L34" s="2">
        <v>2</v>
      </c>
      <c r="M34" s="14">
        <f t="shared" si="1"/>
        <v>2630000</v>
      </c>
      <c r="N34" s="14">
        <f t="shared" si="2"/>
        <v>2104000</v>
      </c>
      <c r="O34" s="3">
        <v>8408000</v>
      </c>
      <c r="P34" s="10">
        <v>1</v>
      </c>
      <c r="Q34" s="22">
        <v>1</v>
      </c>
      <c r="R34" s="22">
        <v>1</v>
      </c>
      <c r="S34" s="22">
        <v>1</v>
      </c>
      <c r="T34" s="22">
        <v>1</v>
      </c>
      <c r="U34" s="22">
        <v>1</v>
      </c>
      <c r="V34" s="22">
        <v>1</v>
      </c>
      <c r="W34" s="22">
        <v>1.3299738429026797</v>
      </c>
      <c r="X34" s="22">
        <v>1.3299738429026797</v>
      </c>
      <c r="Y34" s="22">
        <v>1.6599476858053595</v>
      </c>
      <c r="Z34" s="22">
        <v>1</v>
      </c>
      <c r="AA34" s="22">
        <v>1</v>
      </c>
      <c r="AB34" s="22">
        <v>1</v>
      </c>
      <c r="AC34" s="22">
        <v>1</v>
      </c>
      <c r="AD34" s="22">
        <v>1</v>
      </c>
      <c r="AE34" s="22">
        <v>1</v>
      </c>
      <c r="AF34" s="22">
        <v>1.6599476858053595</v>
      </c>
      <c r="AG34" s="22">
        <v>1.6599476858053595</v>
      </c>
      <c r="AH34" s="22">
        <v>1.3299738429026797</v>
      </c>
      <c r="AI34" s="22">
        <v>1</v>
      </c>
      <c r="AJ34" s="22">
        <v>1.6599476858053595</v>
      </c>
      <c r="AK34" s="22">
        <v>1.3299738429026797</v>
      </c>
      <c r="AL34" s="22">
        <v>1.3299738429026797</v>
      </c>
      <c r="AM34" s="22">
        <v>1.3299738429026797</v>
      </c>
      <c r="AN34" s="22">
        <v>1</v>
      </c>
      <c r="AO34" s="22">
        <v>1</v>
      </c>
      <c r="AP34" s="22">
        <v>1</v>
      </c>
      <c r="AQ34" s="22">
        <v>1</v>
      </c>
      <c r="AR34" s="22">
        <v>1</v>
      </c>
      <c r="AS34" s="22">
        <v>1.3299738429026797</v>
      </c>
      <c r="AT34" s="22">
        <v>1.3299738429026797</v>
      </c>
      <c r="AU34" s="22">
        <v>1</v>
      </c>
      <c r="AV34" s="22">
        <v>1.3299738429026797</v>
      </c>
      <c r="AW34" s="22">
        <v>1.3299738429026797</v>
      </c>
      <c r="AX34" s="22">
        <v>1</v>
      </c>
      <c r="AY34" s="22">
        <v>1</v>
      </c>
      <c r="AZ34" s="22">
        <v>1</v>
      </c>
      <c r="BA34" s="22">
        <v>1</v>
      </c>
      <c r="BB34" s="22">
        <v>1</v>
      </c>
      <c r="BC34" s="22">
        <v>1</v>
      </c>
      <c r="BD34" s="22">
        <v>1</v>
      </c>
      <c r="BE34" s="22">
        <v>1.3299738429026797</v>
      </c>
      <c r="BF34" s="22">
        <v>1.3299738429026797</v>
      </c>
      <c r="BG34" s="22">
        <v>1</v>
      </c>
      <c r="BH34" s="22">
        <v>1</v>
      </c>
      <c r="BI34" s="22"/>
      <c r="BJ34" s="22"/>
      <c r="BK34"/>
    </row>
    <row r="35" spans="1:63" x14ac:dyDescent="0.25">
      <c r="A35" s="1">
        <v>19</v>
      </c>
      <c r="B35" s="19" t="s">
        <v>70</v>
      </c>
      <c r="C35">
        <v>2</v>
      </c>
      <c r="D35" t="s">
        <v>107</v>
      </c>
      <c r="E35" t="str">
        <f t="shared" si="3"/>
        <v>Als onderdeel van het programma 'Netwerk op zijn Best' omvat dit groot onderhoudsproject op de B12-A een grootschalige vernieuwing van het asfalt.</v>
      </c>
      <c r="F35" s="13" t="s">
        <v>136</v>
      </c>
      <c r="G35" s="2" t="s">
        <v>113</v>
      </c>
      <c r="H35" s="2">
        <v>2640</v>
      </c>
      <c r="I35" s="17">
        <v>3676500</v>
      </c>
      <c r="J35" s="2">
        <v>8</v>
      </c>
      <c r="K35" s="11">
        <f t="shared" si="0"/>
        <v>0.33333333333333331</v>
      </c>
      <c r="L35" s="2">
        <v>4</v>
      </c>
      <c r="M35" s="14">
        <f t="shared" si="1"/>
        <v>4731500</v>
      </c>
      <c r="N35" s="14">
        <f t="shared" si="2"/>
        <v>3785200</v>
      </c>
      <c r="O35" s="3">
        <v>8408000</v>
      </c>
      <c r="P35" s="10">
        <v>1</v>
      </c>
      <c r="Q35" s="22">
        <v>1</v>
      </c>
      <c r="R35" s="22">
        <v>1</v>
      </c>
      <c r="S35" s="22">
        <v>1</v>
      </c>
      <c r="T35" s="22">
        <v>1</v>
      </c>
      <c r="U35" s="22">
        <v>1</v>
      </c>
      <c r="V35" s="22">
        <v>1</v>
      </c>
      <c r="W35" s="22">
        <v>1.4949607643540195</v>
      </c>
      <c r="X35" s="22">
        <v>1.4949607643540195</v>
      </c>
      <c r="Y35" s="22">
        <v>1.9899215287080392</v>
      </c>
      <c r="Z35" s="22">
        <v>1</v>
      </c>
      <c r="AA35" s="22">
        <v>1</v>
      </c>
      <c r="AB35" s="22">
        <v>1</v>
      </c>
      <c r="AC35" s="22">
        <v>1</v>
      </c>
      <c r="AD35" s="22">
        <v>1</v>
      </c>
      <c r="AE35" s="22">
        <v>1</v>
      </c>
      <c r="AF35" s="22">
        <v>1.9899215287080392</v>
      </c>
      <c r="AG35" s="22">
        <v>1.9899215287080392</v>
      </c>
      <c r="AH35" s="22">
        <v>1.4949607643540195</v>
      </c>
      <c r="AI35" s="22">
        <v>1.9899215287080392</v>
      </c>
      <c r="AJ35" s="22">
        <v>1.9899215287080392</v>
      </c>
      <c r="AK35" s="22">
        <v>1.4949607643540195</v>
      </c>
      <c r="AL35" s="22">
        <v>1.4949607643540195</v>
      </c>
      <c r="AM35" s="22">
        <v>1.4949607643540195</v>
      </c>
      <c r="AN35" s="22">
        <v>1</v>
      </c>
      <c r="AO35" s="22">
        <v>1</v>
      </c>
      <c r="AP35" s="22">
        <v>1</v>
      </c>
      <c r="AQ35" s="22">
        <v>1</v>
      </c>
      <c r="AR35" s="22">
        <v>1</v>
      </c>
      <c r="AS35" s="22">
        <v>1.4949607643540195</v>
      </c>
      <c r="AT35" s="22">
        <v>1.4949607643540195</v>
      </c>
      <c r="AU35" s="22">
        <v>1</v>
      </c>
      <c r="AV35" s="22">
        <v>1.4949607643540195</v>
      </c>
      <c r="AW35" s="22">
        <v>1.4949607643540195</v>
      </c>
      <c r="AX35" s="22">
        <v>1</v>
      </c>
      <c r="AY35" s="22">
        <v>1</v>
      </c>
      <c r="AZ35" s="22">
        <v>1</v>
      </c>
      <c r="BA35" s="22">
        <v>1</v>
      </c>
      <c r="BB35" s="22">
        <v>1</v>
      </c>
      <c r="BC35" s="22">
        <v>1</v>
      </c>
      <c r="BD35" s="22">
        <v>1</v>
      </c>
      <c r="BE35" s="22">
        <v>1.4949607643540195</v>
      </c>
      <c r="BF35" s="22">
        <v>1.4949607643540195</v>
      </c>
      <c r="BG35" s="22">
        <v>1</v>
      </c>
      <c r="BH35" s="22">
        <v>1</v>
      </c>
      <c r="BI35" s="22"/>
      <c r="BJ35" s="22"/>
      <c r="BK35"/>
    </row>
    <row r="36" spans="1:63" x14ac:dyDescent="0.25">
      <c r="A36" s="1">
        <v>19</v>
      </c>
      <c r="B36" s="19" t="s">
        <v>70</v>
      </c>
      <c r="C36">
        <v>3</v>
      </c>
      <c r="D36" t="s">
        <v>108</v>
      </c>
      <c r="E36" t="str">
        <f t="shared" si="3"/>
        <v>Als onderdeel van het programma 'Netwerk op zijn Best' omvat dit groot onderhoudsproject op de B12-A een grootschalige vernieuwing van het asfalt.</v>
      </c>
      <c r="F36" s="13" t="s">
        <v>137</v>
      </c>
      <c r="G36" s="2" t="s">
        <v>113</v>
      </c>
      <c r="H36" s="2">
        <v>2200</v>
      </c>
      <c r="I36" s="17">
        <v>5778300.0000000009</v>
      </c>
      <c r="J36" s="2">
        <v>8</v>
      </c>
      <c r="K36" s="11">
        <f t="shared" si="0"/>
        <v>0.33333333333333331</v>
      </c>
      <c r="L36" s="2">
        <v>0</v>
      </c>
      <c r="M36" s="14">
        <f t="shared" si="1"/>
        <v>2629699.9999999991</v>
      </c>
      <c r="N36" s="14">
        <f t="shared" si="2"/>
        <v>2103759.9999999995</v>
      </c>
      <c r="O36" s="14">
        <v>8408000</v>
      </c>
      <c r="P36" s="10">
        <v>1</v>
      </c>
      <c r="Q36" s="22">
        <v>1</v>
      </c>
      <c r="R36" s="22">
        <v>1</v>
      </c>
      <c r="S36" s="22">
        <v>1</v>
      </c>
      <c r="T36" s="22">
        <v>1</v>
      </c>
      <c r="U36" s="22">
        <v>1</v>
      </c>
      <c r="V36" s="22">
        <v>1</v>
      </c>
      <c r="W36" s="22">
        <v>1.4124673036283497</v>
      </c>
      <c r="X36" s="22">
        <v>1.4124673036283497</v>
      </c>
      <c r="Y36" s="22">
        <v>1.8249346072566994</v>
      </c>
      <c r="Z36" s="22">
        <v>1</v>
      </c>
      <c r="AA36" s="22">
        <v>1</v>
      </c>
      <c r="AB36" s="22">
        <v>1</v>
      </c>
      <c r="AC36" s="22">
        <v>1</v>
      </c>
      <c r="AD36" s="22">
        <v>1</v>
      </c>
      <c r="AE36" s="22">
        <v>1</v>
      </c>
      <c r="AF36" s="22">
        <v>1.8249346072566994</v>
      </c>
      <c r="AG36" s="22">
        <v>1.8249346072566994</v>
      </c>
      <c r="AH36" s="22">
        <v>1.4124673036283497</v>
      </c>
      <c r="AI36" s="22">
        <v>1.4124673036283497</v>
      </c>
      <c r="AJ36" s="22">
        <v>1.8249346072566994</v>
      </c>
      <c r="AK36" s="22">
        <v>1.4124673036283497</v>
      </c>
      <c r="AL36" s="22">
        <v>1.4124673036283497</v>
      </c>
      <c r="AM36" s="22">
        <v>1.4124673036283497</v>
      </c>
      <c r="AN36" s="22">
        <v>1</v>
      </c>
      <c r="AO36" s="22">
        <v>1</v>
      </c>
      <c r="AP36" s="22">
        <v>1</v>
      </c>
      <c r="AQ36" s="22">
        <v>1</v>
      </c>
      <c r="AR36" s="22">
        <v>1</v>
      </c>
      <c r="AS36" s="22">
        <v>1.4124673036283497</v>
      </c>
      <c r="AT36" s="22">
        <v>1.4124673036283497</v>
      </c>
      <c r="AU36" s="22">
        <v>1</v>
      </c>
      <c r="AV36" s="22">
        <v>1.4124673036283497</v>
      </c>
      <c r="AW36" s="22">
        <v>1.4124673036283497</v>
      </c>
      <c r="AX36" s="22">
        <v>1</v>
      </c>
      <c r="AY36" s="22">
        <v>1</v>
      </c>
      <c r="AZ36" s="22">
        <v>1</v>
      </c>
      <c r="BA36" s="22">
        <v>1</v>
      </c>
      <c r="BB36" s="22">
        <v>1</v>
      </c>
      <c r="BC36" s="22">
        <v>1</v>
      </c>
      <c r="BD36" s="22">
        <v>1</v>
      </c>
      <c r="BE36" s="22">
        <v>1.4124673036283497</v>
      </c>
      <c r="BF36" s="22">
        <v>1.4124673036283497</v>
      </c>
      <c r="BG36" s="22">
        <v>1</v>
      </c>
      <c r="BH36" s="22">
        <v>1</v>
      </c>
      <c r="BI36" s="22"/>
      <c r="BJ36" s="22"/>
      <c r="BK36"/>
    </row>
    <row r="37" spans="1:63" x14ac:dyDescent="0.25">
      <c r="A37" s="1">
        <v>19</v>
      </c>
      <c r="B37" s="19" t="s">
        <v>70</v>
      </c>
      <c r="C37">
        <v>4</v>
      </c>
      <c r="D37" t="s">
        <v>109</v>
      </c>
      <c r="E37" t="str">
        <f t="shared" si="3"/>
        <v>Als onderdeel van het programma 'Netwerk op zijn Best' omvat dit groot onderhoudsproject op de B12-A een grootschalige vernieuwing van het asfalt.</v>
      </c>
      <c r="F37" s="13" t="s">
        <v>138</v>
      </c>
      <c r="G37" s="2" t="s">
        <v>113</v>
      </c>
      <c r="H37" s="2">
        <v>2640</v>
      </c>
      <c r="I37" s="17">
        <v>5253000</v>
      </c>
      <c r="J37" s="2">
        <v>5.6</v>
      </c>
      <c r="K37" s="11">
        <f t="shared" si="0"/>
        <v>0.33333333333333331</v>
      </c>
      <c r="L37" s="2">
        <v>2</v>
      </c>
      <c r="M37" s="14">
        <f t="shared" si="1"/>
        <v>3155000</v>
      </c>
      <c r="N37" s="14">
        <f t="shared" si="2"/>
        <v>2524000</v>
      </c>
      <c r="O37" s="3">
        <v>8408000</v>
      </c>
      <c r="P37" s="10">
        <v>1</v>
      </c>
      <c r="Q37" s="22">
        <v>1</v>
      </c>
      <c r="R37" s="22">
        <v>1</v>
      </c>
      <c r="S37" s="22">
        <v>1</v>
      </c>
      <c r="T37" s="22">
        <v>1</v>
      </c>
      <c r="U37" s="22">
        <v>1</v>
      </c>
      <c r="V37" s="22">
        <v>1</v>
      </c>
      <c r="W37" s="22">
        <v>1.4949607643540195</v>
      </c>
      <c r="X37" s="22">
        <v>1.4949607643540195</v>
      </c>
      <c r="Y37" s="22">
        <v>1.9899215287080392</v>
      </c>
      <c r="Z37" s="22">
        <v>1</v>
      </c>
      <c r="AA37" s="22">
        <v>1</v>
      </c>
      <c r="AB37" s="22">
        <v>1</v>
      </c>
      <c r="AC37" s="22">
        <v>1</v>
      </c>
      <c r="AD37" s="22">
        <v>1</v>
      </c>
      <c r="AE37" s="22">
        <v>1</v>
      </c>
      <c r="AF37" s="22">
        <v>1.9899215287080392</v>
      </c>
      <c r="AG37" s="22">
        <v>1.9899215287080392</v>
      </c>
      <c r="AH37" s="22">
        <v>1.4949607643540195</v>
      </c>
      <c r="AI37" s="22">
        <v>1.9899215287080392</v>
      </c>
      <c r="AJ37" s="22">
        <v>1.9899215287080392</v>
      </c>
      <c r="AK37" s="22">
        <v>1.4949607643540195</v>
      </c>
      <c r="AL37" s="22">
        <v>1.4949607643540195</v>
      </c>
      <c r="AM37" s="22">
        <v>1.4949607643540195</v>
      </c>
      <c r="AN37" s="22">
        <v>1</v>
      </c>
      <c r="AO37" s="22">
        <v>1</v>
      </c>
      <c r="AP37" s="22">
        <v>1</v>
      </c>
      <c r="AQ37" s="22">
        <v>1</v>
      </c>
      <c r="AR37" s="22">
        <v>1</v>
      </c>
      <c r="AS37" s="22">
        <v>1.4949607643540195</v>
      </c>
      <c r="AT37" s="22">
        <v>1.4949607643540195</v>
      </c>
      <c r="AU37" s="22">
        <v>1</v>
      </c>
      <c r="AV37" s="22">
        <v>1.4949607643540195</v>
      </c>
      <c r="AW37" s="22">
        <v>1.4949607643540195</v>
      </c>
      <c r="AX37" s="22">
        <v>1</v>
      </c>
      <c r="AY37" s="22">
        <v>1</v>
      </c>
      <c r="AZ37" s="22">
        <v>1</v>
      </c>
      <c r="BA37" s="22">
        <v>1</v>
      </c>
      <c r="BB37" s="22">
        <v>1</v>
      </c>
      <c r="BC37" s="22">
        <v>1</v>
      </c>
      <c r="BD37" s="22">
        <v>1</v>
      </c>
      <c r="BE37" s="22">
        <v>1.4949607643540195</v>
      </c>
      <c r="BF37" s="22">
        <v>1.4949607643540195</v>
      </c>
      <c r="BG37" s="22">
        <v>1</v>
      </c>
      <c r="BH37" s="22">
        <v>1</v>
      </c>
      <c r="BI37" s="22"/>
      <c r="BJ37" s="22"/>
      <c r="BK37"/>
    </row>
    <row r="38" spans="1:63" x14ac:dyDescent="0.25">
      <c r="A38" s="1">
        <v>20</v>
      </c>
      <c r="B38" t="s">
        <v>71</v>
      </c>
      <c r="C38">
        <v>1</v>
      </c>
      <c r="D38" t="s">
        <v>106</v>
      </c>
      <c r="E38" t="str">
        <f>CONCATENATE("Als onderdeel van het programma 'Netwerk op zijn Best' omvat dit groot onderhoudsproject op de ",B38," een rijbaanverbreding van 3 naar 4 rijstroken op het knooppunt tussen de ",B38," en de M1.")</f>
        <v>Als onderdeel van het programma 'Netwerk op zijn Best' omvat dit groot onderhoudsproject op de B12-B een rijbaanverbreding van 3 naar 4 rijstroken op het knooppunt tussen de B12-B en de M1.</v>
      </c>
      <c r="F38" s="13" t="s">
        <v>135</v>
      </c>
      <c r="G38" s="2" t="s">
        <v>112</v>
      </c>
      <c r="H38" s="2">
        <v>3040</v>
      </c>
      <c r="I38" s="17">
        <v>4618500</v>
      </c>
      <c r="J38" s="2">
        <v>14.3</v>
      </c>
      <c r="K38" s="11">
        <f t="shared" si="0"/>
        <v>0.33333333333333331</v>
      </c>
      <c r="L38" s="2">
        <v>2</v>
      </c>
      <c r="M38" s="14">
        <f t="shared" si="1"/>
        <v>2103500</v>
      </c>
      <c r="N38" s="14">
        <f t="shared" si="2"/>
        <v>1682800</v>
      </c>
      <c r="O38" s="3">
        <v>6722000</v>
      </c>
      <c r="P38" s="10">
        <v>1.3141519078074428</v>
      </c>
      <c r="Q38" s="22">
        <v>1.3141519078074428</v>
      </c>
      <c r="R38" s="22">
        <v>1</v>
      </c>
      <c r="S38" s="22">
        <v>1</v>
      </c>
      <c r="T38" s="22">
        <v>1</v>
      </c>
      <c r="U38" s="22">
        <v>1.3141519078074428</v>
      </c>
      <c r="V38" s="22">
        <v>1</v>
      </c>
      <c r="W38" s="22">
        <v>1.3141519078074428</v>
      </c>
      <c r="X38" s="22">
        <v>1</v>
      </c>
      <c r="Y38" s="22">
        <v>1.3141519078074428</v>
      </c>
      <c r="Z38" s="22">
        <v>1</v>
      </c>
      <c r="AA38" s="22">
        <v>1</v>
      </c>
      <c r="AB38" s="22">
        <v>1</v>
      </c>
      <c r="AC38" s="22">
        <v>1</v>
      </c>
      <c r="AD38" s="22">
        <v>1</v>
      </c>
      <c r="AE38" s="21">
        <v>1.3141519078074428</v>
      </c>
      <c r="AF38" s="22">
        <v>1.6283038156148857</v>
      </c>
      <c r="AG38" s="22">
        <v>1.6283038156148857</v>
      </c>
      <c r="AH38" s="22">
        <v>1.3141519078074428</v>
      </c>
      <c r="AI38" s="22">
        <v>1.6283038156148857</v>
      </c>
      <c r="AJ38" s="22">
        <v>1</v>
      </c>
      <c r="AK38" s="21">
        <v>1.6283038156148857</v>
      </c>
      <c r="AL38" s="22">
        <v>1.3141519078074428</v>
      </c>
      <c r="AM38" s="22">
        <v>1.3141519078074428</v>
      </c>
      <c r="AN38" s="22">
        <v>1</v>
      </c>
      <c r="AO38" s="22">
        <v>1</v>
      </c>
      <c r="AP38" s="21">
        <v>1.3141519078074428</v>
      </c>
      <c r="AQ38" s="21">
        <v>1.3141519078074428</v>
      </c>
      <c r="AR38" s="22">
        <v>1</v>
      </c>
      <c r="AS38" s="21">
        <v>1.6283038156148857</v>
      </c>
      <c r="AT38" s="21">
        <v>1.6283038156148857</v>
      </c>
      <c r="AU38" s="22">
        <v>1</v>
      </c>
      <c r="AV38" s="22">
        <v>1</v>
      </c>
      <c r="AW38" s="22">
        <v>1</v>
      </c>
      <c r="AX38" s="22">
        <v>1</v>
      </c>
      <c r="AY38" s="22">
        <v>1</v>
      </c>
      <c r="AZ38" s="22">
        <v>1</v>
      </c>
      <c r="BA38" s="22">
        <v>1</v>
      </c>
      <c r="BB38" s="22">
        <v>1</v>
      </c>
      <c r="BC38" s="22">
        <v>1</v>
      </c>
      <c r="BD38" s="22">
        <v>1</v>
      </c>
      <c r="BE38" s="22">
        <v>1.6283038156148857</v>
      </c>
      <c r="BF38" s="22">
        <v>1.3141519078074428</v>
      </c>
      <c r="BG38" s="22">
        <v>1</v>
      </c>
      <c r="BH38" s="22">
        <v>1</v>
      </c>
      <c r="BI38" s="21"/>
      <c r="BJ38" s="10"/>
      <c r="BK38"/>
    </row>
    <row r="39" spans="1:63" x14ac:dyDescent="0.25">
      <c r="A39" s="1">
        <v>20</v>
      </c>
      <c r="B39" t="s">
        <v>71</v>
      </c>
      <c r="C39">
        <v>2</v>
      </c>
      <c r="D39" t="s">
        <v>107</v>
      </c>
      <c r="E39" t="str">
        <f>CONCATENATE("Als onderdeel van het programma 'Netwerk op zijn Best' omvat dit groot onderhoudsproject op de ",B39," een rijbaanverbreding van 3 naar 4 rijstroken op het knooppunt tussen de ",B39," en de M1.")</f>
        <v>Als onderdeel van het programma 'Netwerk op zijn Best' omvat dit groot onderhoudsproject op de B12-B een rijbaanverbreding van 3 naar 4 rijstroken op het knooppunt tussen de B12-B en de M1.</v>
      </c>
      <c r="F39" s="13" t="s">
        <v>136</v>
      </c>
      <c r="G39" s="2" t="s">
        <v>112</v>
      </c>
      <c r="H39" s="2">
        <v>4560</v>
      </c>
      <c r="I39" s="17">
        <v>2938500</v>
      </c>
      <c r="J39" s="2">
        <v>13</v>
      </c>
      <c r="K39" s="11">
        <f t="shared" si="0"/>
        <v>0.33333333333333331</v>
      </c>
      <c r="L39" s="2">
        <v>4</v>
      </c>
      <c r="M39" s="14">
        <f t="shared" si="1"/>
        <v>3783500</v>
      </c>
      <c r="N39" s="14">
        <f t="shared" si="2"/>
        <v>3026800</v>
      </c>
      <c r="O39" s="3">
        <v>6722000</v>
      </c>
      <c r="P39" s="10">
        <v>1.4712278617111645</v>
      </c>
      <c r="Q39" s="22">
        <v>1.4712278617111645</v>
      </c>
      <c r="R39" s="22">
        <v>1</v>
      </c>
      <c r="S39" s="22">
        <v>1</v>
      </c>
      <c r="T39" s="22">
        <v>1</v>
      </c>
      <c r="U39" s="22">
        <v>1.4712278617111645</v>
      </c>
      <c r="V39" s="22">
        <v>1</v>
      </c>
      <c r="W39" s="22">
        <v>1.4712278617111645</v>
      </c>
      <c r="X39" s="22">
        <v>1</v>
      </c>
      <c r="Y39" s="22">
        <v>1.4712278617111645</v>
      </c>
      <c r="Z39" s="22">
        <v>1</v>
      </c>
      <c r="AA39" s="22">
        <v>1</v>
      </c>
      <c r="AB39" s="22">
        <v>1</v>
      </c>
      <c r="AC39" s="22">
        <v>1</v>
      </c>
      <c r="AD39" s="22">
        <v>1</v>
      </c>
      <c r="AE39" s="21">
        <v>1.4712278617111645</v>
      </c>
      <c r="AF39" s="22">
        <v>1.9424557234223288</v>
      </c>
      <c r="AG39" s="22">
        <v>1.9424557234223288</v>
      </c>
      <c r="AH39" s="22">
        <v>1.4712278617111645</v>
      </c>
      <c r="AI39" s="22">
        <v>1.9424557234223288</v>
      </c>
      <c r="AJ39" s="22">
        <v>1.9424557234223288</v>
      </c>
      <c r="AK39" s="21">
        <v>1.9424557234223288</v>
      </c>
      <c r="AL39" s="22">
        <v>1.4712278617111645</v>
      </c>
      <c r="AM39" s="22">
        <v>1.4712278617111645</v>
      </c>
      <c r="AN39" s="22">
        <v>1</v>
      </c>
      <c r="AO39" s="22">
        <v>1</v>
      </c>
      <c r="AP39" s="21">
        <v>1.4712278617111645</v>
      </c>
      <c r="AQ39" s="21">
        <v>1.4712278617111645</v>
      </c>
      <c r="AR39" s="22">
        <v>1</v>
      </c>
      <c r="AS39" s="21">
        <v>1.9424557234223288</v>
      </c>
      <c r="AT39" s="21">
        <v>1.9424557234223288</v>
      </c>
      <c r="AU39" s="22">
        <v>1</v>
      </c>
      <c r="AV39" s="22">
        <v>1</v>
      </c>
      <c r="AW39" s="22">
        <v>1</v>
      </c>
      <c r="AX39" s="22">
        <v>1</v>
      </c>
      <c r="AY39" s="22">
        <v>1</v>
      </c>
      <c r="AZ39" s="22">
        <v>1</v>
      </c>
      <c r="BA39" s="22">
        <v>1</v>
      </c>
      <c r="BB39" s="22">
        <v>1</v>
      </c>
      <c r="BC39" s="22">
        <v>1</v>
      </c>
      <c r="BD39" s="22">
        <v>1</v>
      </c>
      <c r="BE39" s="22">
        <v>1.9424557234223288</v>
      </c>
      <c r="BF39" s="22">
        <v>1.4712278617111645</v>
      </c>
      <c r="BG39" s="22">
        <v>1</v>
      </c>
      <c r="BH39" s="22">
        <v>1</v>
      </c>
      <c r="BI39" s="21"/>
      <c r="BJ39" s="10"/>
      <c r="BK39"/>
    </row>
    <row r="40" spans="1:63" x14ac:dyDescent="0.25">
      <c r="A40" s="1">
        <v>20</v>
      </c>
      <c r="B40" t="s">
        <v>71</v>
      </c>
      <c r="C40">
        <v>3</v>
      </c>
      <c r="D40" t="s">
        <v>108</v>
      </c>
      <c r="E40" t="str">
        <f>CONCATENATE("Als onderdeel van het programma 'Netwerk op zijn Best' omvat dit groot onderhoudsproject op de ",B40," een rijbaanverbreding van 3 naar 4 rijstroken op het knooppunt tussen de ",B40," en de M1.")</f>
        <v>Als onderdeel van het programma 'Netwerk op zijn Best' omvat dit groot onderhoudsproject op de B12-B een rijbaanverbreding van 3 naar 4 rijstroken op het knooppunt tussen de B12-B en de M1.</v>
      </c>
      <c r="F40" s="13" t="s">
        <v>137</v>
      </c>
      <c r="G40" s="2" t="s">
        <v>112</v>
      </c>
      <c r="H40" s="2">
        <v>3800</v>
      </c>
      <c r="I40" s="17">
        <v>4618350.0000000009</v>
      </c>
      <c r="J40" s="2">
        <v>13</v>
      </c>
      <c r="K40" s="11">
        <f t="shared" si="0"/>
        <v>0.33333333333333331</v>
      </c>
      <c r="L40" s="2">
        <v>0</v>
      </c>
      <c r="M40" s="14">
        <f t="shared" si="1"/>
        <v>2103649.9999999991</v>
      </c>
      <c r="N40" s="14">
        <f t="shared" si="2"/>
        <v>1682919.9999999993</v>
      </c>
      <c r="O40" s="14">
        <v>6722000</v>
      </c>
      <c r="P40" s="10">
        <v>1.3926898847593037</v>
      </c>
      <c r="Q40" s="22">
        <v>1.3926898847593037</v>
      </c>
      <c r="R40" s="22">
        <v>1</v>
      </c>
      <c r="S40" s="22">
        <v>1</v>
      </c>
      <c r="T40" s="22">
        <v>1</v>
      </c>
      <c r="U40" s="22">
        <v>1.3926898847593037</v>
      </c>
      <c r="V40" s="22">
        <v>1</v>
      </c>
      <c r="W40" s="22">
        <v>1.3926898847593037</v>
      </c>
      <c r="X40" s="22">
        <v>1</v>
      </c>
      <c r="Y40" s="22">
        <v>1.3926898847593037</v>
      </c>
      <c r="Z40" s="22">
        <v>1</v>
      </c>
      <c r="AA40" s="22">
        <v>1</v>
      </c>
      <c r="AB40" s="22">
        <v>1</v>
      </c>
      <c r="AC40" s="22">
        <v>1</v>
      </c>
      <c r="AD40" s="22">
        <v>1</v>
      </c>
      <c r="AE40" s="21">
        <v>1.3926898847593037</v>
      </c>
      <c r="AF40" s="22">
        <v>1.7853797695186073</v>
      </c>
      <c r="AG40" s="22">
        <v>1.7853797695186073</v>
      </c>
      <c r="AH40" s="22">
        <v>1.3926898847593037</v>
      </c>
      <c r="AI40" s="22">
        <v>1.7853797695186073</v>
      </c>
      <c r="AJ40" s="22">
        <v>1.3926898847593037</v>
      </c>
      <c r="AK40" s="21">
        <v>1.7853797695186073</v>
      </c>
      <c r="AL40" s="22">
        <v>1.3926898847593037</v>
      </c>
      <c r="AM40" s="22">
        <v>1.3926898847593037</v>
      </c>
      <c r="AN40" s="22">
        <v>1</v>
      </c>
      <c r="AO40" s="22">
        <v>1</v>
      </c>
      <c r="AP40" s="21">
        <v>1.3926898847593037</v>
      </c>
      <c r="AQ40" s="21">
        <v>1.3926898847593037</v>
      </c>
      <c r="AR40" s="22">
        <v>1</v>
      </c>
      <c r="AS40" s="21">
        <v>1.7853797695186073</v>
      </c>
      <c r="AT40" s="21">
        <v>1.7853797695186073</v>
      </c>
      <c r="AU40" s="22">
        <v>1</v>
      </c>
      <c r="AV40" s="22">
        <v>1</v>
      </c>
      <c r="AW40" s="22">
        <v>1</v>
      </c>
      <c r="AX40" s="22">
        <v>1</v>
      </c>
      <c r="AY40" s="22">
        <v>1</v>
      </c>
      <c r="AZ40" s="22">
        <v>1</v>
      </c>
      <c r="BA40" s="22">
        <v>1</v>
      </c>
      <c r="BB40" s="22">
        <v>1</v>
      </c>
      <c r="BC40" s="22">
        <v>1</v>
      </c>
      <c r="BD40" s="22">
        <v>1</v>
      </c>
      <c r="BE40" s="22">
        <v>1.7853797695186073</v>
      </c>
      <c r="BF40" s="22">
        <v>1.3926898847593037</v>
      </c>
      <c r="BG40" s="22">
        <v>1</v>
      </c>
      <c r="BH40" s="22">
        <v>1</v>
      </c>
      <c r="BI40" s="21"/>
      <c r="BJ40" s="10"/>
      <c r="BK40"/>
    </row>
    <row r="41" spans="1:63" x14ac:dyDescent="0.25">
      <c r="A41" s="1">
        <v>20</v>
      </c>
      <c r="B41" t="s">
        <v>71</v>
      </c>
      <c r="C41">
        <v>4</v>
      </c>
      <c r="D41" t="s">
        <v>109</v>
      </c>
      <c r="E41" t="str">
        <f>CONCATENATE("Als onderdeel van het programma 'Netwerk op zijn Best' omvat dit groot onderhoudsproject op de ",B41," een rijbaanverbreding van 3 naar 4 rijstroken op het knooppunt tussen de ",B41," en de M1.")</f>
        <v>Als onderdeel van het programma 'Netwerk op zijn Best' omvat dit groot onderhoudsproject op de B12-B een rijbaanverbreding van 3 naar 4 rijstroken op het knooppunt tussen de B12-B en de M1.</v>
      </c>
      <c r="F41" s="13" t="s">
        <v>138</v>
      </c>
      <c r="G41" s="2" t="s">
        <v>112</v>
      </c>
      <c r="H41" s="2">
        <v>4560</v>
      </c>
      <c r="I41" s="17">
        <v>4198500</v>
      </c>
      <c r="J41" s="2">
        <v>9.1</v>
      </c>
      <c r="K41" s="11">
        <f t="shared" si="0"/>
        <v>0.33333333333333331</v>
      </c>
      <c r="L41" s="2">
        <v>2</v>
      </c>
      <c r="M41" s="14">
        <f t="shared" si="1"/>
        <v>2523500</v>
      </c>
      <c r="N41" s="14">
        <f t="shared" si="2"/>
        <v>2018800</v>
      </c>
      <c r="O41" s="3">
        <v>6722000</v>
      </c>
      <c r="P41" s="10">
        <v>1.4712278617111645</v>
      </c>
      <c r="Q41" s="22">
        <v>1.4712278617111645</v>
      </c>
      <c r="R41" s="22">
        <v>1</v>
      </c>
      <c r="S41" s="22">
        <v>1</v>
      </c>
      <c r="T41" s="22">
        <v>1</v>
      </c>
      <c r="U41" s="22">
        <v>1.4712278617111645</v>
      </c>
      <c r="V41" s="22">
        <v>1</v>
      </c>
      <c r="W41" s="22">
        <v>1.4712278617111645</v>
      </c>
      <c r="X41" s="22">
        <v>1</v>
      </c>
      <c r="Y41" s="22">
        <v>1.4712278617111645</v>
      </c>
      <c r="Z41" s="22">
        <v>1</v>
      </c>
      <c r="AA41" s="22">
        <v>1</v>
      </c>
      <c r="AB41" s="22">
        <v>1</v>
      </c>
      <c r="AC41" s="22">
        <v>1</v>
      </c>
      <c r="AD41" s="22">
        <v>1</v>
      </c>
      <c r="AE41" s="21">
        <v>1.4712278617111645</v>
      </c>
      <c r="AF41" s="22">
        <v>1.9424557234223288</v>
      </c>
      <c r="AG41" s="22">
        <v>1.9424557234223288</v>
      </c>
      <c r="AH41" s="22">
        <v>1.4712278617111645</v>
      </c>
      <c r="AI41" s="22">
        <v>1.9424557234223288</v>
      </c>
      <c r="AJ41" s="22">
        <v>1.9424557234223288</v>
      </c>
      <c r="AK41" s="21">
        <v>1.9424557234223288</v>
      </c>
      <c r="AL41" s="22">
        <v>1.4712278617111645</v>
      </c>
      <c r="AM41" s="22">
        <v>1.4712278617111645</v>
      </c>
      <c r="AN41" s="22">
        <v>1</v>
      </c>
      <c r="AO41" s="22">
        <v>1</v>
      </c>
      <c r="AP41" s="21">
        <v>1.4712278617111645</v>
      </c>
      <c r="AQ41" s="21">
        <v>1.4712278617111645</v>
      </c>
      <c r="AR41" s="22">
        <v>1</v>
      </c>
      <c r="AS41" s="21">
        <v>1.9424557234223288</v>
      </c>
      <c r="AT41" s="21">
        <v>1.9424557234223288</v>
      </c>
      <c r="AU41" s="22">
        <v>1</v>
      </c>
      <c r="AV41" s="22">
        <v>1</v>
      </c>
      <c r="AW41" s="22">
        <v>1</v>
      </c>
      <c r="AX41" s="22">
        <v>1</v>
      </c>
      <c r="AY41" s="22">
        <v>1</v>
      </c>
      <c r="AZ41" s="22">
        <v>1</v>
      </c>
      <c r="BA41" s="22">
        <v>1</v>
      </c>
      <c r="BB41" s="22">
        <v>1</v>
      </c>
      <c r="BC41" s="22">
        <v>1</v>
      </c>
      <c r="BD41" s="22">
        <v>1</v>
      </c>
      <c r="BE41" s="22">
        <v>1.9424557234223288</v>
      </c>
      <c r="BF41" s="22">
        <v>1.4712278617111645</v>
      </c>
      <c r="BG41" s="22">
        <v>1</v>
      </c>
      <c r="BH41" s="22">
        <v>1</v>
      </c>
      <c r="BI41" s="21"/>
      <c r="BJ41" s="10"/>
      <c r="BK41"/>
    </row>
    <row r="42" spans="1:63" x14ac:dyDescent="0.25">
      <c r="A42" s="1">
        <v>21</v>
      </c>
      <c r="B42" s="20" t="s">
        <v>72</v>
      </c>
      <c r="C42">
        <v>1</v>
      </c>
      <c r="D42" t="s">
        <v>106</v>
      </c>
      <c r="E42" t="str">
        <f t="shared" ref="E42:E49" si="4">CONCATENATE("Als onderdeel van het programma 'Netwerk op zijn Best' omvat dit groot onderhoudsproject op de ",B42," een grootschalige vernieuwing van het asfalt.")</f>
        <v>Als onderdeel van het programma 'Netwerk op zijn Best' omvat dit groot onderhoudsproject op de B12-C een grootschalige vernieuwing van het asfalt.</v>
      </c>
      <c r="F42" s="13" t="s">
        <v>135</v>
      </c>
      <c r="G42" s="2" t="s">
        <v>113</v>
      </c>
      <c r="H42" s="2">
        <v>1120</v>
      </c>
      <c r="I42" s="17">
        <v>1848000</v>
      </c>
      <c r="J42" s="2">
        <v>5.5</v>
      </c>
      <c r="K42" s="11">
        <f t="shared" si="0"/>
        <v>0.33333333333333331</v>
      </c>
      <c r="L42" s="2">
        <v>1</v>
      </c>
      <c r="M42" s="14">
        <f t="shared" si="1"/>
        <v>840000</v>
      </c>
      <c r="N42" s="14">
        <f t="shared" si="2"/>
        <v>672000</v>
      </c>
      <c r="O42" s="3">
        <v>2688000</v>
      </c>
      <c r="P42" s="10">
        <v>1</v>
      </c>
      <c r="Q42" s="22">
        <v>1</v>
      </c>
      <c r="R42" s="22">
        <v>1</v>
      </c>
      <c r="S42" s="22">
        <v>1</v>
      </c>
      <c r="T42" s="22">
        <v>1</v>
      </c>
      <c r="U42" s="22">
        <v>1</v>
      </c>
      <c r="V42" s="22">
        <v>1</v>
      </c>
      <c r="W42" s="22">
        <v>1.2099833545744325</v>
      </c>
      <c r="X42" s="22">
        <v>1</v>
      </c>
      <c r="Y42" s="22">
        <v>1</v>
      </c>
      <c r="Z42" s="22">
        <v>1</v>
      </c>
      <c r="AA42" s="22">
        <v>1</v>
      </c>
      <c r="AB42" s="22">
        <v>1</v>
      </c>
      <c r="AC42" s="22">
        <v>1</v>
      </c>
      <c r="AD42" s="22">
        <v>1.2099833545744325</v>
      </c>
      <c r="AE42" s="22">
        <v>1.419966709148865</v>
      </c>
      <c r="AF42" s="22">
        <v>1.419966709148865</v>
      </c>
      <c r="AG42" s="22">
        <v>1.2099833545744325</v>
      </c>
      <c r="AH42" s="22">
        <v>1</v>
      </c>
      <c r="AI42" s="22">
        <v>1.2099833545744325</v>
      </c>
      <c r="AJ42" s="22">
        <v>1.2099833545744325</v>
      </c>
      <c r="AK42" s="22">
        <v>1</v>
      </c>
      <c r="AL42" s="22">
        <v>1</v>
      </c>
      <c r="AM42" s="22">
        <v>1</v>
      </c>
      <c r="AN42" s="22">
        <v>1</v>
      </c>
      <c r="AO42" s="22">
        <v>1</v>
      </c>
      <c r="AP42" s="22">
        <v>1.2099833545744325</v>
      </c>
      <c r="AQ42" s="22">
        <v>1.2099833545744325</v>
      </c>
      <c r="AR42" s="22">
        <v>1.2099833545744325</v>
      </c>
      <c r="AS42" s="22">
        <v>1.419966709148865</v>
      </c>
      <c r="AT42" s="22">
        <v>1.419966709148865</v>
      </c>
      <c r="AU42" s="22">
        <v>1</v>
      </c>
      <c r="AV42" s="22">
        <v>1</v>
      </c>
      <c r="AW42" s="22">
        <v>1</v>
      </c>
      <c r="AX42" s="22">
        <v>1</v>
      </c>
      <c r="AY42" s="22">
        <v>1</v>
      </c>
      <c r="AZ42" s="22">
        <v>1</v>
      </c>
      <c r="BA42" s="22">
        <v>1</v>
      </c>
      <c r="BB42" s="22">
        <v>1.2099833545744325</v>
      </c>
      <c r="BC42" s="22">
        <v>1.2099833545744325</v>
      </c>
      <c r="BD42" s="22">
        <v>1</v>
      </c>
      <c r="BE42" s="21">
        <v>1.2099833545744325</v>
      </c>
      <c r="BF42" s="22">
        <v>1</v>
      </c>
      <c r="BG42" s="22">
        <v>1</v>
      </c>
      <c r="BH42" s="22">
        <v>1</v>
      </c>
      <c r="BI42" s="22"/>
      <c r="BJ42" s="10"/>
      <c r="BK42"/>
    </row>
    <row r="43" spans="1:63" x14ac:dyDescent="0.25">
      <c r="A43" s="1">
        <v>21</v>
      </c>
      <c r="B43" s="20" t="s">
        <v>72</v>
      </c>
      <c r="C43">
        <v>2</v>
      </c>
      <c r="D43" t="s">
        <v>107</v>
      </c>
      <c r="E43" t="str">
        <f t="shared" si="4"/>
        <v>Als onderdeel van het programma 'Netwerk op zijn Best' omvat dit groot onderhoudsproject op de B12-C een grootschalige vernieuwing van het asfalt.</v>
      </c>
      <c r="F43" s="13" t="s">
        <v>136</v>
      </c>
      <c r="G43" s="2" t="s">
        <v>113</v>
      </c>
      <c r="H43" s="2">
        <v>1680</v>
      </c>
      <c r="I43" s="17">
        <v>1176000</v>
      </c>
      <c r="J43" s="2">
        <v>5</v>
      </c>
      <c r="K43" s="11">
        <f t="shared" si="0"/>
        <v>0.33333333333333331</v>
      </c>
      <c r="L43" s="2">
        <v>2</v>
      </c>
      <c r="M43" s="14">
        <f t="shared" si="1"/>
        <v>1512000</v>
      </c>
      <c r="N43" s="14">
        <f t="shared" si="2"/>
        <v>1209600</v>
      </c>
      <c r="O43" s="3">
        <v>2688000</v>
      </c>
      <c r="P43" s="10">
        <v>1</v>
      </c>
      <c r="Q43" s="22">
        <v>1</v>
      </c>
      <c r="R43" s="22">
        <v>1</v>
      </c>
      <c r="S43" s="22">
        <v>1</v>
      </c>
      <c r="T43" s="22">
        <v>1</v>
      </c>
      <c r="U43" s="22">
        <v>1</v>
      </c>
      <c r="V43" s="22">
        <v>1</v>
      </c>
      <c r="W43" s="22">
        <v>1.3149750318616489</v>
      </c>
      <c r="X43" s="22">
        <v>1</v>
      </c>
      <c r="Y43" s="22">
        <v>1</v>
      </c>
      <c r="Z43" s="22">
        <v>1</v>
      </c>
      <c r="AA43" s="22">
        <v>1</v>
      </c>
      <c r="AB43" s="22">
        <v>1</v>
      </c>
      <c r="AC43" s="22">
        <v>1</v>
      </c>
      <c r="AD43" s="22">
        <v>1.3149750318616489</v>
      </c>
      <c r="AE43" s="22">
        <v>1.6299500637232978</v>
      </c>
      <c r="AF43" s="22">
        <v>1.6299500637232978</v>
      </c>
      <c r="AG43" s="22">
        <v>1.3149750318616489</v>
      </c>
      <c r="AH43" s="22">
        <v>1</v>
      </c>
      <c r="AI43" s="22">
        <v>1.3149750318616489</v>
      </c>
      <c r="AJ43" s="22">
        <v>1.3149750318616489</v>
      </c>
      <c r="AK43" s="22">
        <v>1.6299500637232978</v>
      </c>
      <c r="AL43" s="22">
        <v>1</v>
      </c>
      <c r="AM43" s="22">
        <v>1</v>
      </c>
      <c r="AN43" s="22">
        <v>1</v>
      </c>
      <c r="AO43" s="22">
        <v>1</v>
      </c>
      <c r="AP43" s="22">
        <v>1.3149750318616489</v>
      </c>
      <c r="AQ43" s="22">
        <v>1.3149750318616489</v>
      </c>
      <c r="AR43" s="22">
        <v>1.3149750318616489</v>
      </c>
      <c r="AS43" s="22">
        <v>1.6299500637232978</v>
      </c>
      <c r="AT43" s="22">
        <v>1.6299500637232978</v>
      </c>
      <c r="AU43" s="22">
        <v>1</v>
      </c>
      <c r="AV43" s="22">
        <v>1</v>
      </c>
      <c r="AW43" s="22">
        <v>1</v>
      </c>
      <c r="AX43" s="22">
        <v>1</v>
      </c>
      <c r="AY43" s="22">
        <v>1</v>
      </c>
      <c r="AZ43" s="22">
        <v>1</v>
      </c>
      <c r="BA43" s="22">
        <v>1</v>
      </c>
      <c r="BB43" s="22">
        <v>1.3149750318616489</v>
      </c>
      <c r="BC43" s="22">
        <v>1.3149750318616489</v>
      </c>
      <c r="BD43" s="22">
        <v>1</v>
      </c>
      <c r="BE43" s="21">
        <v>1.3149750318616489</v>
      </c>
      <c r="BF43" s="22">
        <v>1</v>
      </c>
      <c r="BG43" s="22">
        <v>1</v>
      </c>
      <c r="BH43" s="22">
        <v>1</v>
      </c>
      <c r="BI43" s="22"/>
      <c r="BJ43" s="10"/>
      <c r="BK43"/>
    </row>
    <row r="44" spans="1:63" x14ac:dyDescent="0.25">
      <c r="A44" s="1">
        <v>21</v>
      </c>
      <c r="B44" s="20" t="s">
        <v>72</v>
      </c>
      <c r="C44">
        <v>3</v>
      </c>
      <c r="D44" t="s">
        <v>108</v>
      </c>
      <c r="E44" t="str">
        <f t="shared" si="4"/>
        <v>Als onderdeel van het programma 'Netwerk op zijn Best' omvat dit groot onderhoudsproject op de B12-C een grootschalige vernieuwing van het asfalt.</v>
      </c>
      <c r="F44" s="13" t="s">
        <v>137</v>
      </c>
      <c r="G44" s="2" t="s">
        <v>113</v>
      </c>
      <c r="H44" s="2">
        <v>1400</v>
      </c>
      <c r="I44" s="17">
        <v>1848000</v>
      </c>
      <c r="J44" s="2">
        <v>5</v>
      </c>
      <c r="K44" s="11">
        <f t="shared" si="0"/>
        <v>0.33333333333333331</v>
      </c>
      <c r="L44" s="2">
        <v>0</v>
      </c>
      <c r="M44" s="14">
        <f t="shared" si="1"/>
        <v>840000</v>
      </c>
      <c r="N44" s="14">
        <f t="shared" si="2"/>
        <v>672000</v>
      </c>
      <c r="O44" s="3">
        <v>2688000</v>
      </c>
      <c r="P44" s="10">
        <v>1</v>
      </c>
      <c r="Q44" s="22">
        <v>1</v>
      </c>
      <c r="R44" s="22">
        <v>1</v>
      </c>
      <c r="S44" s="22">
        <v>1</v>
      </c>
      <c r="T44" s="22">
        <v>1</v>
      </c>
      <c r="U44" s="22">
        <v>1</v>
      </c>
      <c r="V44" s="22">
        <v>1</v>
      </c>
      <c r="W44" s="22">
        <v>1.2624791932180406</v>
      </c>
      <c r="X44" s="22">
        <v>1</v>
      </c>
      <c r="Y44" s="22">
        <v>1</v>
      </c>
      <c r="Z44" s="22">
        <v>1</v>
      </c>
      <c r="AA44" s="22">
        <v>1</v>
      </c>
      <c r="AB44" s="22">
        <v>1</v>
      </c>
      <c r="AC44" s="22">
        <v>1</v>
      </c>
      <c r="AD44" s="22">
        <v>1.2624791932180406</v>
      </c>
      <c r="AE44" s="22">
        <v>1.5249583864360814</v>
      </c>
      <c r="AF44" s="22">
        <v>1.5249583864360814</v>
      </c>
      <c r="AG44" s="22">
        <v>1.2624791932180406</v>
      </c>
      <c r="AH44" s="22">
        <v>1</v>
      </c>
      <c r="AI44" s="22">
        <v>1.2624791932180406</v>
      </c>
      <c r="AJ44" s="22">
        <v>1.2624791932180406</v>
      </c>
      <c r="AK44" s="22">
        <v>1.2624791932180406</v>
      </c>
      <c r="AL44" s="22">
        <v>1</v>
      </c>
      <c r="AM44" s="22">
        <v>1</v>
      </c>
      <c r="AN44" s="22">
        <v>1</v>
      </c>
      <c r="AO44" s="22">
        <v>1</v>
      </c>
      <c r="AP44" s="22">
        <v>1.2624791932180406</v>
      </c>
      <c r="AQ44" s="22">
        <v>1.2624791932180406</v>
      </c>
      <c r="AR44" s="22">
        <v>1.2624791932180406</v>
      </c>
      <c r="AS44" s="22">
        <v>1.5249583864360814</v>
      </c>
      <c r="AT44" s="22">
        <v>1.5249583864360814</v>
      </c>
      <c r="AU44" s="22">
        <v>1</v>
      </c>
      <c r="AV44" s="22">
        <v>1</v>
      </c>
      <c r="AW44" s="22">
        <v>1</v>
      </c>
      <c r="AX44" s="22">
        <v>1</v>
      </c>
      <c r="AY44" s="22">
        <v>1</v>
      </c>
      <c r="AZ44" s="22">
        <v>1</v>
      </c>
      <c r="BA44" s="22">
        <v>1</v>
      </c>
      <c r="BB44" s="22">
        <v>1.2624791932180406</v>
      </c>
      <c r="BC44" s="22">
        <v>1.2624791932180406</v>
      </c>
      <c r="BD44" s="22">
        <v>1</v>
      </c>
      <c r="BE44" s="21">
        <v>1.2624791932180406</v>
      </c>
      <c r="BF44" s="22">
        <v>1</v>
      </c>
      <c r="BG44" s="22">
        <v>1</v>
      </c>
      <c r="BH44" s="22">
        <v>1</v>
      </c>
      <c r="BI44" s="22"/>
      <c r="BJ44" s="10"/>
      <c r="BK44"/>
    </row>
    <row r="45" spans="1:63" x14ac:dyDescent="0.25">
      <c r="A45" s="1">
        <v>21</v>
      </c>
      <c r="B45" s="20" t="s">
        <v>72</v>
      </c>
      <c r="C45">
        <v>4</v>
      </c>
      <c r="D45" t="s">
        <v>109</v>
      </c>
      <c r="E45" t="str">
        <f t="shared" si="4"/>
        <v>Als onderdeel van het programma 'Netwerk op zijn Best' omvat dit groot onderhoudsproject op de B12-C een grootschalige vernieuwing van het asfalt.</v>
      </c>
      <c r="F45" s="13" t="s">
        <v>138</v>
      </c>
      <c r="G45" s="2" t="s">
        <v>113</v>
      </c>
      <c r="H45" s="2">
        <v>1680</v>
      </c>
      <c r="I45" s="17">
        <v>1680000</v>
      </c>
      <c r="J45" s="2">
        <v>3.5</v>
      </c>
      <c r="K45" s="11">
        <f t="shared" si="0"/>
        <v>0.33333333333333331</v>
      </c>
      <c r="L45" s="2">
        <v>1</v>
      </c>
      <c r="M45" s="14">
        <f t="shared" si="1"/>
        <v>1008000</v>
      </c>
      <c r="N45" s="14">
        <f t="shared" si="2"/>
        <v>806400</v>
      </c>
      <c r="O45" s="3">
        <v>2688000</v>
      </c>
      <c r="P45" s="10">
        <v>1</v>
      </c>
      <c r="Q45" s="22">
        <v>1</v>
      </c>
      <c r="R45" s="22">
        <v>1</v>
      </c>
      <c r="S45" s="22">
        <v>1</v>
      </c>
      <c r="T45" s="22">
        <v>1</v>
      </c>
      <c r="U45" s="22">
        <v>1</v>
      </c>
      <c r="V45" s="22">
        <v>1</v>
      </c>
      <c r="W45" s="22">
        <v>1.3149750318616489</v>
      </c>
      <c r="X45" s="22">
        <v>1</v>
      </c>
      <c r="Y45" s="22">
        <v>1</v>
      </c>
      <c r="Z45" s="22">
        <v>1</v>
      </c>
      <c r="AA45" s="22">
        <v>1</v>
      </c>
      <c r="AB45" s="22">
        <v>1</v>
      </c>
      <c r="AC45" s="22">
        <v>1</v>
      </c>
      <c r="AD45" s="22">
        <v>1.3149750318616489</v>
      </c>
      <c r="AE45" s="22">
        <v>1.6299500637232978</v>
      </c>
      <c r="AF45" s="22">
        <v>1.6299500637232978</v>
      </c>
      <c r="AG45" s="22">
        <v>1.3149750318616489</v>
      </c>
      <c r="AH45" s="22">
        <v>1</v>
      </c>
      <c r="AI45" s="22">
        <v>1.3149750318616489</v>
      </c>
      <c r="AJ45" s="22">
        <v>1.3149750318616489</v>
      </c>
      <c r="AK45" s="22">
        <v>1.6299500637232978</v>
      </c>
      <c r="AL45" s="22">
        <v>1</v>
      </c>
      <c r="AM45" s="22">
        <v>1</v>
      </c>
      <c r="AN45" s="22">
        <v>1</v>
      </c>
      <c r="AO45" s="22">
        <v>1</v>
      </c>
      <c r="AP45" s="22">
        <v>1.3149750318616489</v>
      </c>
      <c r="AQ45" s="22">
        <v>1.3149750318616489</v>
      </c>
      <c r="AR45" s="22">
        <v>1.3149750318616489</v>
      </c>
      <c r="AS45" s="22">
        <v>1.6299500637232978</v>
      </c>
      <c r="AT45" s="22">
        <v>1.6299500637232978</v>
      </c>
      <c r="AU45" s="22">
        <v>1</v>
      </c>
      <c r="AV45" s="22">
        <v>1</v>
      </c>
      <c r="AW45" s="22">
        <v>1</v>
      </c>
      <c r="AX45" s="22">
        <v>1</v>
      </c>
      <c r="AY45" s="22">
        <v>1</v>
      </c>
      <c r="AZ45" s="22">
        <v>1</v>
      </c>
      <c r="BA45" s="22">
        <v>1</v>
      </c>
      <c r="BB45" s="22">
        <v>1.3149750318616489</v>
      </c>
      <c r="BC45" s="22">
        <v>1.3149750318616489</v>
      </c>
      <c r="BD45" s="22">
        <v>1</v>
      </c>
      <c r="BE45" s="21">
        <v>1.3149750318616489</v>
      </c>
      <c r="BF45" s="22">
        <v>1</v>
      </c>
      <c r="BG45" s="22">
        <v>1</v>
      </c>
      <c r="BH45" s="22">
        <v>1</v>
      </c>
      <c r="BI45" s="22"/>
      <c r="BJ45" s="10"/>
      <c r="BK45"/>
    </row>
    <row r="46" spans="1:63" x14ac:dyDescent="0.25">
      <c r="A46" s="1">
        <v>22</v>
      </c>
      <c r="B46" s="19" t="s">
        <v>73</v>
      </c>
      <c r="C46">
        <v>1</v>
      </c>
      <c r="D46" t="s">
        <v>106</v>
      </c>
      <c r="E46" t="str">
        <f t="shared" si="4"/>
        <v>Als onderdeel van het programma 'Netwerk op zijn Best' omvat dit groot onderhoudsproject op de B13-A een grootschalige vernieuwing van het asfalt.</v>
      </c>
      <c r="F46" s="13" t="s">
        <v>135</v>
      </c>
      <c r="G46" s="2" t="s">
        <v>113</v>
      </c>
      <c r="H46" s="2">
        <v>1760</v>
      </c>
      <c r="I46" s="17">
        <v>5778000</v>
      </c>
      <c r="J46" s="2">
        <v>8.8000000000000007</v>
      </c>
      <c r="K46" s="11">
        <f t="shared" si="0"/>
        <v>0.33333333333333331</v>
      </c>
      <c r="L46" s="2">
        <v>2</v>
      </c>
      <c r="M46" s="14">
        <f t="shared" si="1"/>
        <v>2630000</v>
      </c>
      <c r="N46" s="14">
        <f t="shared" si="2"/>
        <v>2104000</v>
      </c>
      <c r="O46" s="3">
        <v>8408000</v>
      </c>
      <c r="P46" s="10">
        <v>1</v>
      </c>
      <c r="Q46" s="22">
        <v>1</v>
      </c>
      <c r="R46" s="22">
        <v>1</v>
      </c>
      <c r="S46" s="22">
        <v>1</v>
      </c>
      <c r="T46" s="22">
        <v>1</v>
      </c>
      <c r="U46" s="22">
        <v>1</v>
      </c>
      <c r="V46" s="22">
        <v>1</v>
      </c>
      <c r="W46" s="22">
        <v>1</v>
      </c>
      <c r="X46" s="22">
        <v>1.3299738429026797</v>
      </c>
      <c r="Y46" s="22">
        <v>1.6599476858053595</v>
      </c>
      <c r="Z46" s="22">
        <v>1</v>
      </c>
      <c r="AA46" s="22">
        <v>1.3299738429026797</v>
      </c>
      <c r="AB46" s="22">
        <v>1</v>
      </c>
      <c r="AC46" s="22">
        <v>1</v>
      </c>
      <c r="AD46" s="22">
        <v>1</v>
      </c>
      <c r="AE46" s="22">
        <v>1</v>
      </c>
      <c r="AF46" s="22">
        <v>1.3299738429026797</v>
      </c>
      <c r="AG46" s="22">
        <v>1.6599476858053595</v>
      </c>
      <c r="AH46" s="22">
        <v>1.6599476858053595</v>
      </c>
      <c r="AI46" s="22">
        <v>1.3299738429026797</v>
      </c>
      <c r="AJ46" s="22">
        <v>1.3299738429026797</v>
      </c>
      <c r="AK46" s="22">
        <v>1</v>
      </c>
      <c r="AL46" s="22">
        <v>1</v>
      </c>
      <c r="AM46" s="22">
        <v>1.6599476858053595</v>
      </c>
      <c r="AN46" s="22">
        <v>1.3299738429026797</v>
      </c>
      <c r="AO46" s="22">
        <v>1.3299738429026797</v>
      </c>
      <c r="AP46" s="22">
        <v>1.3299738429026797</v>
      </c>
      <c r="AQ46" s="22">
        <v>1</v>
      </c>
      <c r="AR46" s="22">
        <v>1</v>
      </c>
      <c r="AS46" s="22">
        <v>1</v>
      </c>
      <c r="AT46" s="22">
        <v>1</v>
      </c>
      <c r="AU46" s="22">
        <v>1</v>
      </c>
      <c r="AV46" s="22">
        <v>1.3299738429026797</v>
      </c>
      <c r="AW46" s="22">
        <v>1.3299738429026797</v>
      </c>
      <c r="AX46" s="22">
        <v>1</v>
      </c>
      <c r="AY46" s="22">
        <v>1</v>
      </c>
      <c r="AZ46" s="22">
        <v>1</v>
      </c>
      <c r="BA46" s="22">
        <v>1</v>
      </c>
      <c r="BB46" s="22">
        <v>1</v>
      </c>
      <c r="BC46" s="22">
        <v>1</v>
      </c>
      <c r="BD46" s="22">
        <v>1</v>
      </c>
      <c r="BE46" s="22">
        <v>1</v>
      </c>
      <c r="BF46" s="22">
        <v>1.3299738429026797</v>
      </c>
      <c r="BG46" s="22">
        <v>1.3299738429026797</v>
      </c>
      <c r="BH46" s="22">
        <v>1</v>
      </c>
      <c r="BI46" s="22"/>
      <c r="BJ46" s="22"/>
      <c r="BK46"/>
    </row>
    <row r="47" spans="1:63" x14ac:dyDescent="0.25">
      <c r="A47" s="1">
        <v>22</v>
      </c>
      <c r="B47" s="19" t="s">
        <v>73</v>
      </c>
      <c r="C47">
        <v>2</v>
      </c>
      <c r="D47" t="s">
        <v>107</v>
      </c>
      <c r="E47" t="str">
        <f t="shared" si="4"/>
        <v>Als onderdeel van het programma 'Netwerk op zijn Best' omvat dit groot onderhoudsproject op de B13-A een grootschalige vernieuwing van het asfalt.</v>
      </c>
      <c r="F47" s="13" t="s">
        <v>136</v>
      </c>
      <c r="G47" s="2" t="s">
        <v>113</v>
      </c>
      <c r="H47" s="2">
        <v>2640</v>
      </c>
      <c r="I47" s="17">
        <v>3676500</v>
      </c>
      <c r="J47" s="2">
        <v>8</v>
      </c>
      <c r="K47" s="11">
        <f t="shared" si="0"/>
        <v>0.33333333333333331</v>
      </c>
      <c r="L47" s="2">
        <v>4</v>
      </c>
      <c r="M47" s="14">
        <f t="shared" si="1"/>
        <v>4731500</v>
      </c>
      <c r="N47" s="14">
        <f t="shared" si="2"/>
        <v>3785200</v>
      </c>
      <c r="O47" s="3">
        <v>8408000</v>
      </c>
      <c r="P47" s="10">
        <v>1</v>
      </c>
      <c r="Q47" s="22">
        <v>1</v>
      </c>
      <c r="R47" s="22">
        <v>1</v>
      </c>
      <c r="S47" s="22">
        <v>1</v>
      </c>
      <c r="T47" s="22">
        <v>1</v>
      </c>
      <c r="U47" s="22">
        <v>1</v>
      </c>
      <c r="V47" s="22">
        <v>1</v>
      </c>
      <c r="W47" s="22">
        <v>1</v>
      </c>
      <c r="X47" s="22">
        <v>1.4949607643540195</v>
      </c>
      <c r="Y47" s="22">
        <v>1.9899215287080392</v>
      </c>
      <c r="Z47" s="22">
        <v>1</v>
      </c>
      <c r="AA47" s="22">
        <v>1.4949607643540195</v>
      </c>
      <c r="AB47" s="22">
        <v>1</v>
      </c>
      <c r="AC47" s="22">
        <v>1</v>
      </c>
      <c r="AD47" s="22">
        <v>1</v>
      </c>
      <c r="AE47" s="22">
        <v>1</v>
      </c>
      <c r="AF47" s="22">
        <v>1.4949607643540195</v>
      </c>
      <c r="AG47" s="22">
        <v>1.9899215287080392</v>
      </c>
      <c r="AH47" s="22">
        <v>1.9899215287080392</v>
      </c>
      <c r="AI47" s="22">
        <v>1.4949607643540195</v>
      </c>
      <c r="AJ47" s="22">
        <v>1.4949607643540195</v>
      </c>
      <c r="AK47" s="22">
        <v>1</v>
      </c>
      <c r="AL47" s="22">
        <v>1.9899215287080392</v>
      </c>
      <c r="AM47" s="22">
        <v>1.9899215287080392</v>
      </c>
      <c r="AN47" s="22">
        <v>1.4949607643540195</v>
      </c>
      <c r="AO47" s="22">
        <v>1.4949607643540195</v>
      </c>
      <c r="AP47" s="22">
        <v>1.4949607643540195</v>
      </c>
      <c r="AQ47" s="22">
        <v>1</v>
      </c>
      <c r="AR47" s="22">
        <v>1</v>
      </c>
      <c r="AS47" s="22">
        <v>1</v>
      </c>
      <c r="AT47" s="22">
        <v>1</v>
      </c>
      <c r="AU47" s="22">
        <v>1</v>
      </c>
      <c r="AV47" s="22">
        <v>1.4949607643540195</v>
      </c>
      <c r="AW47" s="22">
        <v>1.4949607643540195</v>
      </c>
      <c r="AX47" s="22">
        <v>1</v>
      </c>
      <c r="AY47" s="22">
        <v>1</v>
      </c>
      <c r="AZ47" s="22">
        <v>1</v>
      </c>
      <c r="BA47" s="22">
        <v>1</v>
      </c>
      <c r="BB47" s="22">
        <v>1</v>
      </c>
      <c r="BC47" s="22">
        <v>1</v>
      </c>
      <c r="BD47" s="22">
        <v>1</v>
      </c>
      <c r="BE47" s="22">
        <v>1</v>
      </c>
      <c r="BF47" s="22">
        <v>1.4949607643540195</v>
      </c>
      <c r="BG47" s="22">
        <v>1.4949607643540195</v>
      </c>
      <c r="BH47" s="22">
        <v>1</v>
      </c>
      <c r="BI47" s="22"/>
      <c r="BJ47" s="22"/>
      <c r="BK47"/>
    </row>
    <row r="48" spans="1:63" x14ac:dyDescent="0.25">
      <c r="A48" s="1">
        <v>22</v>
      </c>
      <c r="B48" s="19" t="s">
        <v>73</v>
      </c>
      <c r="C48">
        <v>3</v>
      </c>
      <c r="D48" t="s">
        <v>108</v>
      </c>
      <c r="E48" t="str">
        <f t="shared" si="4"/>
        <v>Als onderdeel van het programma 'Netwerk op zijn Best' omvat dit groot onderhoudsproject op de B13-A een grootschalige vernieuwing van het asfalt.</v>
      </c>
      <c r="F48" s="13" t="s">
        <v>137</v>
      </c>
      <c r="G48" s="2" t="s">
        <v>113</v>
      </c>
      <c r="H48" s="2">
        <v>2200</v>
      </c>
      <c r="I48" s="17">
        <v>5778300.0000000009</v>
      </c>
      <c r="J48" s="2">
        <v>8</v>
      </c>
      <c r="K48" s="11">
        <f t="shared" si="0"/>
        <v>0.33333333333333331</v>
      </c>
      <c r="L48" s="2">
        <v>0</v>
      </c>
      <c r="M48" s="14">
        <f t="shared" si="1"/>
        <v>2629699.9999999991</v>
      </c>
      <c r="N48" s="14">
        <f t="shared" si="2"/>
        <v>2103759.9999999995</v>
      </c>
      <c r="O48" s="14">
        <v>8408000</v>
      </c>
      <c r="P48" s="10">
        <v>1</v>
      </c>
      <c r="Q48" s="22">
        <v>1</v>
      </c>
      <c r="R48" s="22">
        <v>1</v>
      </c>
      <c r="S48" s="22">
        <v>1</v>
      </c>
      <c r="T48" s="22">
        <v>1</v>
      </c>
      <c r="U48" s="22">
        <v>1</v>
      </c>
      <c r="V48" s="22">
        <v>1</v>
      </c>
      <c r="W48" s="22">
        <v>1</v>
      </c>
      <c r="X48" s="22">
        <v>1.4124673036283497</v>
      </c>
      <c r="Y48" s="22">
        <v>1.8249346072566994</v>
      </c>
      <c r="Z48" s="22">
        <v>1</v>
      </c>
      <c r="AA48" s="22">
        <v>1.4124673036283497</v>
      </c>
      <c r="AB48" s="22">
        <v>1</v>
      </c>
      <c r="AC48" s="22">
        <v>1</v>
      </c>
      <c r="AD48" s="22">
        <v>1</v>
      </c>
      <c r="AE48" s="22">
        <v>1</v>
      </c>
      <c r="AF48" s="22">
        <v>1.4124673036283497</v>
      </c>
      <c r="AG48" s="22">
        <v>1.8249346072566994</v>
      </c>
      <c r="AH48" s="22">
        <v>1.8249346072566994</v>
      </c>
      <c r="AI48" s="22">
        <v>1.4124673036283497</v>
      </c>
      <c r="AJ48" s="22">
        <v>1.4124673036283497</v>
      </c>
      <c r="AK48" s="22">
        <v>1</v>
      </c>
      <c r="AL48" s="22">
        <v>1.4124673036283497</v>
      </c>
      <c r="AM48" s="22">
        <v>1.8249346072566994</v>
      </c>
      <c r="AN48" s="22">
        <v>1.4124673036283497</v>
      </c>
      <c r="AO48" s="22">
        <v>1.4124673036283497</v>
      </c>
      <c r="AP48" s="22">
        <v>1.4124673036283497</v>
      </c>
      <c r="AQ48" s="22">
        <v>1</v>
      </c>
      <c r="AR48" s="22">
        <v>1</v>
      </c>
      <c r="AS48" s="22">
        <v>1</v>
      </c>
      <c r="AT48" s="22">
        <v>1</v>
      </c>
      <c r="AU48" s="22">
        <v>1</v>
      </c>
      <c r="AV48" s="22">
        <v>1.4124673036283497</v>
      </c>
      <c r="AW48" s="22">
        <v>1.4124673036283497</v>
      </c>
      <c r="AX48" s="22">
        <v>1</v>
      </c>
      <c r="AY48" s="22">
        <v>1</v>
      </c>
      <c r="AZ48" s="22">
        <v>1</v>
      </c>
      <c r="BA48" s="22">
        <v>1</v>
      </c>
      <c r="BB48" s="22">
        <v>1</v>
      </c>
      <c r="BC48" s="22">
        <v>1</v>
      </c>
      <c r="BD48" s="22">
        <v>1</v>
      </c>
      <c r="BE48" s="22">
        <v>1</v>
      </c>
      <c r="BF48" s="22">
        <v>1.4124673036283497</v>
      </c>
      <c r="BG48" s="22">
        <v>1.4124673036283497</v>
      </c>
      <c r="BH48" s="22">
        <v>1</v>
      </c>
      <c r="BI48" s="22"/>
      <c r="BJ48" s="22"/>
      <c r="BK48"/>
    </row>
    <row r="49" spans="1:63" x14ac:dyDescent="0.25">
      <c r="A49" s="1">
        <v>22</v>
      </c>
      <c r="B49" s="19" t="s">
        <v>73</v>
      </c>
      <c r="C49">
        <v>4</v>
      </c>
      <c r="D49" t="s">
        <v>109</v>
      </c>
      <c r="E49" t="str">
        <f t="shared" si="4"/>
        <v>Als onderdeel van het programma 'Netwerk op zijn Best' omvat dit groot onderhoudsproject op de B13-A een grootschalige vernieuwing van het asfalt.</v>
      </c>
      <c r="F49" s="13" t="s">
        <v>138</v>
      </c>
      <c r="G49" s="2" t="s">
        <v>113</v>
      </c>
      <c r="H49" s="2">
        <v>2640</v>
      </c>
      <c r="I49" s="17">
        <v>5253000</v>
      </c>
      <c r="J49" s="2">
        <v>5.6</v>
      </c>
      <c r="K49" s="11">
        <f t="shared" si="0"/>
        <v>0.33333333333333331</v>
      </c>
      <c r="L49" s="2">
        <v>2</v>
      </c>
      <c r="M49" s="14">
        <f t="shared" si="1"/>
        <v>3155000</v>
      </c>
      <c r="N49" s="14">
        <f t="shared" si="2"/>
        <v>2524000</v>
      </c>
      <c r="O49" s="3">
        <v>8408000</v>
      </c>
      <c r="P49" s="10">
        <v>1</v>
      </c>
      <c r="Q49" s="22">
        <v>1</v>
      </c>
      <c r="R49" s="22">
        <v>1</v>
      </c>
      <c r="S49" s="22">
        <v>1</v>
      </c>
      <c r="T49" s="22">
        <v>1</v>
      </c>
      <c r="U49" s="22">
        <v>1</v>
      </c>
      <c r="V49" s="22">
        <v>1</v>
      </c>
      <c r="W49" s="22">
        <v>1</v>
      </c>
      <c r="X49" s="22">
        <v>1.4949607643540195</v>
      </c>
      <c r="Y49" s="22">
        <v>1.9899215287080392</v>
      </c>
      <c r="Z49" s="22">
        <v>1</v>
      </c>
      <c r="AA49" s="22">
        <v>1.4949607643540195</v>
      </c>
      <c r="AB49" s="22">
        <v>1</v>
      </c>
      <c r="AC49" s="22">
        <v>1</v>
      </c>
      <c r="AD49" s="22">
        <v>1</v>
      </c>
      <c r="AE49" s="22">
        <v>1</v>
      </c>
      <c r="AF49" s="22">
        <v>1.4949607643540195</v>
      </c>
      <c r="AG49" s="22">
        <v>1.9899215287080392</v>
      </c>
      <c r="AH49" s="22">
        <v>1.9899215287080392</v>
      </c>
      <c r="AI49" s="22">
        <v>1.4949607643540195</v>
      </c>
      <c r="AJ49" s="22">
        <v>1.4949607643540195</v>
      </c>
      <c r="AK49" s="22">
        <v>1</v>
      </c>
      <c r="AL49" s="22">
        <v>1.9899215287080392</v>
      </c>
      <c r="AM49" s="22">
        <v>1.9899215287080392</v>
      </c>
      <c r="AN49" s="22">
        <v>1.4949607643540195</v>
      </c>
      <c r="AO49" s="22">
        <v>1.4949607643540195</v>
      </c>
      <c r="AP49" s="22">
        <v>1.4949607643540195</v>
      </c>
      <c r="AQ49" s="22">
        <v>1</v>
      </c>
      <c r="AR49" s="22">
        <v>1</v>
      </c>
      <c r="AS49" s="22">
        <v>1</v>
      </c>
      <c r="AT49" s="22">
        <v>1</v>
      </c>
      <c r="AU49" s="22">
        <v>1</v>
      </c>
      <c r="AV49" s="22">
        <v>1.4949607643540195</v>
      </c>
      <c r="AW49" s="22">
        <v>1.4949607643540195</v>
      </c>
      <c r="AX49" s="22">
        <v>1</v>
      </c>
      <c r="AY49" s="22">
        <v>1</v>
      </c>
      <c r="AZ49" s="22">
        <v>1</v>
      </c>
      <c r="BA49" s="22">
        <v>1</v>
      </c>
      <c r="BB49" s="22">
        <v>1</v>
      </c>
      <c r="BC49" s="22">
        <v>1</v>
      </c>
      <c r="BD49" s="22">
        <v>1</v>
      </c>
      <c r="BE49" s="22">
        <v>1</v>
      </c>
      <c r="BF49" s="22">
        <v>1.4949607643540195</v>
      </c>
      <c r="BG49" s="22">
        <v>1.4949607643540195</v>
      </c>
      <c r="BH49" s="22">
        <v>1</v>
      </c>
      <c r="BI49" s="22"/>
      <c r="BJ49" s="22"/>
      <c r="BK49"/>
    </row>
    <row r="50" spans="1:63" x14ac:dyDescent="0.25">
      <c r="A50" s="1">
        <v>23</v>
      </c>
      <c r="B50" t="s">
        <v>74</v>
      </c>
      <c r="C50">
        <v>1</v>
      </c>
      <c r="D50" t="s">
        <v>106</v>
      </c>
      <c r="E50" t="str">
        <f>CONCATENATE("Als onderdeel van het programma 'Netwerk op zijn Best' omvat dit groot onderhoudsproject op de ",B50," een rijbaanverbreding van 3 naar 4 rijstroken op het knooppunt tussen de ",B50," en de M3.")</f>
        <v>Als onderdeel van het programma 'Netwerk op zijn Best' omvat dit groot onderhoudsproject op de B13-B een rijbaanverbreding van 3 naar 4 rijstroken op het knooppunt tussen de B13-B en de M3.</v>
      </c>
      <c r="F50" s="13" t="s">
        <v>135</v>
      </c>
      <c r="G50" s="2" t="s">
        <v>112</v>
      </c>
      <c r="H50" s="2">
        <v>3040</v>
      </c>
      <c r="I50" s="17">
        <v>4618500</v>
      </c>
      <c r="J50" s="2">
        <v>14.3</v>
      </c>
      <c r="K50" s="11">
        <f t="shared" si="0"/>
        <v>0.33333333333333331</v>
      </c>
      <c r="L50" s="2">
        <v>2</v>
      </c>
      <c r="M50" s="14">
        <f t="shared" si="1"/>
        <v>2103500</v>
      </c>
      <c r="N50" s="14">
        <f t="shared" si="2"/>
        <v>1682800</v>
      </c>
      <c r="O50" s="3">
        <v>6722000</v>
      </c>
      <c r="P50" s="10">
        <v>1</v>
      </c>
      <c r="Q50" s="22">
        <v>1</v>
      </c>
      <c r="R50" s="22">
        <v>1.3141519078074428</v>
      </c>
      <c r="S50" s="22">
        <v>1.3141519078074428</v>
      </c>
      <c r="T50" s="22">
        <v>1</v>
      </c>
      <c r="U50" s="22">
        <v>1</v>
      </c>
      <c r="V50" s="22">
        <v>1</v>
      </c>
      <c r="W50" s="22">
        <v>1</v>
      </c>
      <c r="X50" s="22">
        <v>1</v>
      </c>
      <c r="Y50" s="22">
        <v>1.3141519078074428</v>
      </c>
      <c r="Z50" s="22">
        <v>1</v>
      </c>
      <c r="AA50" s="22">
        <v>1.3141519078074428</v>
      </c>
      <c r="AB50" s="22">
        <v>1</v>
      </c>
      <c r="AC50" s="22">
        <v>1.3141519078074428</v>
      </c>
      <c r="AD50" s="22">
        <v>1</v>
      </c>
      <c r="AE50" s="22">
        <v>1</v>
      </c>
      <c r="AF50" s="22">
        <v>1.3141519078074428</v>
      </c>
      <c r="AG50" s="22">
        <v>1.6283038156148857</v>
      </c>
      <c r="AH50" s="22">
        <v>1.6283038156148857</v>
      </c>
      <c r="AI50" s="22">
        <v>1.3141519078074428</v>
      </c>
      <c r="AJ50" s="22">
        <v>1.3141519078074428</v>
      </c>
      <c r="AK50" s="22">
        <v>1</v>
      </c>
      <c r="AL50" s="22">
        <v>1.6283038156148857</v>
      </c>
      <c r="AM50" s="22">
        <v>1</v>
      </c>
      <c r="AN50" s="22">
        <v>1.6283038156148857</v>
      </c>
      <c r="AO50" s="22">
        <v>1.6283038156148857</v>
      </c>
      <c r="AP50" s="22">
        <v>1.6283038156148857</v>
      </c>
      <c r="AQ50" s="22">
        <v>1.3141519078074428</v>
      </c>
      <c r="AR50" s="22">
        <v>1.3141519078074428</v>
      </c>
      <c r="AS50" s="22">
        <v>1.3141519078074428</v>
      </c>
      <c r="AT50" s="22">
        <v>1</v>
      </c>
      <c r="AU50" s="22">
        <v>1</v>
      </c>
      <c r="AV50" s="22">
        <v>1</v>
      </c>
      <c r="AW50" s="22">
        <v>1</v>
      </c>
      <c r="AX50" s="22">
        <v>1</v>
      </c>
      <c r="AY50" s="22">
        <v>1</v>
      </c>
      <c r="AZ50" s="22">
        <v>1</v>
      </c>
      <c r="BA50" s="22">
        <v>1</v>
      </c>
      <c r="BB50" s="22">
        <v>1</v>
      </c>
      <c r="BC50" s="22">
        <v>1</v>
      </c>
      <c r="BD50" s="22">
        <v>1</v>
      </c>
      <c r="BE50" s="22">
        <v>1</v>
      </c>
      <c r="BF50" s="22">
        <v>1.3141519078074428</v>
      </c>
      <c r="BG50" s="22">
        <v>1.6283038156148857</v>
      </c>
      <c r="BH50" s="22">
        <v>1.3141519078074428</v>
      </c>
      <c r="BI50" s="22"/>
      <c r="BJ50" s="10"/>
      <c r="BK50"/>
    </row>
    <row r="51" spans="1:63" x14ac:dyDescent="0.25">
      <c r="A51" s="1">
        <v>23</v>
      </c>
      <c r="B51" t="s">
        <v>74</v>
      </c>
      <c r="C51">
        <v>2</v>
      </c>
      <c r="D51" t="s">
        <v>107</v>
      </c>
      <c r="E51" t="str">
        <f>CONCATENATE("Als onderdeel van het programma 'Netwerk op zijn Best' omvat dit groot onderhoudsproject op de ",B51," een rijbaanverbreding van 3 naar 4 rijstroken op het knooppunt tussen de ",B51," en de M3.")</f>
        <v>Als onderdeel van het programma 'Netwerk op zijn Best' omvat dit groot onderhoudsproject op de B13-B een rijbaanverbreding van 3 naar 4 rijstroken op het knooppunt tussen de B13-B en de M3.</v>
      </c>
      <c r="F51" s="13" t="s">
        <v>136</v>
      </c>
      <c r="G51" s="2" t="s">
        <v>112</v>
      </c>
      <c r="H51" s="2">
        <v>4560</v>
      </c>
      <c r="I51" s="17">
        <v>2938500</v>
      </c>
      <c r="J51" s="2">
        <v>13</v>
      </c>
      <c r="K51" s="11">
        <f t="shared" si="0"/>
        <v>0.33333333333333331</v>
      </c>
      <c r="L51" s="2">
        <v>4</v>
      </c>
      <c r="M51" s="14">
        <f t="shared" si="1"/>
        <v>3783500</v>
      </c>
      <c r="N51" s="14">
        <f t="shared" si="2"/>
        <v>3026800</v>
      </c>
      <c r="O51" s="3">
        <v>6722000</v>
      </c>
      <c r="P51" s="10">
        <v>1</v>
      </c>
      <c r="Q51" s="22">
        <v>1</v>
      </c>
      <c r="R51" s="22">
        <v>1.4712278617111645</v>
      </c>
      <c r="S51" s="22">
        <v>1.4712278617111645</v>
      </c>
      <c r="T51" s="22">
        <v>1</v>
      </c>
      <c r="U51" s="22">
        <v>1</v>
      </c>
      <c r="V51" s="22">
        <v>1</v>
      </c>
      <c r="W51" s="22">
        <v>1</v>
      </c>
      <c r="X51" s="22">
        <v>1</v>
      </c>
      <c r="Y51" s="22">
        <v>1.4712278617111645</v>
      </c>
      <c r="Z51" s="22">
        <v>1</v>
      </c>
      <c r="AA51" s="22">
        <v>1.4712278617111645</v>
      </c>
      <c r="AB51" s="22">
        <v>1</v>
      </c>
      <c r="AC51" s="22">
        <v>1.4712278617111645</v>
      </c>
      <c r="AD51" s="22">
        <v>1</v>
      </c>
      <c r="AE51" s="22">
        <v>1</v>
      </c>
      <c r="AF51" s="22">
        <v>1.4712278617111645</v>
      </c>
      <c r="AG51" s="22">
        <v>1.9424557234223288</v>
      </c>
      <c r="AH51" s="22">
        <v>1.9424557234223288</v>
      </c>
      <c r="AI51" s="22">
        <v>1.4712278617111645</v>
      </c>
      <c r="AJ51" s="22">
        <v>1.4712278617111645</v>
      </c>
      <c r="AK51" s="22">
        <v>1</v>
      </c>
      <c r="AL51" s="22">
        <v>1.9424557234223288</v>
      </c>
      <c r="AM51" s="22">
        <v>1.9424557234223288</v>
      </c>
      <c r="AN51" s="22">
        <v>1.9424557234223288</v>
      </c>
      <c r="AO51" s="22">
        <v>1.9424557234223288</v>
      </c>
      <c r="AP51" s="22">
        <v>1.9424557234223288</v>
      </c>
      <c r="AQ51" s="22">
        <v>1.4712278617111645</v>
      </c>
      <c r="AR51" s="22">
        <v>1.4712278617111645</v>
      </c>
      <c r="AS51" s="22">
        <v>1.4712278617111645</v>
      </c>
      <c r="AT51" s="22">
        <v>1</v>
      </c>
      <c r="AU51" s="22">
        <v>1</v>
      </c>
      <c r="AV51" s="22">
        <v>1</v>
      </c>
      <c r="AW51" s="22">
        <v>1</v>
      </c>
      <c r="AX51" s="22">
        <v>1</v>
      </c>
      <c r="AY51" s="22">
        <v>1</v>
      </c>
      <c r="AZ51" s="22">
        <v>1</v>
      </c>
      <c r="BA51" s="22">
        <v>1</v>
      </c>
      <c r="BB51" s="22">
        <v>1</v>
      </c>
      <c r="BC51" s="22">
        <v>1</v>
      </c>
      <c r="BD51" s="22">
        <v>1</v>
      </c>
      <c r="BE51" s="22">
        <v>1</v>
      </c>
      <c r="BF51" s="22">
        <v>1.4712278617111645</v>
      </c>
      <c r="BG51" s="22">
        <v>1.9424557234223288</v>
      </c>
      <c r="BH51" s="22">
        <v>1.4712278617111645</v>
      </c>
      <c r="BI51" s="22"/>
      <c r="BJ51" s="10"/>
      <c r="BK51"/>
    </row>
    <row r="52" spans="1:63" x14ac:dyDescent="0.25">
      <c r="A52" s="1">
        <v>23</v>
      </c>
      <c r="B52" t="s">
        <v>74</v>
      </c>
      <c r="C52">
        <v>3</v>
      </c>
      <c r="D52" t="s">
        <v>108</v>
      </c>
      <c r="E52" t="str">
        <f>CONCATENATE("Als onderdeel van het programma 'Netwerk op zijn Best' omvat dit groot onderhoudsproject op de ",B52," een rijbaanverbreding van 3 naar 4 rijstroken op het knooppunt tussen de ",B52," en de M3.")</f>
        <v>Als onderdeel van het programma 'Netwerk op zijn Best' omvat dit groot onderhoudsproject op de B13-B een rijbaanverbreding van 3 naar 4 rijstroken op het knooppunt tussen de B13-B en de M3.</v>
      </c>
      <c r="F52" s="13" t="s">
        <v>137</v>
      </c>
      <c r="G52" s="2" t="s">
        <v>112</v>
      </c>
      <c r="H52" s="2">
        <v>3800</v>
      </c>
      <c r="I52" s="17">
        <v>4618350.0000000009</v>
      </c>
      <c r="J52" s="2">
        <v>13</v>
      </c>
      <c r="K52" s="11">
        <f t="shared" si="0"/>
        <v>0.33333333333333331</v>
      </c>
      <c r="L52" s="2">
        <v>0</v>
      </c>
      <c r="M52" s="14">
        <f t="shared" si="1"/>
        <v>2103649.9999999991</v>
      </c>
      <c r="N52" s="14">
        <f t="shared" si="2"/>
        <v>1682919.9999999993</v>
      </c>
      <c r="O52" s="14">
        <v>6722000</v>
      </c>
      <c r="P52" s="10">
        <v>1</v>
      </c>
      <c r="Q52" s="22">
        <v>1</v>
      </c>
      <c r="R52" s="22">
        <v>1.3926898847593037</v>
      </c>
      <c r="S52" s="22">
        <v>1.3926898847593037</v>
      </c>
      <c r="T52" s="22">
        <v>1</v>
      </c>
      <c r="U52" s="22">
        <v>1</v>
      </c>
      <c r="V52" s="22">
        <v>1</v>
      </c>
      <c r="W52" s="22">
        <v>1</v>
      </c>
      <c r="X52" s="22">
        <v>1</v>
      </c>
      <c r="Y52" s="22">
        <v>1.3926898847593037</v>
      </c>
      <c r="Z52" s="22">
        <v>1</v>
      </c>
      <c r="AA52" s="22">
        <v>1.3926898847593037</v>
      </c>
      <c r="AB52" s="22">
        <v>1</v>
      </c>
      <c r="AC52" s="22">
        <v>1.3926898847593037</v>
      </c>
      <c r="AD52" s="22">
        <v>1</v>
      </c>
      <c r="AE52" s="22">
        <v>1</v>
      </c>
      <c r="AF52" s="22">
        <v>1.3926898847593037</v>
      </c>
      <c r="AG52" s="22">
        <v>1.7853797695186073</v>
      </c>
      <c r="AH52" s="22">
        <v>1.7853797695186073</v>
      </c>
      <c r="AI52" s="22">
        <v>1.3926898847593037</v>
      </c>
      <c r="AJ52" s="22">
        <v>1.3926898847593037</v>
      </c>
      <c r="AK52" s="22">
        <v>1</v>
      </c>
      <c r="AL52" s="22">
        <v>1.7853797695186073</v>
      </c>
      <c r="AM52" s="22">
        <v>1.3926898847593037</v>
      </c>
      <c r="AN52" s="22">
        <v>1.7853797695186073</v>
      </c>
      <c r="AO52" s="22">
        <v>1.7853797695186073</v>
      </c>
      <c r="AP52" s="22">
        <v>1.7853797695186073</v>
      </c>
      <c r="AQ52" s="22">
        <v>1.3926898847593037</v>
      </c>
      <c r="AR52" s="22">
        <v>1.3926898847593037</v>
      </c>
      <c r="AS52" s="22">
        <v>1.3926898847593037</v>
      </c>
      <c r="AT52" s="22">
        <v>1</v>
      </c>
      <c r="AU52" s="22">
        <v>1</v>
      </c>
      <c r="AV52" s="22">
        <v>1</v>
      </c>
      <c r="AW52" s="22">
        <v>1</v>
      </c>
      <c r="AX52" s="22">
        <v>1</v>
      </c>
      <c r="AY52" s="22">
        <v>1</v>
      </c>
      <c r="AZ52" s="22">
        <v>1</v>
      </c>
      <c r="BA52" s="22">
        <v>1</v>
      </c>
      <c r="BB52" s="22">
        <v>1</v>
      </c>
      <c r="BC52" s="22">
        <v>1</v>
      </c>
      <c r="BD52" s="22">
        <v>1</v>
      </c>
      <c r="BE52" s="22">
        <v>1</v>
      </c>
      <c r="BF52" s="22">
        <v>1.3926898847593037</v>
      </c>
      <c r="BG52" s="22">
        <v>1.7853797695186073</v>
      </c>
      <c r="BH52" s="22">
        <v>1.3926898847593037</v>
      </c>
      <c r="BI52" s="22"/>
      <c r="BJ52" s="10"/>
      <c r="BK52"/>
    </row>
    <row r="53" spans="1:63" x14ac:dyDescent="0.25">
      <c r="A53" s="1">
        <v>23</v>
      </c>
      <c r="B53" t="s">
        <v>74</v>
      </c>
      <c r="C53">
        <v>4</v>
      </c>
      <c r="D53" t="s">
        <v>109</v>
      </c>
      <c r="E53" t="str">
        <f>CONCATENATE("Als onderdeel van het programma 'Netwerk op zijn Best' omvat dit groot onderhoudsproject op de ",B53," een rijbaanverbreding van 3 naar 4 rijstroken op het knooppunt tussen de ",B53," en de M3.")</f>
        <v>Als onderdeel van het programma 'Netwerk op zijn Best' omvat dit groot onderhoudsproject op de B13-B een rijbaanverbreding van 3 naar 4 rijstroken op het knooppunt tussen de B13-B en de M3.</v>
      </c>
      <c r="F53" s="13" t="s">
        <v>138</v>
      </c>
      <c r="G53" s="2" t="s">
        <v>112</v>
      </c>
      <c r="H53" s="2">
        <v>4560</v>
      </c>
      <c r="I53" s="17">
        <v>4198500</v>
      </c>
      <c r="J53" s="2">
        <v>9.1</v>
      </c>
      <c r="K53" s="11">
        <f t="shared" si="0"/>
        <v>0.33333333333333331</v>
      </c>
      <c r="L53" s="2">
        <v>2</v>
      </c>
      <c r="M53" s="14">
        <f t="shared" si="1"/>
        <v>2523500</v>
      </c>
      <c r="N53" s="14">
        <f t="shared" si="2"/>
        <v>2018800</v>
      </c>
      <c r="O53" s="3">
        <v>6722000</v>
      </c>
      <c r="P53" s="10">
        <v>1</v>
      </c>
      <c r="Q53" s="22">
        <v>1</v>
      </c>
      <c r="R53" s="22">
        <v>1.4712278617111645</v>
      </c>
      <c r="S53" s="22">
        <v>1.4712278617111645</v>
      </c>
      <c r="T53" s="22">
        <v>1</v>
      </c>
      <c r="U53" s="22">
        <v>1</v>
      </c>
      <c r="V53" s="22">
        <v>1</v>
      </c>
      <c r="W53" s="22">
        <v>1</v>
      </c>
      <c r="X53" s="22">
        <v>1</v>
      </c>
      <c r="Y53" s="22">
        <v>1.4712278617111645</v>
      </c>
      <c r="Z53" s="22">
        <v>1</v>
      </c>
      <c r="AA53" s="22">
        <v>1.4712278617111645</v>
      </c>
      <c r="AB53" s="22">
        <v>1</v>
      </c>
      <c r="AC53" s="22">
        <v>1.4712278617111645</v>
      </c>
      <c r="AD53" s="22">
        <v>1</v>
      </c>
      <c r="AE53" s="22">
        <v>1</v>
      </c>
      <c r="AF53" s="22">
        <v>1.4712278617111645</v>
      </c>
      <c r="AG53" s="22">
        <v>1.9424557234223288</v>
      </c>
      <c r="AH53" s="22">
        <v>1.9424557234223288</v>
      </c>
      <c r="AI53" s="22">
        <v>1.4712278617111645</v>
      </c>
      <c r="AJ53" s="22">
        <v>1.4712278617111645</v>
      </c>
      <c r="AK53" s="22">
        <v>1</v>
      </c>
      <c r="AL53" s="22">
        <v>1.9424557234223288</v>
      </c>
      <c r="AM53" s="22">
        <v>1.9424557234223288</v>
      </c>
      <c r="AN53" s="22">
        <v>1.9424557234223288</v>
      </c>
      <c r="AO53" s="22">
        <v>1.9424557234223288</v>
      </c>
      <c r="AP53" s="22">
        <v>1.9424557234223288</v>
      </c>
      <c r="AQ53" s="22">
        <v>1.4712278617111645</v>
      </c>
      <c r="AR53" s="22">
        <v>1.4712278617111645</v>
      </c>
      <c r="AS53" s="22">
        <v>1.4712278617111645</v>
      </c>
      <c r="AT53" s="22">
        <v>1</v>
      </c>
      <c r="AU53" s="22">
        <v>1</v>
      </c>
      <c r="AV53" s="22">
        <v>1</v>
      </c>
      <c r="AW53" s="22">
        <v>1</v>
      </c>
      <c r="AX53" s="22">
        <v>1</v>
      </c>
      <c r="AY53" s="22">
        <v>1</v>
      </c>
      <c r="AZ53" s="22">
        <v>1</v>
      </c>
      <c r="BA53" s="22">
        <v>1</v>
      </c>
      <c r="BB53" s="22">
        <v>1</v>
      </c>
      <c r="BC53" s="22">
        <v>1</v>
      </c>
      <c r="BD53" s="22">
        <v>1</v>
      </c>
      <c r="BE53" s="22">
        <v>1</v>
      </c>
      <c r="BF53" s="22">
        <v>1.4712278617111645</v>
      </c>
      <c r="BG53" s="22">
        <v>1.9424557234223288</v>
      </c>
      <c r="BH53" s="22">
        <v>1.4712278617111645</v>
      </c>
      <c r="BI53" s="22"/>
      <c r="BJ53" s="10"/>
      <c r="BK53"/>
    </row>
    <row r="54" spans="1:63" x14ac:dyDescent="0.25">
      <c r="A54" s="1">
        <v>24</v>
      </c>
      <c r="B54" s="20" t="s">
        <v>75</v>
      </c>
      <c r="C54">
        <v>1</v>
      </c>
      <c r="D54" t="s">
        <v>106</v>
      </c>
      <c r="E54" t="str">
        <f t="shared" ref="E54:E61" si="5">CONCATENATE("Als onderdeel van het programma 'Netwerk op zijn Best' omvat dit groot onderhoudsproject op de ",B54," een grootschalige vernieuwing van het asfalt.")</f>
        <v>Als onderdeel van het programma 'Netwerk op zijn Best' omvat dit groot onderhoudsproject op de B13-C een grootschalige vernieuwing van het asfalt.</v>
      </c>
      <c r="F54" s="13" t="s">
        <v>135</v>
      </c>
      <c r="G54" s="2" t="s">
        <v>113</v>
      </c>
      <c r="H54" s="2">
        <v>1120</v>
      </c>
      <c r="I54" s="17">
        <v>1848000</v>
      </c>
      <c r="J54" s="2">
        <v>5.5</v>
      </c>
      <c r="K54" s="11">
        <f t="shared" si="0"/>
        <v>0.33333333333333331</v>
      </c>
      <c r="L54" s="2">
        <v>1</v>
      </c>
      <c r="M54" s="14">
        <f t="shared" si="1"/>
        <v>840000</v>
      </c>
      <c r="N54" s="14">
        <f t="shared" si="2"/>
        <v>672000</v>
      </c>
      <c r="O54" s="3">
        <v>2688000</v>
      </c>
      <c r="P54" s="10">
        <v>1</v>
      </c>
      <c r="Q54" s="22">
        <v>1</v>
      </c>
      <c r="R54" s="22">
        <v>1</v>
      </c>
      <c r="S54" s="22">
        <v>1</v>
      </c>
      <c r="T54" s="22">
        <v>1</v>
      </c>
      <c r="U54" s="22">
        <v>1</v>
      </c>
      <c r="V54" s="22">
        <v>1</v>
      </c>
      <c r="W54" s="22">
        <v>1</v>
      </c>
      <c r="X54" s="22">
        <v>1</v>
      </c>
      <c r="Y54" s="22">
        <v>1</v>
      </c>
      <c r="Z54" s="22">
        <v>1</v>
      </c>
      <c r="AA54" s="22">
        <v>1.2099833545744325</v>
      </c>
      <c r="AB54" s="22">
        <v>1.2099833545744325</v>
      </c>
      <c r="AC54" s="22">
        <v>1.419966709148865</v>
      </c>
      <c r="AD54" s="22">
        <v>1</v>
      </c>
      <c r="AE54" s="22">
        <v>1</v>
      </c>
      <c r="AF54" s="22">
        <v>1</v>
      </c>
      <c r="AG54" s="22">
        <v>1.2099833545744325</v>
      </c>
      <c r="AH54" s="22">
        <v>1.2099833545744325</v>
      </c>
      <c r="AI54" s="22">
        <v>1</v>
      </c>
      <c r="AJ54" s="22">
        <v>1</v>
      </c>
      <c r="AK54" s="22">
        <v>1</v>
      </c>
      <c r="AL54" s="22">
        <v>1.2099833545744325</v>
      </c>
      <c r="AM54" s="22">
        <v>1.419966709148865</v>
      </c>
      <c r="AN54" s="22">
        <v>1</v>
      </c>
      <c r="AO54" s="22">
        <v>1.419966709148865</v>
      </c>
      <c r="AP54" s="22">
        <v>1.419966709148865</v>
      </c>
      <c r="AQ54" s="22">
        <v>1.2099833545744325</v>
      </c>
      <c r="AR54" s="22">
        <v>1.2099833545744325</v>
      </c>
      <c r="AS54" s="22">
        <v>1.2099833545744325</v>
      </c>
      <c r="AT54" s="22">
        <v>1</v>
      </c>
      <c r="AU54" s="22">
        <v>1</v>
      </c>
      <c r="AV54" s="22">
        <v>1</v>
      </c>
      <c r="AW54" s="22">
        <v>1</v>
      </c>
      <c r="AX54" s="22">
        <v>1</v>
      </c>
      <c r="AY54" s="22">
        <v>1</v>
      </c>
      <c r="AZ54" s="22">
        <v>1.2099833545744325</v>
      </c>
      <c r="BA54" s="22">
        <v>1.2099833545744325</v>
      </c>
      <c r="BB54" s="22">
        <v>1</v>
      </c>
      <c r="BC54" s="22">
        <v>1</v>
      </c>
      <c r="BD54" s="22">
        <v>1</v>
      </c>
      <c r="BE54" s="22">
        <v>1</v>
      </c>
      <c r="BF54" s="22">
        <v>1</v>
      </c>
      <c r="BG54" s="22">
        <v>1.2099833545744325</v>
      </c>
      <c r="BH54" s="22">
        <v>1.2099833545744325</v>
      </c>
      <c r="BI54" s="22"/>
      <c r="BJ54" s="10"/>
      <c r="BK54"/>
    </row>
    <row r="55" spans="1:63" x14ac:dyDescent="0.25">
      <c r="A55" s="1">
        <v>24</v>
      </c>
      <c r="B55" s="20" t="s">
        <v>75</v>
      </c>
      <c r="C55">
        <v>2</v>
      </c>
      <c r="D55" t="s">
        <v>107</v>
      </c>
      <c r="E55" t="str">
        <f t="shared" si="5"/>
        <v>Als onderdeel van het programma 'Netwerk op zijn Best' omvat dit groot onderhoudsproject op de B13-C een grootschalige vernieuwing van het asfalt.</v>
      </c>
      <c r="F55" s="13" t="s">
        <v>136</v>
      </c>
      <c r="G55" s="2" t="s">
        <v>113</v>
      </c>
      <c r="H55" s="2">
        <v>1680</v>
      </c>
      <c r="I55" s="17">
        <v>1176000</v>
      </c>
      <c r="J55" s="2">
        <v>5</v>
      </c>
      <c r="K55" s="11">
        <f t="shared" si="0"/>
        <v>0.33333333333333331</v>
      </c>
      <c r="L55" s="2">
        <v>2</v>
      </c>
      <c r="M55" s="14">
        <f t="shared" si="1"/>
        <v>1512000</v>
      </c>
      <c r="N55" s="14">
        <f t="shared" si="2"/>
        <v>1209600</v>
      </c>
      <c r="O55" s="3">
        <v>2688000</v>
      </c>
      <c r="P55" s="10">
        <v>1</v>
      </c>
      <c r="Q55" s="22">
        <v>1</v>
      </c>
      <c r="R55" s="22">
        <v>1</v>
      </c>
      <c r="S55" s="22">
        <v>1</v>
      </c>
      <c r="T55" s="22">
        <v>1</v>
      </c>
      <c r="U55" s="22">
        <v>1</v>
      </c>
      <c r="V55" s="22">
        <v>1</v>
      </c>
      <c r="W55" s="22">
        <v>1</v>
      </c>
      <c r="X55" s="22">
        <v>1</v>
      </c>
      <c r="Y55" s="22">
        <v>1</v>
      </c>
      <c r="Z55" s="22">
        <v>1</v>
      </c>
      <c r="AA55" s="22">
        <v>1.3149750318616489</v>
      </c>
      <c r="AB55" s="22">
        <v>1.3149750318616489</v>
      </c>
      <c r="AC55" s="22">
        <v>1.6299500637232978</v>
      </c>
      <c r="AD55" s="22">
        <v>1</v>
      </c>
      <c r="AE55" s="22">
        <v>1</v>
      </c>
      <c r="AF55" s="22">
        <v>1</v>
      </c>
      <c r="AG55" s="22">
        <v>1.3149750318616489</v>
      </c>
      <c r="AH55" s="22">
        <v>1.3149750318616489</v>
      </c>
      <c r="AI55" s="22">
        <v>1</v>
      </c>
      <c r="AJ55" s="22">
        <v>1</v>
      </c>
      <c r="AK55" s="22">
        <v>1</v>
      </c>
      <c r="AL55" s="22">
        <v>1.3149750318616489</v>
      </c>
      <c r="AM55" s="22">
        <v>1.6299500637232978</v>
      </c>
      <c r="AN55" s="22">
        <v>1.6299500637232978</v>
      </c>
      <c r="AO55" s="22">
        <v>1.6299500637232978</v>
      </c>
      <c r="AP55" s="22">
        <v>1.6299500637232978</v>
      </c>
      <c r="AQ55" s="22">
        <v>1.3149750318616489</v>
      </c>
      <c r="AR55" s="22">
        <v>1.3149750318616489</v>
      </c>
      <c r="AS55" s="22">
        <v>1.3149750318616489</v>
      </c>
      <c r="AT55" s="22">
        <v>1</v>
      </c>
      <c r="AU55" s="22">
        <v>1</v>
      </c>
      <c r="AV55" s="22">
        <v>1</v>
      </c>
      <c r="AW55" s="22">
        <v>1</v>
      </c>
      <c r="AX55" s="22">
        <v>1</v>
      </c>
      <c r="AY55" s="22">
        <v>1</v>
      </c>
      <c r="AZ55" s="22">
        <v>1.3149750318616489</v>
      </c>
      <c r="BA55" s="22">
        <v>1.3149750318616489</v>
      </c>
      <c r="BB55" s="22">
        <v>1</v>
      </c>
      <c r="BC55" s="22">
        <v>1</v>
      </c>
      <c r="BD55" s="22">
        <v>1</v>
      </c>
      <c r="BE55" s="22">
        <v>1</v>
      </c>
      <c r="BF55" s="22">
        <v>1</v>
      </c>
      <c r="BG55" s="22">
        <v>1.3149750318616489</v>
      </c>
      <c r="BH55" s="22">
        <v>1.3149750318616489</v>
      </c>
      <c r="BI55" s="22"/>
      <c r="BJ55" s="10"/>
      <c r="BK55"/>
    </row>
    <row r="56" spans="1:63" x14ac:dyDescent="0.25">
      <c r="A56" s="1">
        <v>24</v>
      </c>
      <c r="B56" s="20" t="s">
        <v>75</v>
      </c>
      <c r="C56">
        <v>3</v>
      </c>
      <c r="D56" t="s">
        <v>108</v>
      </c>
      <c r="E56" t="str">
        <f t="shared" si="5"/>
        <v>Als onderdeel van het programma 'Netwerk op zijn Best' omvat dit groot onderhoudsproject op de B13-C een grootschalige vernieuwing van het asfalt.</v>
      </c>
      <c r="F56" s="13" t="s">
        <v>137</v>
      </c>
      <c r="G56" s="2" t="s">
        <v>113</v>
      </c>
      <c r="H56" s="2">
        <v>1400</v>
      </c>
      <c r="I56" s="17">
        <v>1848000</v>
      </c>
      <c r="J56" s="2">
        <v>5</v>
      </c>
      <c r="K56" s="11">
        <f t="shared" si="0"/>
        <v>0.33333333333333331</v>
      </c>
      <c r="L56" s="2">
        <v>0</v>
      </c>
      <c r="M56" s="14">
        <f t="shared" si="1"/>
        <v>840000</v>
      </c>
      <c r="N56" s="14">
        <f t="shared" si="2"/>
        <v>672000</v>
      </c>
      <c r="O56" s="3">
        <v>2688000</v>
      </c>
      <c r="P56" s="10">
        <v>1</v>
      </c>
      <c r="Q56" s="22">
        <v>1</v>
      </c>
      <c r="R56" s="22">
        <v>1</v>
      </c>
      <c r="S56" s="22">
        <v>1</v>
      </c>
      <c r="T56" s="22">
        <v>1</v>
      </c>
      <c r="U56" s="22">
        <v>1</v>
      </c>
      <c r="V56" s="22">
        <v>1</v>
      </c>
      <c r="W56" s="22">
        <v>1</v>
      </c>
      <c r="X56" s="22">
        <v>1</v>
      </c>
      <c r="Y56" s="22">
        <v>1</v>
      </c>
      <c r="Z56" s="22">
        <v>1</v>
      </c>
      <c r="AA56" s="22">
        <v>1.2624791932180406</v>
      </c>
      <c r="AB56" s="22">
        <v>1.2624791932180406</v>
      </c>
      <c r="AC56" s="22">
        <v>1.5249583864360814</v>
      </c>
      <c r="AD56" s="22">
        <v>1</v>
      </c>
      <c r="AE56" s="22">
        <v>1</v>
      </c>
      <c r="AF56" s="22">
        <v>1</v>
      </c>
      <c r="AG56" s="22">
        <v>1.2624791932180406</v>
      </c>
      <c r="AH56" s="22">
        <v>1.2624791932180406</v>
      </c>
      <c r="AI56" s="22">
        <v>1</v>
      </c>
      <c r="AJ56" s="22">
        <v>1</v>
      </c>
      <c r="AK56" s="22">
        <v>1</v>
      </c>
      <c r="AL56" s="22">
        <v>1.2624791932180406</v>
      </c>
      <c r="AM56" s="22">
        <v>1.5249583864360814</v>
      </c>
      <c r="AN56" s="22">
        <v>1.2624791932180406</v>
      </c>
      <c r="AO56" s="22">
        <v>1.5249583864360814</v>
      </c>
      <c r="AP56" s="22">
        <v>1.5249583864360814</v>
      </c>
      <c r="AQ56" s="22">
        <v>1.2624791932180406</v>
      </c>
      <c r="AR56" s="22">
        <v>1.2624791932180406</v>
      </c>
      <c r="AS56" s="22">
        <v>1.2624791932180406</v>
      </c>
      <c r="AT56" s="22">
        <v>1</v>
      </c>
      <c r="AU56" s="22">
        <v>1</v>
      </c>
      <c r="AV56" s="22">
        <v>1</v>
      </c>
      <c r="AW56" s="22">
        <v>1</v>
      </c>
      <c r="AX56" s="22">
        <v>1</v>
      </c>
      <c r="AY56" s="22">
        <v>1</v>
      </c>
      <c r="AZ56" s="22">
        <v>1.2624791932180406</v>
      </c>
      <c r="BA56" s="22">
        <v>1.2624791932180406</v>
      </c>
      <c r="BB56" s="22">
        <v>1</v>
      </c>
      <c r="BC56" s="22">
        <v>1</v>
      </c>
      <c r="BD56" s="22">
        <v>1</v>
      </c>
      <c r="BE56" s="22">
        <v>1</v>
      </c>
      <c r="BF56" s="22">
        <v>1</v>
      </c>
      <c r="BG56" s="22">
        <v>1.2624791932180406</v>
      </c>
      <c r="BH56" s="22">
        <v>1.2624791932180406</v>
      </c>
      <c r="BI56" s="22"/>
      <c r="BJ56" s="10"/>
      <c r="BK56"/>
    </row>
    <row r="57" spans="1:63" x14ac:dyDescent="0.25">
      <c r="A57" s="1">
        <v>24</v>
      </c>
      <c r="B57" s="20" t="s">
        <v>75</v>
      </c>
      <c r="C57">
        <v>4</v>
      </c>
      <c r="D57" t="s">
        <v>109</v>
      </c>
      <c r="E57" t="str">
        <f t="shared" si="5"/>
        <v>Als onderdeel van het programma 'Netwerk op zijn Best' omvat dit groot onderhoudsproject op de B13-C een grootschalige vernieuwing van het asfalt.</v>
      </c>
      <c r="F57" s="13" t="s">
        <v>138</v>
      </c>
      <c r="G57" s="2" t="s">
        <v>113</v>
      </c>
      <c r="H57" s="2">
        <v>1680</v>
      </c>
      <c r="I57" s="17">
        <v>1680000</v>
      </c>
      <c r="J57" s="2">
        <v>3.5</v>
      </c>
      <c r="K57" s="11">
        <f t="shared" si="0"/>
        <v>0.33333333333333331</v>
      </c>
      <c r="L57" s="2">
        <v>1</v>
      </c>
      <c r="M57" s="14">
        <f t="shared" si="1"/>
        <v>1008000</v>
      </c>
      <c r="N57" s="14">
        <f t="shared" si="2"/>
        <v>806400</v>
      </c>
      <c r="O57" s="3">
        <v>2688000</v>
      </c>
      <c r="P57" s="10">
        <v>1</v>
      </c>
      <c r="Q57" s="22">
        <v>1</v>
      </c>
      <c r="R57" s="22">
        <v>1</v>
      </c>
      <c r="S57" s="22">
        <v>1</v>
      </c>
      <c r="T57" s="22">
        <v>1</v>
      </c>
      <c r="U57" s="22">
        <v>1</v>
      </c>
      <c r="V57" s="22">
        <v>1</v>
      </c>
      <c r="W57" s="22">
        <v>1</v>
      </c>
      <c r="X57" s="22">
        <v>1</v>
      </c>
      <c r="Y57" s="22">
        <v>1</v>
      </c>
      <c r="Z57" s="22">
        <v>1</v>
      </c>
      <c r="AA57" s="22">
        <v>1.3149750318616489</v>
      </c>
      <c r="AB57" s="22">
        <v>1.3149750318616489</v>
      </c>
      <c r="AC57" s="22">
        <v>1.6299500637232978</v>
      </c>
      <c r="AD57" s="22">
        <v>1</v>
      </c>
      <c r="AE57" s="22">
        <v>1</v>
      </c>
      <c r="AF57" s="22">
        <v>1</v>
      </c>
      <c r="AG57" s="22">
        <v>1.3149750318616489</v>
      </c>
      <c r="AH57" s="22">
        <v>1.3149750318616489</v>
      </c>
      <c r="AI57" s="22">
        <v>1</v>
      </c>
      <c r="AJ57" s="22">
        <v>1</v>
      </c>
      <c r="AK57" s="22">
        <v>1</v>
      </c>
      <c r="AL57" s="22">
        <v>1.3149750318616489</v>
      </c>
      <c r="AM57" s="22">
        <v>1.6299500637232978</v>
      </c>
      <c r="AN57" s="22">
        <v>1.6299500637232978</v>
      </c>
      <c r="AO57" s="22">
        <v>1.6299500637232978</v>
      </c>
      <c r="AP57" s="22">
        <v>1.6299500637232978</v>
      </c>
      <c r="AQ57" s="22">
        <v>1.3149750318616489</v>
      </c>
      <c r="AR57" s="22">
        <v>1.3149750318616489</v>
      </c>
      <c r="AS57" s="22">
        <v>1.3149750318616489</v>
      </c>
      <c r="AT57" s="22">
        <v>1</v>
      </c>
      <c r="AU57" s="22">
        <v>1</v>
      </c>
      <c r="AV57" s="22">
        <v>1</v>
      </c>
      <c r="AW57" s="22">
        <v>1</v>
      </c>
      <c r="AX57" s="22">
        <v>1</v>
      </c>
      <c r="AY57" s="22">
        <v>1</v>
      </c>
      <c r="AZ57" s="22">
        <v>1.3149750318616489</v>
      </c>
      <c r="BA57" s="22">
        <v>1.3149750318616489</v>
      </c>
      <c r="BB57" s="22">
        <v>1</v>
      </c>
      <c r="BC57" s="22">
        <v>1</v>
      </c>
      <c r="BD57" s="22">
        <v>1</v>
      </c>
      <c r="BE57" s="22">
        <v>1</v>
      </c>
      <c r="BF57" s="22">
        <v>1</v>
      </c>
      <c r="BG57" s="22">
        <v>1.3149750318616489</v>
      </c>
      <c r="BH57" s="22">
        <v>1.3149750318616489</v>
      </c>
      <c r="BI57" s="22"/>
      <c r="BJ57" s="10"/>
      <c r="BK57"/>
    </row>
    <row r="58" spans="1:63" x14ac:dyDescent="0.25">
      <c r="A58" s="1">
        <v>25</v>
      </c>
      <c r="B58" s="19" t="s">
        <v>76</v>
      </c>
      <c r="C58">
        <v>1</v>
      </c>
      <c r="D58" t="s">
        <v>106</v>
      </c>
      <c r="E58" t="str">
        <f t="shared" si="5"/>
        <v>Als onderdeel van het programma 'Netwerk op zijn Best' omvat dit groot onderhoudsproject op de B14-A een grootschalige vernieuwing van het asfalt.</v>
      </c>
      <c r="F58" s="13" t="s">
        <v>135</v>
      </c>
      <c r="G58" s="2" t="s">
        <v>113</v>
      </c>
      <c r="H58" s="2">
        <v>1760</v>
      </c>
      <c r="I58" s="17">
        <v>5778000</v>
      </c>
      <c r="J58" s="2">
        <v>8.8000000000000007</v>
      </c>
      <c r="K58" s="11">
        <f t="shared" si="0"/>
        <v>0.33333333333333331</v>
      </c>
      <c r="L58" s="2">
        <v>2</v>
      </c>
      <c r="M58" s="14">
        <f t="shared" si="1"/>
        <v>2630000</v>
      </c>
      <c r="N58" s="14">
        <f t="shared" si="2"/>
        <v>2104000</v>
      </c>
      <c r="O58" s="3">
        <v>8408000</v>
      </c>
      <c r="P58" s="10">
        <v>1</v>
      </c>
      <c r="Q58" s="22">
        <v>1</v>
      </c>
      <c r="R58" s="22">
        <v>1</v>
      </c>
      <c r="S58" s="22">
        <v>1</v>
      </c>
      <c r="T58" s="22">
        <v>1</v>
      </c>
      <c r="U58" s="22">
        <v>1</v>
      </c>
      <c r="V58" s="22">
        <v>1</v>
      </c>
      <c r="W58" s="22">
        <v>1</v>
      </c>
      <c r="X58" s="22">
        <v>1</v>
      </c>
      <c r="Y58" s="22">
        <v>1</v>
      </c>
      <c r="Z58" s="22">
        <v>1.3299738429026797</v>
      </c>
      <c r="AA58" s="22">
        <v>1.6599476858053595</v>
      </c>
      <c r="AB58" s="22">
        <v>1</v>
      </c>
      <c r="AC58" s="22">
        <v>1.3299738429026797</v>
      </c>
      <c r="AD58" s="22">
        <v>1</v>
      </c>
      <c r="AE58" s="22">
        <v>1</v>
      </c>
      <c r="AF58" s="22">
        <v>1</v>
      </c>
      <c r="AG58" s="22">
        <v>1.3299738429026797</v>
      </c>
      <c r="AH58" s="22">
        <v>1.3299738429026797</v>
      </c>
      <c r="AI58" s="22">
        <v>1</v>
      </c>
      <c r="AJ58" s="22">
        <v>1</v>
      </c>
      <c r="AK58" s="22">
        <v>1</v>
      </c>
      <c r="AL58" s="22">
        <v>1.3299738429026797</v>
      </c>
      <c r="AM58" s="22">
        <v>1.6599476858053595</v>
      </c>
      <c r="AN58" s="22">
        <v>1.6599476858053595</v>
      </c>
      <c r="AO58" s="22">
        <v>1</v>
      </c>
      <c r="AP58" s="22">
        <v>1.6599476858053595</v>
      </c>
      <c r="AQ58" s="22">
        <v>1.3299738429026797</v>
      </c>
      <c r="AR58" s="22">
        <v>1.3299738429026797</v>
      </c>
      <c r="AS58" s="22">
        <v>1.3299738429026797</v>
      </c>
      <c r="AT58" s="22">
        <v>1</v>
      </c>
      <c r="AU58" s="22">
        <v>1</v>
      </c>
      <c r="AV58" s="22">
        <v>1</v>
      </c>
      <c r="AW58" s="22">
        <v>1</v>
      </c>
      <c r="AX58" s="22">
        <v>1.3299738429026797</v>
      </c>
      <c r="AY58" s="22">
        <v>1.3299738429026797</v>
      </c>
      <c r="AZ58" s="22">
        <v>1</v>
      </c>
      <c r="BA58" s="22">
        <v>1</v>
      </c>
      <c r="BB58" s="22">
        <v>1</v>
      </c>
      <c r="BC58" s="22">
        <v>1</v>
      </c>
      <c r="BD58" s="22">
        <v>1</v>
      </c>
      <c r="BE58" s="22">
        <v>1</v>
      </c>
      <c r="BF58" s="22">
        <v>1</v>
      </c>
      <c r="BG58" s="22">
        <v>1.3299738429026797</v>
      </c>
      <c r="BH58" s="22">
        <v>1.3299738429026797</v>
      </c>
      <c r="BI58" s="22"/>
      <c r="BJ58" s="22"/>
      <c r="BK58"/>
    </row>
    <row r="59" spans="1:63" x14ac:dyDescent="0.25">
      <c r="A59" s="1">
        <v>25</v>
      </c>
      <c r="B59" s="19" t="s">
        <v>76</v>
      </c>
      <c r="C59">
        <v>2</v>
      </c>
      <c r="D59" t="s">
        <v>107</v>
      </c>
      <c r="E59" t="str">
        <f t="shared" si="5"/>
        <v>Als onderdeel van het programma 'Netwerk op zijn Best' omvat dit groot onderhoudsproject op de B14-A een grootschalige vernieuwing van het asfalt.</v>
      </c>
      <c r="F59" s="13" t="s">
        <v>136</v>
      </c>
      <c r="G59" s="2" t="s">
        <v>113</v>
      </c>
      <c r="H59" s="2">
        <v>2640</v>
      </c>
      <c r="I59" s="17">
        <v>3676500</v>
      </c>
      <c r="J59" s="2">
        <v>8</v>
      </c>
      <c r="K59" s="11">
        <f t="shared" si="0"/>
        <v>0.33333333333333331</v>
      </c>
      <c r="L59" s="2">
        <v>4</v>
      </c>
      <c r="M59" s="14">
        <f t="shared" si="1"/>
        <v>4731500</v>
      </c>
      <c r="N59" s="14">
        <f t="shared" si="2"/>
        <v>3785200</v>
      </c>
      <c r="O59" s="3">
        <v>8408000</v>
      </c>
      <c r="P59" s="10">
        <v>1</v>
      </c>
      <c r="Q59" s="22">
        <v>1</v>
      </c>
      <c r="R59" s="22">
        <v>1</v>
      </c>
      <c r="S59" s="22">
        <v>1</v>
      </c>
      <c r="T59" s="22">
        <v>1</v>
      </c>
      <c r="U59" s="22">
        <v>1</v>
      </c>
      <c r="V59" s="22">
        <v>1</v>
      </c>
      <c r="W59" s="22">
        <v>1</v>
      </c>
      <c r="X59" s="22">
        <v>1</v>
      </c>
      <c r="Y59" s="22">
        <v>1</v>
      </c>
      <c r="Z59" s="22">
        <v>1.4949607643540195</v>
      </c>
      <c r="AA59" s="22">
        <v>1.9899215287080392</v>
      </c>
      <c r="AB59" s="22">
        <v>1</v>
      </c>
      <c r="AC59" s="22">
        <v>1.4949607643540195</v>
      </c>
      <c r="AD59" s="22">
        <v>1</v>
      </c>
      <c r="AE59" s="22">
        <v>1</v>
      </c>
      <c r="AF59" s="22">
        <v>1</v>
      </c>
      <c r="AG59" s="22">
        <v>1.4949607643540195</v>
      </c>
      <c r="AH59" s="22">
        <v>1.4949607643540195</v>
      </c>
      <c r="AI59" s="22">
        <v>1</v>
      </c>
      <c r="AJ59" s="22">
        <v>1</v>
      </c>
      <c r="AK59" s="22">
        <v>1</v>
      </c>
      <c r="AL59" s="22">
        <v>1.4949607643540195</v>
      </c>
      <c r="AM59" s="22">
        <v>1.9899215287080392</v>
      </c>
      <c r="AN59" s="22">
        <v>1.9899215287080392</v>
      </c>
      <c r="AO59" s="22">
        <v>1.9899215287080392</v>
      </c>
      <c r="AP59" s="22">
        <v>1.9899215287080392</v>
      </c>
      <c r="AQ59" s="22">
        <v>1.4949607643540195</v>
      </c>
      <c r="AR59" s="22">
        <v>1.4949607643540195</v>
      </c>
      <c r="AS59" s="22">
        <v>1.4949607643540195</v>
      </c>
      <c r="AT59" s="22">
        <v>1</v>
      </c>
      <c r="AU59" s="22">
        <v>1</v>
      </c>
      <c r="AV59" s="22">
        <v>1</v>
      </c>
      <c r="AW59" s="22">
        <v>1</v>
      </c>
      <c r="AX59" s="22">
        <v>1.4949607643540195</v>
      </c>
      <c r="AY59" s="22">
        <v>1.4949607643540195</v>
      </c>
      <c r="AZ59" s="22">
        <v>1</v>
      </c>
      <c r="BA59" s="22">
        <v>1</v>
      </c>
      <c r="BB59" s="22">
        <v>1</v>
      </c>
      <c r="BC59" s="22">
        <v>1</v>
      </c>
      <c r="BD59" s="22">
        <v>1</v>
      </c>
      <c r="BE59" s="22">
        <v>1</v>
      </c>
      <c r="BF59" s="22">
        <v>1</v>
      </c>
      <c r="BG59" s="22">
        <v>1.4949607643540195</v>
      </c>
      <c r="BH59" s="22">
        <v>1.4949607643540195</v>
      </c>
      <c r="BI59" s="22"/>
      <c r="BJ59" s="22"/>
      <c r="BK59"/>
    </row>
    <row r="60" spans="1:63" x14ac:dyDescent="0.25">
      <c r="A60" s="1">
        <v>25</v>
      </c>
      <c r="B60" s="19" t="s">
        <v>76</v>
      </c>
      <c r="C60">
        <v>3</v>
      </c>
      <c r="D60" t="s">
        <v>108</v>
      </c>
      <c r="E60" t="str">
        <f t="shared" si="5"/>
        <v>Als onderdeel van het programma 'Netwerk op zijn Best' omvat dit groot onderhoudsproject op de B14-A een grootschalige vernieuwing van het asfalt.</v>
      </c>
      <c r="F60" s="13" t="s">
        <v>137</v>
      </c>
      <c r="G60" s="2" t="s">
        <v>113</v>
      </c>
      <c r="H60" s="2">
        <v>2200</v>
      </c>
      <c r="I60" s="17">
        <v>5778300.0000000009</v>
      </c>
      <c r="J60" s="2">
        <v>8</v>
      </c>
      <c r="K60" s="11">
        <f t="shared" si="0"/>
        <v>0.33333333333333331</v>
      </c>
      <c r="L60" s="2">
        <v>0</v>
      </c>
      <c r="M60" s="14">
        <f t="shared" si="1"/>
        <v>2629699.9999999991</v>
      </c>
      <c r="N60" s="14">
        <f t="shared" si="2"/>
        <v>2103759.9999999995</v>
      </c>
      <c r="O60" s="14">
        <v>8408000</v>
      </c>
      <c r="P60" s="10">
        <v>1</v>
      </c>
      <c r="Q60" s="22">
        <v>1</v>
      </c>
      <c r="R60" s="22">
        <v>1</v>
      </c>
      <c r="S60" s="22">
        <v>1</v>
      </c>
      <c r="T60" s="22">
        <v>1</v>
      </c>
      <c r="U60" s="22">
        <v>1</v>
      </c>
      <c r="V60" s="22">
        <v>1</v>
      </c>
      <c r="W60" s="22">
        <v>1</v>
      </c>
      <c r="X60" s="22">
        <v>1</v>
      </c>
      <c r="Y60" s="22">
        <v>1</v>
      </c>
      <c r="Z60" s="22">
        <v>1.4124673036283497</v>
      </c>
      <c r="AA60" s="22">
        <v>1.8249346072566994</v>
      </c>
      <c r="AB60" s="22">
        <v>1</v>
      </c>
      <c r="AC60" s="22">
        <v>1.4124673036283497</v>
      </c>
      <c r="AD60" s="22">
        <v>1</v>
      </c>
      <c r="AE60" s="22">
        <v>1</v>
      </c>
      <c r="AF60" s="22">
        <v>1</v>
      </c>
      <c r="AG60" s="22">
        <v>1.4124673036283497</v>
      </c>
      <c r="AH60" s="22">
        <v>1.4124673036283497</v>
      </c>
      <c r="AI60" s="22">
        <v>1</v>
      </c>
      <c r="AJ60" s="22">
        <v>1</v>
      </c>
      <c r="AK60" s="22">
        <v>1</v>
      </c>
      <c r="AL60" s="22">
        <v>1.4124673036283497</v>
      </c>
      <c r="AM60" s="22">
        <v>1.8249346072566994</v>
      </c>
      <c r="AN60" s="22">
        <v>1.8249346072566994</v>
      </c>
      <c r="AO60" s="22">
        <v>1.4124673036283497</v>
      </c>
      <c r="AP60" s="22">
        <v>1.8249346072566994</v>
      </c>
      <c r="AQ60" s="22">
        <v>1.4124673036283497</v>
      </c>
      <c r="AR60" s="22">
        <v>1.4124673036283497</v>
      </c>
      <c r="AS60" s="22">
        <v>1.4124673036283497</v>
      </c>
      <c r="AT60" s="22">
        <v>1</v>
      </c>
      <c r="AU60" s="22">
        <v>1</v>
      </c>
      <c r="AV60" s="22">
        <v>1</v>
      </c>
      <c r="AW60" s="22">
        <v>1</v>
      </c>
      <c r="AX60" s="22">
        <v>1.4124673036283497</v>
      </c>
      <c r="AY60" s="22">
        <v>1.4124673036283497</v>
      </c>
      <c r="AZ60" s="22">
        <v>1</v>
      </c>
      <c r="BA60" s="22">
        <v>1</v>
      </c>
      <c r="BB60" s="22">
        <v>1</v>
      </c>
      <c r="BC60" s="22">
        <v>1</v>
      </c>
      <c r="BD60" s="22">
        <v>1</v>
      </c>
      <c r="BE60" s="22">
        <v>1</v>
      </c>
      <c r="BF60" s="22">
        <v>1</v>
      </c>
      <c r="BG60" s="22">
        <v>1.4124673036283497</v>
      </c>
      <c r="BH60" s="22">
        <v>1.4124673036283497</v>
      </c>
      <c r="BI60" s="22"/>
      <c r="BJ60" s="22"/>
      <c r="BK60"/>
    </row>
    <row r="61" spans="1:63" x14ac:dyDescent="0.25">
      <c r="A61" s="1">
        <v>25</v>
      </c>
      <c r="B61" s="19" t="s">
        <v>76</v>
      </c>
      <c r="C61">
        <v>4</v>
      </c>
      <c r="D61" t="s">
        <v>109</v>
      </c>
      <c r="E61" t="str">
        <f t="shared" si="5"/>
        <v>Als onderdeel van het programma 'Netwerk op zijn Best' omvat dit groot onderhoudsproject op de B14-A een grootschalige vernieuwing van het asfalt.</v>
      </c>
      <c r="F61" s="13" t="s">
        <v>138</v>
      </c>
      <c r="G61" s="2" t="s">
        <v>113</v>
      </c>
      <c r="H61" s="2">
        <v>2640</v>
      </c>
      <c r="I61" s="17">
        <v>5253000</v>
      </c>
      <c r="J61" s="2">
        <v>5.6</v>
      </c>
      <c r="K61" s="11">
        <f t="shared" si="0"/>
        <v>0.33333333333333331</v>
      </c>
      <c r="L61" s="2">
        <v>2</v>
      </c>
      <c r="M61" s="14">
        <f t="shared" si="1"/>
        <v>3155000</v>
      </c>
      <c r="N61" s="14">
        <f t="shared" si="2"/>
        <v>2524000</v>
      </c>
      <c r="O61" s="3">
        <v>8408000</v>
      </c>
      <c r="P61" s="10">
        <v>1</v>
      </c>
      <c r="Q61" s="22">
        <v>1</v>
      </c>
      <c r="R61" s="22">
        <v>1</v>
      </c>
      <c r="S61" s="22">
        <v>1</v>
      </c>
      <c r="T61" s="22">
        <v>1</v>
      </c>
      <c r="U61" s="22">
        <v>1</v>
      </c>
      <c r="V61" s="22">
        <v>1</v>
      </c>
      <c r="W61" s="22">
        <v>1</v>
      </c>
      <c r="X61" s="22">
        <v>1</v>
      </c>
      <c r="Y61" s="22">
        <v>1</v>
      </c>
      <c r="Z61" s="22">
        <v>1.4949607643540195</v>
      </c>
      <c r="AA61" s="22">
        <v>1.9899215287080392</v>
      </c>
      <c r="AB61" s="22">
        <v>1</v>
      </c>
      <c r="AC61" s="22">
        <v>1.4949607643540195</v>
      </c>
      <c r="AD61" s="22">
        <v>1</v>
      </c>
      <c r="AE61" s="22">
        <v>1</v>
      </c>
      <c r="AF61" s="22">
        <v>1</v>
      </c>
      <c r="AG61" s="22">
        <v>1.4949607643540195</v>
      </c>
      <c r="AH61" s="22">
        <v>1.4949607643540195</v>
      </c>
      <c r="AI61" s="22">
        <v>1</v>
      </c>
      <c r="AJ61" s="22">
        <v>1</v>
      </c>
      <c r="AK61" s="22">
        <v>1</v>
      </c>
      <c r="AL61" s="22">
        <v>1.4949607643540195</v>
      </c>
      <c r="AM61" s="22">
        <v>1.9899215287080392</v>
      </c>
      <c r="AN61" s="22">
        <v>1.9899215287080392</v>
      </c>
      <c r="AO61" s="22">
        <v>1.9899215287080392</v>
      </c>
      <c r="AP61" s="22">
        <v>1.9899215287080392</v>
      </c>
      <c r="AQ61" s="22">
        <v>1.4949607643540195</v>
      </c>
      <c r="AR61" s="22">
        <v>1.4949607643540195</v>
      </c>
      <c r="AS61" s="22">
        <v>1.4949607643540195</v>
      </c>
      <c r="AT61" s="22">
        <v>1</v>
      </c>
      <c r="AU61" s="22">
        <v>1</v>
      </c>
      <c r="AV61" s="22">
        <v>1</v>
      </c>
      <c r="AW61" s="22">
        <v>1</v>
      </c>
      <c r="AX61" s="22">
        <v>1.4949607643540195</v>
      </c>
      <c r="AY61" s="22">
        <v>1.4949607643540195</v>
      </c>
      <c r="AZ61" s="22">
        <v>1</v>
      </c>
      <c r="BA61" s="22">
        <v>1</v>
      </c>
      <c r="BB61" s="22">
        <v>1</v>
      </c>
      <c r="BC61" s="22">
        <v>1</v>
      </c>
      <c r="BD61" s="22">
        <v>1</v>
      </c>
      <c r="BE61" s="22">
        <v>1</v>
      </c>
      <c r="BF61" s="22">
        <v>1</v>
      </c>
      <c r="BG61" s="22">
        <v>1.4949607643540195</v>
      </c>
      <c r="BH61" s="22">
        <v>1.4949607643540195</v>
      </c>
      <c r="BI61" s="22"/>
      <c r="BJ61" s="22"/>
      <c r="BK61"/>
    </row>
    <row r="62" spans="1:63" x14ac:dyDescent="0.25">
      <c r="A62" s="1">
        <v>26</v>
      </c>
      <c r="B62" t="s">
        <v>77</v>
      </c>
      <c r="C62">
        <v>1</v>
      </c>
      <c r="D62" t="s">
        <v>106</v>
      </c>
      <c r="E62" t="str">
        <f>CONCATENATE("Als onderdeel van het programma 'Netwerk op zijn Best' omvat dit groot onderhoudsproject op de ",B62," een rijbaanverbreding van 3 naar 4 rijstroken op het knooppunt tussen de ",B62," en de M4.")</f>
        <v>Als onderdeel van het programma 'Netwerk op zijn Best' omvat dit groot onderhoudsproject op de B14-B een rijbaanverbreding van 3 naar 4 rijstroken op het knooppunt tussen de B14-B en de M4.</v>
      </c>
      <c r="F62" s="13" t="s">
        <v>135</v>
      </c>
      <c r="G62" s="2" t="s">
        <v>112</v>
      </c>
      <c r="H62" s="2">
        <v>3040</v>
      </c>
      <c r="I62" s="17">
        <v>4618500</v>
      </c>
      <c r="J62" s="2">
        <v>14.3</v>
      </c>
      <c r="K62" s="11">
        <f t="shared" si="0"/>
        <v>0.33333333333333331</v>
      </c>
      <c r="L62" s="2">
        <v>2</v>
      </c>
      <c r="M62" s="14">
        <f t="shared" si="1"/>
        <v>2103500</v>
      </c>
      <c r="N62" s="14">
        <f t="shared" si="2"/>
        <v>1682800</v>
      </c>
      <c r="O62" s="3">
        <v>6722000</v>
      </c>
      <c r="P62" s="10">
        <v>1</v>
      </c>
      <c r="Q62" s="22">
        <v>1</v>
      </c>
      <c r="R62" s="22">
        <v>1</v>
      </c>
      <c r="S62" s="22">
        <v>1.3141519078074428</v>
      </c>
      <c r="T62" s="22">
        <v>1.3141519078074428</v>
      </c>
      <c r="U62" s="22">
        <v>1</v>
      </c>
      <c r="V62" s="22">
        <v>1</v>
      </c>
      <c r="W62" s="22">
        <v>1</v>
      </c>
      <c r="X62" s="22">
        <v>1</v>
      </c>
      <c r="Y62" s="22">
        <v>1</v>
      </c>
      <c r="Z62" s="22">
        <v>1</v>
      </c>
      <c r="AA62" s="22">
        <v>1.3141519078074428</v>
      </c>
      <c r="AB62" s="22">
        <v>1</v>
      </c>
      <c r="AC62" s="22">
        <v>1.3141519078074428</v>
      </c>
      <c r="AD62" s="22">
        <v>1</v>
      </c>
      <c r="AE62" s="22">
        <v>1.3141519078074428</v>
      </c>
      <c r="AF62" s="22">
        <v>1.3141519078074428</v>
      </c>
      <c r="AG62" s="22">
        <v>1.3141519078074428</v>
      </c>
      <c r="AH62" s="22">
        <v>1.3141519078074428</v>
      </c>
      <c r="AI62" s="22">
        <v>1</v>
      </c>
      <c r="AJ62" s="22">
        <v>1</v>
      </c>
      <c r="AK62" s="22">
        <v>1.3141519078074428</v>
      </c>
      <c r="AL62" s="22">
        <v>1.3141519078074428</v>
      </c>
      <c r="AM62" s="22">
        <v>1.6283038156148857</v>
      </c>
      <c r="AN62" s="22">
        <v>1.6283038156148857</v>
      </c>
      <c r="AO62" s="22">
        <v>1.6283038156148857</v>
      </c>
      <c r="AP62" s="22">
        <v>1</v>
      </c>
      <c r="AQ62" s="22">
        <v>1.6283038156148857</v>
      </c>
      <c r="AR62" s="22">
        <v>1.6283038156148857</v>
      </c>
      <c r="AS62" s="22">
        <v>1.6283038156148857</v>
      </c>
      <c r="AT62" s="22">
        <v>1.3141519078074428</v>
      </c>
      <c r="AU62" s="22">
        <v>1</v>
      </c>
      <c r="AV62" s="22">
        <v>1</v>
      </c>
      <c r="AW62" s="22">
        <v>1</v>
      </c>
      <c r="AX62" s="22">
        <v>1</v>
      </c>
      <c r="AY62" s="22">
        <v>1</v>
      </c>
      <c r="AZ62" s="22">
        <v>1</v>
      </c>
      <c r="BA62" s="22">
        <v>1</v>
      </c>
      <c r="BB62" s="22">
        <v>1</v>
      </c>
      <c r="BC62" s="22">
        <v>1</v>
      </c>
      <c r="BD62" s="22">
        <v>1</v>
      </c>
      <c r="BE62" s="22">
        <v>1</v>
      </c>
      <c r="BF62" s="22">
        <v>1</v>
      </c>
      <c r="BG62" s="22">
        <v>1.3141519078074428</v>
      </c>
      <c r="BH62" s="22">
        <v>1.6283038156148857</v>
      </c>
      <c r="BI62" s="22"/>
      <c r="BJ62" s="10"/>
      <c r="BK62"/>
    </row>
    <row r="63" spans="1:63" x14ac:dyDescent="0.25">
      <c r="A63" s="1">
        <v>26</v>
      </c>
      <c r="B63" t="s">
        <v>77</v>
      </c>
      <c r="C63">
        <v>2</v>
      </c>
      <c r="D63" t="s">
        <v>107</v>
      </c>
      <c r="E63" t="str">
        <f>CONCATENATE("Als onderdeel van het programma 'Netwerk op zijn Best' omvat dit groot onderhoudsproject op de ",B63," een rijbaanverbreding van 3 naar 4 rijstroken op het knooppunt tussen de ",B63," en de M4.")</f>
        <v>Als onderdeel van het programma 'Netwerk op zijn Best' omvat dit groot onderhoudsproject op de B14-B een rijbaanverbreding van 3 naar 4 rijstroken op het knooppunt tussen de B14-B en de M4.</v>
      </c>
      <c r="F63" s="13" t="s">
        <v>136</v>
      </c>
      <c r="G63" s="2" t="s">
        <v>112</v>
      </c>
      <c r="H63" s="2">
        <v>4560</v>
      </c>
      <c r="I63" s="17">
        <v>2938500</v>
      </c>
      <c r="J63" s="2">
        <v>13</v>
      </c>
      <c r="K63" s="11">
        <f t="shared" si="0"/>
        <v>0.33333333333333331</v>
      </c>
      <c r="L63" s="2">
        <v>4</v>
      </c>
      <c r="M63" s="14">
        <f t="shared" si="1"/>
        <v>3783500</v>
      </c>
      <c r="N63" s="14">
        <f t="shared" si="2"/>
        <v>3026800</v>
      </c>
      <c r="O63" s="3">
        <v>6722000</v>
      </c>
      <c r="P63" s="10">
        <v>1</v>
      </c>
      <c r="Q63" s="22">
        <v>1</v>
      </c>
      <c r="R63" s="22">
        <v>1</v>
      </c>
      <c r="S63" s="22">
        <v>1.4712278617111645</v>
      </c>
      <c r="T63" s="22">
        <v>1.4712278617111645</v>
      </c>
      <c r="U63" s="22">
        <v>1</v>
      </c>
      <c r="V63" s="22">
        <v>1</v>
      </c>
      <c r="W63" s="22">
        <v>1</v>
      </c>
      <c r="X63" s="22">
        <v>1</v>
      </c>
      <c r="Y63" s="22">
        <v>1</v>
      </c>
      <c r="Z63" s="22">
        <v>1</v>
      </c>
      <c r="AA63" s="22">
        <v>1.4712278617111645</v>
      </c>
      <c r="AB63" s="22">
        <v>1</v>
      </c>
      <c r="AC63" s="22">
        <v>1.4712278617111645</v>
      </c>
      <c r="AD63" s="22">
        <v>1</v>
      </c>
      <c r="AE63" s="22">
        <v>1.4712278617111645</v>
      </c>
      <c r="AF63" s="22">
        <v>1.4712278617111645</v>
      </c>
      <c r="AG63" s="22">
        <v>1.4712278617111645</v>
      </c>
      <c r="AH63" s="22">
        <v>1.4712278617111645</v>
      </c>
      <c r="AI63" s="22">
        <v>1</v>
      </c>
      <c r="AJ63" s="22">
        <v>1</v>
      </c>
      <c r="AK63" s="22">
        <v>1.4712278617111645</v>
      </c>
      <c r="AL63" s="22">
        <v>1.4712278617111645</v>
      </c>
      <c r="AM63" s="22">
        <v>1.9424557234223288</v>
      </c>
      <c r="AN63" s="22">
        <v>1.9424557234223288</v>
      </c>
      <c r="AO63" s="22">
        <v>1.9424557234223288</v>
      </c>
      <c r="AP63" s="22">
        <v>1.9424557234223288</v>
      </c>
      <c r="AQ63" s="22">
        <v>1.9424557234223288</v>
      </c>
      <c r="AR63" s="22">
        <v>1.9424557234223288</v>
      </c>
      <c r="AS63" s="22">
        <v>1.9424557234223288</v>
      </c>
      <c r="AT63" s="22">
        <v>1.4712278617111645</v>
      </c>
      <c r="AU63" s="22">
        <v>1</v>
      </c>
      <c r="AV63" s="22">
        <v>1</v>
      </c>
      <c r="AW63" s="22">
        <v>1</v>
      </c>
      <c r="AX63" s="22">
        <v>1</v>
      </c>
      <c r="AY63" s="22">
        <v>1</v>
      </c>
      <c r="AZ63" s="22">
        <v>1</v>
      </c>
      <c r="BA63" s="22">
        <v>1</v>
      </c>
      <c r="BB63" s="22">
        <v>1</v>
      </c>
      <c r="BC63" s="22">
        <v>1</v>
      </c>
      <c r="BD63" s="22">
        <v>1</v>
      </c>
      <c r="BE63" s="22">
        <v>1</v>
      </c>
      <c r="BF63" s="22">
        <v>1</v>
      </c>
      <c r="BG63" s="22">
        <v>1.4712278617111645</v>
      </c>
      <c r="BH63" s="22">
        <v>1.9424557234223288</v>
      </c>
      <c r="BI63" s="22"/>
      <c r="BJ63" s="10"/>
      <c r="BK63"/>
    </row>
    <row r="64" spans="1:63" x14ac:dyDescent="0.25">
      <c r="A64" s="1">
        <v>26</v>
      </c>
      <c r="B64" t="s">
        <v>77</v>
      </c>
      <c r="C64">
        <v>3</v>
      </c>
      <c r="D64" t="s">
        <v>108</v>
      </c>
      <c r="E64" t="str">
        <f>CONCATENATE("Als onderdeel van het programma 'Netwerk op zijn Best' omvat dit groot onderhoudsproject op de ",B64," een rijbaanverbreding van 3 naar 4 rijstroken op het knooppunt tussen de ",B64," en de M4.")</f>
        <v>Als onderdeel van het programma 'Netwerk op zijn Best' omvat dit groot onderhoudsproject op de B14-B een rijbaanverbreding van 3 naar 4 rijstroken op het knooppunt tussen de B14-B en de M4.</v>
      </c>
      <c r="F64" s="13" t="s">
        <v>137</v>
      </c>
      <c r="G64" s="2" t="s">
        <v>112</v>
      </c>
      <c r="H64" s="2">
        <v>3800</v>
      </c>
      <c r="I64" s="17">
        <v>4618350.0000000009</v>
      </c>
      <c r="J64" s="2">
        <v>13</v>
      </c>
      <c r="K64" s="11">
        <f t="shared" si="0"/>
        <v>0.33333333333333331</v>
      </c>
      <c r="L64" s="2">
        <v>0</v>
      </c>
      <c r="M64" s="14">
        <f t="shared" si="1"/>
        <v>2103649.9999999991</v>
      </c>
      <c r="N64" s="14">
        <f t="shared" si="2"/>
        <v>1682919.9999999993</v>
      </c>
      <c r="O64" s="14">
        <v>6722000</v>
      </c>
      <c r="P64" s="10">
        <v>1</v>
      </c>
      <c r="Q64" s="22">
        <v>1</v>
      </c>
      <c r="R64" s="22">
        <v>1</v>
      </c>
      <c r="S64" s="22">
        <v>1.3926898847593037</v>
      </c>
      <c r="T64" s="22">
        <v>1.3926898847593037</v>
      </c>
      <c r="U64" s="22">
        <v>1</v>
      </c>
      <c r="V64" s="22">
        <v>1</v>
      </c>
      <c r="W64" s="22">
        <v>1</v>
      </c>
      <c r="X64" s="22">
        <v>1</v>
      </c>
      <c r="Y64" s="22">
        <v>1</v>
      </c>
      <c r="Z64" s="22">
        <v>1</v>
      </c>
      <c r="AA64" s="22">
        <v>1.3926898847593037</v>
      </c>
      <c r="AB64" s="22">
        <v>1</v>
      </c>
      <c r="AC64" s="22">
        <v>1.3926898847593037</v>
      </c>
      <c r="AD64" s="22">
        <v>1</v>
      </c>
      <c r="AE64" s="22">
        <v>1.3926898847593037</v>
      </c>
      <c r="AF64" s="22">
        <v>1.3926898847593037</v>
      </c>
      <c r="AG64" s="22">
        <v>1.3926898847593037</v>
      </c>
      <c r="AH64" s="22">
        <v>1.3926898847593037</v>
      </c>
      <c r="AI64" s="22">
        <v>1</v>
      </c>
      <c r="AJ64" s="22">
        <v>1</v>
      </c>
      <c r="AK64" s="22">
        <v>1.3926898847593037</v>
      </c>
      <c r="AL64" s="22">
        <v>1.3926898847593037</v>
      </c>
      <c r="AM64" s="22">
        <v>1.7853797695186073</v>
      </c>
      <c r="AN64" s="22">
        <v>1.7853797695186073</v>
      </c>
      <c r="AO64" s="22">
        <v>1.7853797695186073</v>
      </c>
      <c r="AP64" s="22">
        <v>1.3926898847593037</v>
      </c>
      <c r="AQ64" s="22">
        <v>1.7853797695186073</v>
      </c>
      <c r="AR64" s="22">
        <v>1.7853797695186073</v>
      </c>
      <c r="AS64" s="22">
        <v>1.7853797695186073</v>
      </c>
      <c r="AT64" s="22">
        <v>1.3926898847593037</v>
      </c>
      <c r="AU64" s="22">
        <v>1</v>
      </c>
      <c r="AV64" s="22">
        <v>1</v>
      </c>
      <c r="AW64" s="22">
        <v>1</v>
      </c>
      <c r="AX64" s="22">
        <v>1</v>
      </c>
      <c r="AY64" s="22">
        <v>1</v>
      </c>
      <c r="AZ64" s="22">
        <v>1</v>
      </c>
      <c r="BA64" s="22">
        <v>1</v>
      </c>
      <c r="BB64" s="22">
        <v>1</v>
      </c>
      <c r="BC64" s="22">
        <v>1</v>
      </c>
      <c r="BD64" s="22">
        <v>1</v>
      </c>
      <c r="BE64" s="22">
        <v>1</v>
      </c>
      <c r="BF64" s="22">
        <v>1</v>
      </c>
      <c r="BG64" s="22">
        <v>1.3926898847593037</v>
      </c>
      <c r="BH64" s="22">
        <v>1.7853797695186073</v>
      </c>
      <c r="BI64" s="22"/>
      <c r="BJ64" s="10"/>
      <c r="BK64"/>
    </row>
    <row r="65" spans="1:63" x14ac:dyDescent="0.25">
      <c r="A65" s="1">
        <v>26</v>
      </c>
      <c r="B65" t="s">
        <v>77</v>
      </c>
      <c r="C65">
        <v>4</v>
      </c>
      <c r="D65" t="s">
        <v>109</v>
      </c>
      <c r="E65" t="str">
        <f>CONCATENATE("Als onderdeel van het programma 'Netwerk op zijn Best' omvat dit groot onderhoudsproject op de ",B65," een rijbaanverbreding van 3 naar 4 rijstroken op het knooppunt tussen de ",B65," en de M4.")</f>
        <v>Als onderdeel van het programma 'Netwerk op zijn Best' omvat dit groot onderhoudsproject op de B14-B een rijbaanverbreding van 3 naar 4 rijstroken op het knooppunt tussen de B14-B en de M4.</v>
      </c>
      <c r="F65" s="13" t="s">
        <v>138</v>
      </c>
      <c r="G65" s="2" t="s">
        <v>112</v>
      </c>
      <c r="H65" s="2">
        <v>4560</v>
      </c>
      <c r="I65" s="17">
        <v>4198500</v>
      </c>
      <c r="J65" s="2">
        <v>9.1</v>
      </c>
      <c r="K65" s="11">
        <f t="shared" si="0"/>
        <v>0.33333333333333331</v>
      </c>
      <c r="L65" s="2">
        <v>2</v>
      </c>
      <c r="M65" s="14">
        <f t="shared" si="1"/>
        <v>2523500</v>
      </c>
      <c r="N65" s="14">
        <f t="shared" si="2"/>
        <v>2018800</v>
      </c>
      <c r="O65" s="3">
        <v>6722000</v>
      </c>
      <c r="P65" s="10">
        <v>1</v>
      </c>
      <c r="Q65" s="22">
        <v>1</v>
      </c>
      <c r="R65" s="22">
        <v>1</v>
      </c>
      <c r="S65" s="22">
        <v>1.4712278617111645</v>
      </c>
      <c r="T65" s="22">
        <v>1.4712278617111645</v>
      </c>
      <c r="U65" s="22">
        <v>1</v>
      </c>
      <c r="V65" s="22">
        <v>1</v>
      </c>
      <c r="W65" s="22">
        <v>1</v>
      </c>
      <c r="X65" s="22">
        <v>1</v>
      </c>
      <c r="Y65" s="22">
        <v>1</v>
      </c>
      <c r="Z65" s="22">
        <v>1</v>
      </c>
      <c r="AA65" s="22">
        <v>1.4712278617111645</v>
      </c>
      <c r="AB65" s="22">
        <v>1</v>
      </c>
      <c r="AC65" s="22">
        <v>1.4712278617111645</v>
      </c>
      <c r="AD65" s="22">
        <v>1</v>
      </c>
      <c r="AE65" s="22">
        <v>1.4712278617111645</v>
      </c>
      <c r="AF65" s="22">
        <v>1.4712278617111645</v>
      </c>
      <c r="AG65" s="22">
        <v>1.4712278617111645</v>
      </c>
      <c r="AH65" s="22">
        <v>1.4712278617111645</v>
      </c>
      <c r="AI65" s="22">
        <v>1</v>
      </c>
      <c r="AJ65" s="22">
        <v>1</v>
      </c>
      <c r="AK65" s="22">
        <v>1.4712278617111645</v>
      </c>
      <c r="AL65" s="22">
        <v>1.4712278617111645</v>
      </c>
      <c r="AM65" s="22">
        <v>1.9424557234223288</v>
      </c>
      <c r="AN65" s="22">
        <v>1.9424557234223288</v>
      </c>
      <c r="AO65" s="22">
        <v>1.9424557234223288</v>
      </c>
      <c r="AP65" s="22">
        <v>1.9424557234223288</v>
      </c>
      <c r="AQ65" s="22">
        <v>1.9424557234223288</v>
      </c>
      <c r="AR65" s="22">
        <v>1.9424557234223288</v>
      </c>
      <c r="AS65" s="22">
        <v>1.9424557234223288</v>
      </c>
      <c r="AT65" s="22">
        <v>1.4712278617111645</v>
      </c>
      <c r="AU65" s="22">
        <v>1</v>
      </c>
      <c r="AV65" s="22">
        <v>1</v>
      </c>
      <c r="AW65" s="22">
        <v>1</v>
      </c>
      <c r="AX65" s="22">
        <v>1</v>
      </c>
      <c r="AY65" s="22">
        <v>1</v>
      </c>
      <c r="AZ65" s="22">
        <v>1</v>
      </c>
      <c r="BA65" s="22">
        <v>1</v>
      </c>
      <c r="BB65" s="22">
        <v>1</v>
      </c>
      <c r="BC65" s="22">
        <v>1</v>
      </c>
      <c r="BD65" s="22">
        <v>1</v>
      </c>
      <c r="BE65" s="22">
        <v>1</v>
      </c>
      <c r="BF65" s="22">
        <v>1</v>
      </c>
      <c r="BG65" s="22">
        <v>1.4712278617111645</v>
      </c>
      <c r="BH65" s="22">
        <v>1.9424557234223288</v>
      </c>
      <c r="BI65" s="22"/>
      <c r="BJ65" s="10"/>
      <c r="BK65"/>
    </row>
    <row r="66" spans="1:63" x14ac:dyDescent="0.25">
      <c r="A66" s="1">
        <v>27</v>
      </c>
      <c r="B66" s="20" t="s">
        <v>78</v>
      </c>
      <c r="C66">
        <v>1</v>
      </c>
      <c r="D66" t="s">
        <v>106</v>
      </c>
      <c r="E66" t="str">
        <f t="shared" ref="E66:E73" si="6">CONCATENATE("Als onderdeel van het programma 'Netwerk op zijn Best' omvat dit groot onderhoudsproject op de ",B66," een grootschalige vernieuwing van het asfalt.")</f>
        <v>Als onderdeel van het programma 'Netwerk op zijn Best' omvat dit groot onderhoudsproject op de B14-C een grootschalige vernieuwing van het asfalt.</v>
      </c>
      <c r="F66" s="13" t="s">
        <v>135</v>
      </c>
      <c r="G66" s="2" t="s">
        <v>113</v>
      </c>
      <c r="H66" s="2">
        <v>1120</v>
      </c>
      <c r="I66" s="17">
        <v>1848000</v>
      </c>
      <c r="J66" s="2">
        <v>5.5</v>
      </c>
      <c r="K66" s="11">
        <f t="shared" si="0"/>
        <v>0.33333333333333331</v>
      </c>
      <c r="L66" s="2">
        <v>1</v>
      </c>
      <c r="M66" s="14">
        <f t="shared" si="1"/>
        <v>840000</v>
      </c>
      <c r="N66" s="14">
        <f t="shared" si="2"/>
        <v>672000</v>
      </c>
      <c r="O66" s="3">
        <v>2688000</v>
      </c>
      <c r="P66" s="10">
        <v>1</v>
      </c>
      <c r="Q66" s="22">
        <v>1</v>
      </c>
      <c r="R66" s="22">
        <v>1</v>
      </c>
      <c r="S66" s="22">
        <v>1</v>
      </c>
      <c r="T66" s="22">
        <v>1</v>
      </c>
      <c r="U66" s="22">
        <v>1</v>
      </c>
      <c r="V66" s="22">
        <v>1</v>
      </c>
      <c r="W66" s="22">
        <v>1</v>
      </c>
      <c r="X66" s="22">
        <v>1</v>
      </c>
      <c r="Y66" s="22">
        <v>1</v>
      </c>
      <c r="Z66" s="22">
        <v>1</v>
      </c>
      <c r="AA66" s="22">
        <v>1</v>
      </c>
      <c r="AB66" s="22">
        <v>1</v>
      </c>
      <c r="AC66" s="22">
        <v>1.2099833545744325</v>
      </c>
      <c r="AD66" s="22">
        <v>1.2099833545744325</v>
      </c>
      <c r="AE66" s="22">
        <v>1.419966709148865</v>
      </c>
      <c r="AF66" s="22">
        <v>1.2099833545744325</v>
      </c>
      <c r="AG66" s="22">
        <v>1</v>
      </c>
      <c r="AH66" s="22">
        <v>1</v>
      </c>
      <c r="AI66" s="22">
        <v>1</v>
      </c>
      <c r="AJ66" s="22">
        <v>1</v>
      </c>
      <c r="AK66" s="22">
        <v>1.2099833545744325</v>
      </c>
      <c r="AL66" s="22">
        <v>1</v>
      </c>
      <c r="AM66" s="22">
        <v>1.2099833545744325</v>
      </c>
      <c r="AN66" s="22">
        <v>1.2099833545744325</v>
      </c>
      <c r="AO66" s="22">
        <v>1.2099833545744325</v>
      </c>
      <c r="AP66" s="22">
        <v>1.419966709148865</v>
      </c>
      <c r="AQ66" s="22">
        <v>1</v>
      </c>
      <c r="AR66" s="22">
        <v>1.419966709148865</v>
      </c>
      <c r="AS66" s="22">
        <v>1.419966709148865</v>
      </c>
      <c r="AT66" s="22">
        <v>1.2099833545744325</v>
      </c>
      <c r="AU66" s="22">
        <v>1</v>
      </c>
      <c r="AV66" s="22">
        <v>1</v>
      </c>
      <c r="AW66" s="22">
        <v>1</v>
      </c>
      <c r="AX66" s="22">
        <v>1</v>
      </c>
      <c r="AY66" s="22">
        <v>1</v>
      </c>
      <c r="AZ66" s="22">
        <v>1</v>
      </c>
      <c r="BA66" s="22">
        <v>1</v>
      </c>
      <c r="BB66" s="22">
        <v>1.2099833545744325</v>
      </c>
      <c r="BC66" s="22">
        <v>1.2099833545744325</v>
      </c>
      <c r="BD66" s="22">
        <v>1</v>
      </c>
      <c r="BE66" s="22">
        <v>1</v>
      </c>
      <c r="BF66" s="22">
        <v>1</v>
      </c>
      <c r="BG66" s="22">
        <v>1</v>
      </c>
      <c r="BH66" s="22">
        <v>1.2099833545744325</v>
      </c>
      <c r="BI66" s="22"/>
      <c r="BJ66" s="10"/>
      <c r="BK66"/>
    </row>
    <row r="67" spans="1:63" x14ac:dyDescent="0.25">
      <c r="A67" s="1">
        <v>27</v>
      </c>
      <c r="B67" s="20" t="s">
        <v>78</v>
      </c>
      <c r="C67">
        <v>2</v>
      </c>
      <c r="D67" t="s">
        <v>107</v>
      </c>
      <c r="E67" t="str">
        <f t="shared" si="6"/>
        <v>Als onderdeel van het programma 'Netwerk op zijn Best' omvat dit groot onderhoudsproject op de B14-C een grootschalige vernieuwing van het asfalt.</v>
      </c>
      <c r="F67" s="13" t="s">
        <v>136</v>
      </c>
      <c r="G67" s="2" t="s">
        <v>113</v>
      </c>
      <c r="H67" s="2">
        <v>1680</v>
      </c>
      <c r="I67" s="17">
        <v>1176000</v>
      </c>
      <c r="J67" s="2">
        <v>5</v>
      </c>
      <c r="K67" s="11">
        <f t="shared" ref="K67:K81" si="7">1/3</f>
        <v>0.33333333333333331</v>
      </c>
      <c r="L67" s="2">
        <v>2</v>
      </c>
      <c r="M67" s="14">
        <f t="shared" ref="M67:M81" si="8">O67-I67</f>
        <v>1512000</v>
      </c>
      <c r="N67" s="14">
        <f t="shared" ref="N67:N81" si="9">0.8*M67</f>
        <v>1209600</v>
      </c>
      <c r="O67" s="3">
        <v>2688000</v>
      </c>
      <c r="P67" s="10">
        <v>1</v>
      </c>
      <c r="Q67" s="22">
        <v>1</v>
      </c>
      <c r="R67" s="22">
        <v>1</v>
      </c>
      <c r="S67" s="22">
        <v>1</v>
      </c>
      <c r="T67" s="22">
        <v>1</v>
      </c>
      <c r="U67" s="22">
        <v>1</v>
      </c>
      <c r="V67" s="22">
        <v>1</v>
      </c>
      <c r="W67" s="22">
        <v>1</v>
      </c>
      <c r="X67" s="22">
        <v>1</v>
      </c>
      <c r="Y67" s="22">
        <v>1</v>
      </c>
      <c r="Z67" s="22">
        <v>1</v>
      </c>
      <c r="AA67" s="22">
        <v>1</v>
      </c>
      <c r="AB67" s="22">
        <v>1</v>
      </c>
      <c r="AC67" s="22">
        <v>1.3149750318616489</v>
      </c>
      <c r="AD67" s="22">
        <v>1.3149750318616489</v>
      </c>
      <c r="AE67" s="22">
        <v>1.6299500637232978</v>
      </c>
      <c r="AF67" s="22">
        <v>1.3149750318616489</v>
      </c>
      <c r="AG67" s="22">
        <v>1</v>
      </c>
      <c r="AH67" s="22">
        <v>1</v>
      </c>
      <c r="AI67" s="22">
        <v>1</v>
      </c>
      <c r="AJ67" s="22">
        <v>1</v>
      </c>
      <c r="AK67" s="22">
        <v>1.3149750318616489</v>
      </c>
      <c r="AL67" s="22">
        <v>1</v>
      </c>
      <c r="AM67" s="22">
        <v>1.3149750318616489</v>
      </c>
      <c r="AN67" s="22">
        <v>1.3149750318616489</v>
      </c>
      <c r="AO67" s="22">
        <v>1.3149750318616489</v>
      </c>
      <c r="AP67" s="22">
        <v>1.6299500637232978</v>
      </c>
      <c r="AQ67" s="22">
        <v>1.6299500637232978</v>
      </c>
      <c r="AR67" s="22">
        <v>1.6299500637232978</v>
      </c>
      <c r="AS67" s="22">
        <v>1.6299500637232978</v>
      </c>
      <c r="AT67" s="22">
        <v>1.3149750318616489</v>
      </c>
      <c r="AU67" s="22">
        <v>1</v>
      </c>
      <c r="AV67" s="22">
        <v>1</v>
      </c>
      <c r="AW67" s="22">
        <v>1</v>
      </c>
      <c r="AX67" s="22">
        <v>1</v>
      </c>
      <c r="AY67" s="22">
        <v>1</v>
      </c>
      <c r="AZ67" s="22">
        <v>1</v>
      </c>
      <c r="BA67" s="22">
        <v>1</v>
      </c>
      <c r="BB67" s="22">
        <v>1.3149750318616489</v>
      </c>
      <c r="BC67" s="22">
        <v>1.3149750318616489</v>
      </c>
      <c r="BD67" s="22">
        <v>1</v>
      </c>
      <c r="BE67" s="22">
        <v>1</v>
      </c>
      <c r="BF67" s="22">
        <v>1</v>
      </c>
      <c r="BG67" s="22">
        <v>1</v>
      </c>
      <c r="BH67" s="22">
        <v>1.3149750318616489</v>
      </c>
      <c r="BI67" s="22"/>
      <c r="BJ67" s="10"/>
      <c r="BK67"/>
    </row>
    <row r="68" spans="1:63" x14ac:dyDescent="0.25">
      <c r="A68" s="1">
        <v>27</v>
      </c>
      <c r="B68" s="20" t="s">
        <v>78</v>
      </c>
      <c r="C68">
        <v>3</v>
      </c>
      <c r="D68" t="s">
        <v>108</v>
      </c>
      <c r="E68" t="str">
        <f t="shared" si="6"/>
        <v>Als onderdeel van het programma 'Netwerk op zijn Best' omvat dit groot onderhoudsproject op de B14-C een grootschalige vernieuwing van het asfalt.</v>
      </c>
      <c r="F68" s="13" t="s">
        <v>137</v>
      </c>
      <c r="G68" s="2" t="s">
        <v>113</v>
      </c>
      <c r="H68" s="2">
        <v>1400</v>
      </c>
      <c r="I68" s="17">
        <v>1848000</v>
      </c>
      <c r="J68" s="2">
        <v>5</v>
      </c>
      <c r="K68" s="11">
        <f t="shared" si="7"/>
        <v>0.33333333333333331</v>
      </c>
      <c r="L68" s="2">
        <v>0</v>
      </c>
      <c r="M68" s="14">
        <f t="shared" si="8"/>
        <v>840000</v>
      </c>
      <c r="N68" s="14">
        <f t="shared" si="9"/>
        <v>672000</v>
      </c>
      <c r="O68" s="3">
        <v>2688000</v>
      </c>
      <c r="P68" s="10">
        <v>1</v>
      </c>
      <c r="Q68" s="22">
        <v>1</v>
      </c>
      <c r="R68" s="22">
        <v>1</v>
      </c>
      <c r="S68" s="22">
        <v>1</v>
      </c>
      <c r="T68" s="22">
        <v>1</v>
      </c>
      <c r="U68" s="22">
        <v>1</v>
      </c>
      <c r="V68" s="22">
        <v>1</v>
      </c>
      <c r="W68" s="22">
        <v>1</v>
      </c>
      <c r="X68" s="22">
        <v>1</v>
      </c>
      <c r="Y68" s="22">
        <v>1</v>
      </c>
      <c r="Z68" s="22">
        <v>1</v>
      </c>
      <c r="AA68" s="22">
        <v>1</v>
      </c>
      <c r="AB68" s="22">
        <v>1</v>
      </c>
      <c r="AC68" s="22">
        <v>1.2624791932180406</v>
      </c>
      <c r="AD68" s="22">
        <v>1.2624791932180406</v>
      </c>
      <c r="AE68" s="22">
        <v>1.5249583864360814</v>
      </c>
      <c r="AF68" s="22">
        <v>1.2624791932180406</v>
      </c>
      <c r="AG68" s="22">
        <v>1</v>
      </c>
      <c r="AH68" s="22">
        <v>1</v>
      </c>
      <c r="AI68" s="22">
        <v>1</v>
      </c>
      <c r="AJ68" s="22">
        <v>1</v>
      </c>
      <c r="AK68" s="22">
        <v>1.2624791932180406</v>
      </c>
      <c r="AL68" s="22">
        <v>1</v>
      </c>
      <c r="AM68" s="22">
        <v>1.2624791932180406</v>
      </c>
      <c r="AN68" s="22">
        <v>1.2624791932180406</v>
      </c>
      <c r="AO68" s="22">
        <v>1.2624791932180406</v>
      </c>
      <c r="AP68" s="22">
        <v>1.5249583864360814</v>
      </c>
      <c r="AQ68" s="22">
        <v>1.2624791932180406</v>
      </c>
      <c r="AR68" s="22">
        <v>1.5249583864360814</v>
      </c>
      <c r="AS68" s="22">
        <v>1.5249583864360814</v>
      </c>
      <c r="AT68" s="22">
        <v>1.2624791932180406</v>
      </c>
      <c r="AU68" s="22">
        <v>1</v>
      </c>
      <c r="AV68" s="22">
        <v>1</v>
      </c>
      <c r="AW68" s="22">
        <v>1</v>
      </c>
      <c r="AX68" s="22">
        <v>1</v>
      </c>
      <c r="AY68" s="22">
        <v>1</v>
      </c>
      <c r="AZ68" s="22">
        <v>1</v>
      </c>
      <c r="BA68" s="22">
        <v>1</v>
      </c>
      <c r="BB68" s="22">
        <v>1.2624791932180406</v>
      </c>
      <c r="BC68" s="22">
        <v>1.2624791932180406</v>
      </c>
      <c r="BD68" s="22">
        <v>1</v>
      </c>
      <c r="BE68" s="22">
        <v>1</v>
      </c>
      <c r="BF68" s="22">
        <v>1</v>
      </c>
      <c r="BG68" s="22">
        <v>1</v>
      </c>
      <c r="BH68" s="22">
        <v>1.2624791932180406</v>
      </c>
      <c r="BI68" s="22"/>
      <c r="BJ68" s="10"/>
      <c r="BK68"/>
    </row>
    <row r="69" spans="1:63" x14ac:dyDescent="0.25">
      <c r="A69" s="1">
        <v>27</v>
      </c>
      <c r="B69" s="20" t="s">
        <v>78</v>
      </c>
      <c r="C69">
        <v>4</v>
      </c>
      <c r="D69" t="s">
        <v>109</v>
      </c>
      <c r="E69" t="str">
        <f t="shared" si="6"/>
        <v>Als onderdeel van het programma 'Netwerk op zijn Best' omvat dit groot onderhoudsproject op de B14-C een grootschalige vernieuwing van het asfalt.</v>
      </c>
      <c r="F69" s="13" t="s">
        <v>138</v>
      </c>
      <c r="G69" s="2" t="s">
        <v>113</v>
      </c>
      <c r="H69" s="2">
        <v>1680</v>
      </c>
      <c r="I69" s="17">
        <v>1680000</v>
      </c>
      <c r="J69" s="2">
        <v>3.5</v>
      </c>
      <c r="K69" s="11">
        <f t="shared" si="7"/>
        <v>0.33333333333333331</v>
      </c>
      <c r="L69" s="2">
        <v>1</v>
      </c>
      <c r="M69" s="14">
        <f t="shared" si="8"/>
        <v>1008000</v>
      </c>
      <c r="N69" s="14">
        <f t="shared" si="9"/>
        <v>806400</v>
      </c>
      <c r="O69" s="3">
        <v>2688000</v>
      </c>
      <c r="P69" s="10">
        <v>1</v>
      </c>
      <c r="Q69" s="22">
        <v>1</v>
      </c>
      <c r="R69" s="22">
        <v>1</v>
      </c>
      <c r="S69" s="22">
        <v>1</v>
      </c>
      <c r="T69" s="22">
        <v>1</v>
      </c>
      <c r="U69" s="22">
        <v>1</v>
      </c>
      <c r="V69" s="22">
        <v>1</v>
      </c>
      <c r="W69" s="22">
        <v>1</v>
      </c>
      <c r="X69" s="22">
        <v>1</v>
      </c>
      <c r="Y69" s="22">
        <v>1</v>
      </c>
      <c r="Z69" s="22">
        <v>1</v>
      </c>
      <c r="AA69" s="22">
        <v>1</v>
      </c>
      <c r="AB69" s="22">
        <v>1</v>
      </c>
      <c r="AC69" s="22">
        <v>1.3149750318616489</v>
      </c>
      <c r="AD69" s="22">
        <v>1.3149750318616489</v>
      </c>
      <c r="AE69" s="22">
        <v>1.6299500637232978</v>
      </c>
      <c r="AF69" s="22">
        <v>1.3149750318616489</v>
      </c>
      <c r="AG69" s="22">
        <v>1</v>
      </c>
      <c r="AH69" s="22">
        <v>1</v>
      </c>
      <c r="AI69" s="22">
        <v>1</v>
      </c>
      <c r="AJ69" s="22">
        <v>1</v>
      </c>
      <c r="AK69" s="22">
        <v>1.3149750318616489</v>
      </c>
      <c r="AL69" s="22">
        <v>1</v>
      </c>
      <c r="AM69" s="22">
        <v>1.3149750318616489</v>
      </c>
      <c r="AN69" s="22">
        <v>1.3149750318616489</v>
      </c>
      <c r="AO69" s="22">
        <v>1.3149750318616489</v>
      </c>
      <c r="AP69" s="22">
        <v>1.6299500637232978</v>
      </c>
      <c r="AQ69" s="22">
        <v>1.6299500637232978</v>
      </c>
      <c r="AR69" s="22">
        <v>1.6299500637232978</v>
      </c>
      <c r="AS69" s="22">
        <v>1.6299500637232978</v>
      </c>
      <c r="AT69" s="22">
        <v>1.3149750318616489</v>
      </c>
      <c r="AU69" s="22">
        <v>1</v>
      </c>
      <c r="AV69" s="22">
        <v>1</v>
      </c>
      <c r="AW69" s="22">
        <v>1</v>
      </c>
      <c r="AX69" s="22">
        <v>1</v>
      </c>
      <c r="AY69" s="22">
        <v>1</v>
      </c>
      <c r="AZ69" s="22">
        <v>1</v>
      </c>
      <c r="BA69" s="22">
        <v>1</v>
      </c>
      <c r="BB69" s="22">
        <v>1.3149750318616489</v>
      </c>
      <c r="BC69" s="22">
        <v>1.3149750318616489</v>
      </c>
      <c r="BD69" s="22">
        <v>1</v>
      </c>
      <c r="BE69" s="22">
        <v>1</v>
      </c>
      <c r="BF69" s="22">
        <v>1</v>
      </c>
      <c r="BG69" s="22">
        <v>1</v>
      </c>
      <c r="BH69" s="22">
        <v>1.3149750318616489</v>
      </c>
      <c r="BI69" s="22"/>
      <c r="BJ69" s="10"/>
      <c r="BK69"/>
    </row>
    <row r="70" spans="1:63" x14ac:dyDescent="0.25">
      <c r="A70" s="1">
        <v>28</v>
      </c>
      <c r="B70" s="19" t="s">
        <v>79</v>
      </c>
      <c r="C70">
        <v>1</v>
      </c>
      <c r="D70" t="s">
        <v>106</v>
      </c>
      <c r="E70" t="str">
        <f t="shared" si="6"/>
        <v>Als onderdeel van het programma 'Netwerk op zijn Best' omvat dit groot onderhoudsproject op de B15-A een grootschalige vernieuwing van het asfalt.</v>
      </c>
      <c r="F70" s="13" t="s">
        <v>135</v>
      </c>
      <c r="G70" s="2" t="s">
        <v>113</v>
      </c>
      <c r="H70" s="2">
        <v>1760</v>
      </c>
      <c r="I70" s="17">
        <v>5778000</v>
      </c>
      <c r="J70" s="2">
        <v>8.8000000000000007</v>
      </c>
      <c r="K70" s="11">
        <f t="shared" si="7"/>
        <v>0.33333333333333331</v>
      </c>
      <c r="L70" s="2">
        <v>2</v>
      </c>
      <c r="M70" s="14">
        <f t="shared" si="8"/>
        <v>2630000</v>
      </c>
      <c r="N70" s="14">
        <f t="shared" si="9"/>
        <v>2104000</v>
      </c>
      <c r="O70" s="3">
        <v>8408000</v>
      </c>
      <c r="P70" s="10">
        <v>1</v>
      </c>
      <c r="Q70" s="22">
        <v>1</v>
      </c>
      <c r="R70" s="22">
        <v>1</v>
      </c>
      <c r="S70" s="22">
        <v>1</v>
      </c>
      <c r="T70" s="22">
        <v>1</v>
      </c>
      <c r="U70" s="22">
        <v>1</v>
      </c>
      <c r="V70" s="22">
        <v>1</v>
      </c>
      <c r="W70" s="22">
        <v>1</v>
      </c>
      <c r="X70" s="22">
        <v>1</v>
      </c>
      <c r="Y70" s="22">
        <v>1</v>
      </c>
      <c r="Z70" s="22">
        <v>1</v>
      </c>
      <c r="AA70" s="22">
        <v>1</v>
      </c>
      <c r="AB70" s="22">
        <v>1.3299738429026797</v>
      </c>
      <c r="AC70" s="22">
        <v>1.6599476858053595</v>
      </c>
      <c r="AD70" s="22">
        <v>1</v>
      </c>
      <c r="AE70" s="22">
        <v>1.3299738429026797</v>
      </c>
      <c r="AF70" s="22">
        <v>1.3299738429026797</v>
      </c>
      <c r="AG70" s="22">
        <v>1</v>
      </c>
      <c r="AH70" s="22">
        <v>1</v>
      </c>
      <c r="AI70" s="22">
        <v>1</v>
      </c>
      <c r="AJ70" s="22">
        <v>1</v>
      </c>
      <c r="AK70" s="22">
        <v>1.3299738429026797</v>
      </c>
      <c r="AL70" s="22">
        <v>1</v>
      </c>
      <c r="AM70" s="22">
        <v>1.3299738429026797</v>
      </c>
      <c r="AN70" s="22">
        <v>1.3299738429026797</v>
      </c>
      <c r="AO70" s="22">
        <v>1.3299738429026797</v>
      </c>
      <c r="AP70" s="22">
        <v>1.6599476858053595</v>
      </c>
      <c r="AQ70" s="22">
        <v>1.6599476858053595</v>
      </c>
      <c r="AR70" s="22">
        <v>1</v>
      </c>
      <c r="AS70" s="22">
        <v>1.6599476858053595</v>
      </c>
      <c r="AT70" s="22">
        <v>1.3299738429026797</v>
      </c>
      <c r="AU70" s="22">
        <v>1</v>
      </c>
      <c r="AV70" s="22">
        <v>1</v>
      </c>
      <c r="AW70" s="22">
        <v>1</v>
      </c>
      <c r="AX70" s="22">
        <v>1</v>
      </c>
      <c r="AY70" s="22">
        <v>1</v>
      </c>
      <c r="AZ70" s="22">
        <v>1.3299738429026797</v>
      </c>
      <c r="BA70" s="22">
        <v>1.3299738429026797</v>
      </c>
      <c r="BB70" s="22">
        <v>1</v>
      </c>
      <c r="BC70" s="22">
        <v>1</v>
      </c>
      <c r="BD70" s="22">
        <v>1</v>
      </c>
      <c r="BE70" s="22">
        <v>1</v>
      </c>
      <c r="BF70" s="22">
        <v>1</v>
      </c>
      <c r="BG70" s="22">
        <v>1</v>
      </c>
      <c r="BH70" s="22">
        <v>1.3299738429026797</v>
      </c>
      <c r="BI70" s="22"/>
      <c r="BJ70" s="22"/>
      <c r="BK70"/>
    </row>
    <row r="71" spans="1:63" x14ac:dyDescent="0.25">
      <c r="A71" s="1">
        <v>28</v>
      </c>
      <c r="B71" s="19" t="s">
        <v>79</v>
      </c>
      <c r="C71">
        <v>2</v>
      </c>
      <c r="D71" t="s">
        <v>107</v>
      </c>
      <c r="E71" t="str">
        <f t="shared" si="6"/>
        <v>Als onderdeel van het programma 'Netwerk op zijn Best' omvat dit groot onderhoudsproject op de B15-A een grootschalige vernieuwing van het asfalt.</v>
      </c>
      <c r="F71" s="13" t="s">
        <v>136</v>
      </c>
      <c r="G71" s="2" t="s">
        <v>113</v>
      </c>
      <c r="H71" s="2">
        <v>2640</v>
      </c>
      <c r="I71" s="17">
        <v>3676500</v>
      </c>
      <c r="J71" s="2">
        <v>8</v>
      </c>
      <c r="K71" s="11">
        <f t="shared" si="7"/>
        <v>0.33333333333333331</v>
      </c>
      <c r="L71" s="2">
        <v>4</v>
      </c>
      <c r="M71" s="14">
        <f t="shared" si="8"/>
        <v>4731500</v>
      </c>
      <c r="N71" s="14">
        <f t="shared" si="9"/>
        <v>3785200</v>
      </c>
      <c r="O71" s="3">
        <v>8408000</v>
      </c>
      <c r="P71" s="10">
        <v>1</v>
      </c>
      <c r="Q71" s="22">
        <v>1</v>
      </c>
      <c r="R71" s="22">
        <v>1</v>
      </c>
      <c r="S71" s="22">
        <v>1</v>
      </c>
      <c r="T71" s="22">
        <v>1</v>
      </c>
      <c r="U71" s="22">
        <v>1</v>
      </c>
      <c r="V71" s="22">
        <v>1</v>
      </c>
      <c r="W71" s="22">
        <v>1</v>
      </c>
      <c r="X71" s="22">
        <v>1</v>
      </c>
      <c r="Y71" s="22">
        <v>1</v>
      </c>
      <c r="Z71" s="22">
        <v>1</v>
      </c>
      <c r="AA71" s="22">
        <v>1</v>
      </c>
      <c r="AB71" s="22">
        <v>1.4949607643540195</v>
      </c>
      <c r="AC71" s="22">
        <v>1.9899215287080392</v>
      </c>
      <c r="AD71" s="22">
        <v>1</v>
      </c>
      <c r="AE71" s="22">
        <v>1.4949607643540195</v>
      </c>
      <c r="AF71" s="22">
        <v>1.4949607643540195</v>
      </c>
      <c r="AG71" s="22">
        <v>1</v>
      </c>
      <c r="AH71" s="22">
        <v>1</v>
      </c>
      <c r="AI71" s="22">
        <v>1</v>
      </c>
      <c r="AJ71" s="22">
        <v>1</v>
      </c>
      <c r="AK71" s="22">
        <v>1.4949607643540195</v>
      </c>
      <c r="AL71" s="22">
        <v>1</v>
      </c>
      <c r="AM71" s="22">
        <v>1.4949607643540195</v>
      </c>
      <c r="AN71" s="22">
        <v>1.4949607643540195</v>
      </c>
      <c r="AO71" s="22">
        <v>1.4949607643540195</v>
      </c>
      <c r="AP71" s="22">
        <v>1.9899215287080392</v>
      </c>
      <c r="AQ71" s="22">
        <v>1.9899215287080392</v>
      </c>
      <c r="AR71" s="22">
        <v>1.9899215287080392</v>
      </c>
      <c r="AS71" s="22">
        <v>1.9899215287080392</v>
      </c>
      <c r="AT71" s="22">
        <v>1.4949607643540195</v>
      </c>
      <c r="AU71" s="22">
        <v>1</v>
      </c>
      <c r="AV71" s="22">
        <v>1</v>
      </c>
      <c r="AW71" s="22">
        <v>1</v>
      </c>
      <c r="AX71" s="22">
        <v>1</v>
      </c>
      <c r="AY71" s="22">
        <v>1</v>
      </c>
      <c r="AZ71" s="22">
        <v>1.4949607643540195</v>
      </c>
      <c r="BA71" s="22">
        <v>1.4949607643540195</v>
      </c>
      <c r="BB71" s="22">
        <v>1</v>
      </c>
      <c r="BC71" s="22">
        <v>1</v>
      </c>
      <c r="BD71" s="22">
        <v>1</v>
      </c>
      <c r="BE71" s="22">
        <v>1</v>
      </c>
      <c r="BF71" s="22">
        <v>1</v>
      </c>
      <c r="BG71" s="22">
        <v>1</v>
      </c>
      <c r="BH71" s="22">
        <v>1.4949607643540195</v>
      </c>
      <c r="BI71" s="22"/>
      <c r="BJ71" s="22"/>
      <c r="BK71"/>
    </row>
    <row r="72" spans="1:63" x14ac:dyDescent="0.25">
      <c r="A72" s="1">
        <v>28</v>
      </c>
      <c r="B72" s="19" t="s">
        <v>79</v>
      </c>
      <c r="C72">
        <v>3</v>
      </c>
      <c r="D72" t="s">
        <v>108</v>
      </c>
      <c r="E72" t="str">
        <f t="shared" si="6"/>
        <v>Als onderdeel van het programma 'Netwerk op zijn Best' omvat dit groot onderhoudsproject op de B15-A een grootschalige vernieuwing van het asfalt.</v>
      </c>
      <c r="F72" s="13" t="s">
        <v>137</v>
      </c>
      <c r="G72" s="2" t="s">
        <v>113</v>
      </c>
      <c r="H72" s="2">
        <v>2200</v>
      </c>
      <c r="I72" s="17">
        <v>5778300.0000000009</v>
      </c>
      <c r="J72" s="2">
        <v>8</v>
      </c>
      <c r="K72" s="11">
        <f t="shared" si="7"/>
        <v>0.33333333333333331</v>
      </c>
      <c r="L72" s="2">
        <v>0</v>
      </c>
      <c r="M72" s="14">
        <f t="shared" si="8"/>
        <v>2629699.9999999991</v>
      </c>
      <c r="N72" s="14">
        <f t="shared" si="9"/>
        <v>2103759.9999999995</v>
      </c>
      <c r="O72" s="14">
        <v>8408000</v>
      </c>
      <c r="P72" s="10">
        <v>1</v>
      </c>
      <c r="Q72" s="22">
        <v>1</v>
      </c>
      <c r="R72" s="22">
        <v>1</v>
      </c>
      <c r="S72" s="22">
        <v>1</v>
      </c>
      <c r="T72" s="22">
        <v>1</v>
      </c>
      <c r="U72" s="22">
        <v>1</v>
      </c>
      <c r="V72" s="22">
        <v>1</v>
      </c>
      <c r="W72" s="22">
        <v>1</v>
      </c>
      <c r="X72" s="22">
        <v>1</v>
      </c>
      <c r="Y72" s="22">
        <v>1</v>
      </c>
      <c r="Z72" s="22">
        <v>1</v>
      </c>
      <c r="AA72" s="22">
        <v>1</v>
      </c>
      <c r="AB72" s="22">
        <v>1.4124673036283497</v>
      </c>
      <c r="AC72" s="22">
        <v>1.8249346072566994</v>
      </c>
      <c r="AD72" s="22">
        <v>1</v>
      </c>
      <c r="AE72" s="22">
        <v>1.4124673036283497</v>
      </c>
      <c r="AF72" s="22">
        <v>1.4124673036283497</v>
      </c>
      <c r="AG72" s="22">
        <v>1</v>
      </c>
      <c r="AH72" s="22">
        <v>1</v>
      </c>
      <c r="AI72" s="22">
        <v>1</v>
      </c>
      <c r="AJ72" s="22">
        <v>1</v>
      </c>
      <c r="AK72" s="22">
        <v>1.4124673036283497</v>
      </c>
      <c r="AL72" s="22">
        <v>1</v>
      </c>
      <c r="AM72" s="22">
        <v>1.4124673036283497</v>
      </c>
      <c r="AN72" s="22">
        <v>1.4124673036283497</v>
      </c>
      <c r="AO72" s="22">
        <v>1.4124673036283497</v>
      </c>
      <c r="AP72" s="22">
        <v>1.8249346072566994</v>
      </c>
      <c r="AQ72" s="22">
        <v>1.8249346072566994</v>
      </c>
      <c r="AR72" s="22">
        <v>1.4124673036283497</v>
      </c>
      <c r="AS72" s="22">
        <v>1.8249346072566994</v>
      </c>
      <c r="AT72" s="22">
        <v>1.4124673036283497</v>
      </c>
      <c r="AU72" s="22">
        <v>1</v>
      </c>
      <c r="AV72" s="22">
        <v>1</v>
      </c>
      <c r="AW72" s="22">
        <v>1</v>
      </c>
      <c r="AX72" s="22">
        <v>1</v>
      </c>
      <c r="AY72" s="22">
        <v>1</v>
      </c>
      <c r="AZ72" s="22">
        <v>1.4124673036283497</v>
      </c>
      <c r="BA72" s="22">
        <v>1.4124673036283497</v>
      </c>
      <c r="BB72" s="22">
        <v>1</v>
      </c>
      <c r="BC72" s="22">
        <v>1</v>
      </c>
      <c r="BD72" s="22">
        <v>1</v>
      </c>
      <c r="BE72" s="22">
        <v>1</v>
      </c>
      <c r="BF72" s="22">
        <v>1</v>
      </c>
      <c r="BG72" s="22">
        <v>1</v>
      </c>
      <c r="BH72" s="22">
        <v>1.4124673036283497</v>
      </c>
      <c r="BI72" s="22"/>
      <c r="BJ72" s="22"/>
      <c r="BK72"/>
    </row>
    <row r="73" spans="1:63" x14ac:dyDescent="0.25">
      <c r="A73" s="1">
        <v>28</v>
      </c>
      <c r="B73" s="19" t="s">
        <v>79</v>
      </c>
      <c r="C73">
        <v>4</v>
      </c>
      <c r="D73" t="s">
        <v>109</v>
      </c>
      <c r="E73" t="str">
        <f t="shared" si="6"/>
        <v>Als onderdeel van het programma 'Netwerk op zijn Best' omvat dit groot onderhoudsproject op de B15-A een grootschalige vernieuwing van het asfalt.</v>
      </c>
      <c r="F73" s="13" t="s">
        <v>138</v>
      </c>
      <c r="G73" s="2" t="s">
        <v>113</v>
      </c>
      <c r="H73" s="2">
        <v>2640</v>
      </c>
      <c r="I73" s="17">
        <v>5253000</v>
      </c>
      <c r="J73" s="2">
        <v>5.6</v>
      </c>
      <c r="K73" s="11">
        <f t="shared" si="7"/>
        <v>0.33333333333333331</v>
      </c>
      <c r="L73" s="2">
        <v>2</v>
      </c>
      <c r="M73" s="14">
        <f t="shared" si="8"/>
        <v>3155000</v>
      </c>
      <c r="N73" s="14">
        <f t="shared" si="9"/>
        <v>2524000</v>
      </c>
      <c r="O73" s="3">
        <v>8408000</v>
      </c>
      <c r="P73" s="10">
        <v>1</v>
      </c>
      <c r="Q73" s="22">
        <v>1</v>
      </c>
      <c r="R73" s="22">
        <v>1</v>
      </c>
      <c r="S73" s="22">
        <v>1</v>
      </c>
      <c r="T73" s="22">
        <v>1</v>
      </c>
      <c r="U73" s="22">
        <v>1</v>
      </c>
      <c r="V73" s="22">
        <v>1</v>
      </c>
      <c r="W73" s="22">
        <v>1</v>
      </c>
      <c r="X73" s="22">
        <v>1</v>
      </c>
      <c r="Y73" s="22">
        <v>1</v>
      </c>
      <c r="Z73" s="22">
        <v>1</v>
      </c>
      <c r="AA73" s="22">
        <v>1</v>
      </c>
      <c r="AB73" s="22">
        <v>1.4949607643540195</v>
      </c>
      <c r="AC73" s="22">
        <v>1.9899215287080392</v>
      </c>
      <c r="AD73" s="22">
        <v>1</v>
      </c>
      <c r="AE73" s="22">
        <v>1.4949607643540195</v>
      </c>
      <c r="AF73" s="22">
        <v>1.4949607643540195</v>
      </c>
      <c r="AG73" s="22">
        <v>1</v>
      </c>
      <c r="AH73" s="22">
        <v>1</v>
      </c>
      <c r="AI73" s="22">
        <v>1</v>
      </c>
      <c r="AJ73" s="22">
        <v>1</v>
      </c>
      <c r="AK73" s="22">
        <v>1.4949607643540195</v>
      </c>
      <c r="AL73" s="22">
        <v>1</v>
      </c>
      <c r="AM73" s="22">
        <v>1.4949607643540195</v>
      </c>
      <c r="AN73" s="22">
        <v>1.4949607643540195</v>
      </c>
      <c r="AO73" s="22">
        <v>1.4949607643540195</v>
      </c>
      <c r="AP73" s="22">
        <v>1.9899215287080392</v>
      </c>
      <c r="AQ73" s="22">
        <v>1.9899215287080392</v>
      </c>
      <c r="AR73" s="22">
        <v>1.9899215287080392</v>
      </c>
      <c r="AS73" s="22">
        <v>1.9899215287080392</v>
      </c>
      <c r="AT73" s="22">
        <v>1.4949607643540195</v>
      </c>
      <c r="AU73" s="22">
        <v>1</v>
      </c>
      <c r="AV73" s="22">
        <v>1</v>
      </c>
      <c r="AW73" s="22">
        <v>1</v>
      </c>
      <c r="AX73" s="22">
        <v>1</v>
      </c>
      <c r="AY73" s="22">
        <v>1</v>
      </c>
      <c r="AZ73" s="22">
        <v>1.4949607643540195</v>
      </c>
      <c r="BA73" s="22">
        <v>1.4949607643540195</v>
      </c>
      <c r="BB73" s="22">
        <v>1</v>
      </c>
      <c r="BC73" s="22">
        <v>1</v>
      </c>
      <c r="BD73" s="22">
        <v>1</v>
      </c>
      <c r="BE73" s="22">
        <v>1</v>
      </c>
      <c r="BF73" s="22">
        <v>1</v>
      </c>
      <c r="BG73" s="22">
        <v>1</v>
      </c>
      <c r="BH73" s="22">
        <v>1.4949607643540195</v>
      </c>
      <c r="BI73" s="22"/>
      <c r="BJ73" s="22"/>
      <c r="BK73"/>
    </row>
    <row r="74" spans="1:63" x14ac:dyDescent="0.25">
      <c r="A74" s="1">
        <v>29</v>
      </c>
      <c r="B74" t="s">
        <v>80</v>
      </c>
      <c r="C74">
        <v>1</v>
      </c>
      <c r="D74" t="s">
        <v>106</v>
      </c>
      <c r="E74" t="str">
        <f>CONCATENATE("Als onderdeel van het programma 'Netwerk op zijn Best' omvat dit groot onderhoudsproject op de ",B74," een rijbaanverbreding van 3 naar 4 rijstroken op het knooppunt tussen de ",B74," en de M5.")</f>
        <v>Als onderdeel van het programma 'Netwerk op zijn Best' omvat dit groot onderhoudsproject op de B15-B een rijbaanverbreding van 3 naar 4 rijstroken op het knooppunt tussen de B15-B en de M5.</v>
      </c>
      <c r="F74" s="13" t="s">
        <v>135</v>
      </c>
      <c r="G74" s="2" t="s">
        <v>112</v>
      </c>
      <c r="H74" s="2">
        <v>3040</v>
      </c>
      <c r="I74" s="17">
        <v>4618500</v>
      </c>
      <c r="J74" s="2">
        <v>14.3</v>
      </c>
      <c r="K74" s="11">
        <f t="shared" si="7"/>
        <v>0.33333333333333331</v>
      </c>
      <c r="L74" s="2">
        <v>2</v>
      </c>
      <c r="M74" s="14">
        <f t="shared" si="8"/>
        <v>2103500</v>
      </c>
      <c r="N74" s="14">
        <f t="shared" si="9"/>
        <v>1682800</v>
      </c>
      <c r="O74" s="3">
        <v>6722000</v>
      </c>
      <c r="P74" s="10">
        <v>1</v>
      </c>
      <c r="Q74" s="22">
        <v>1</v>
      </c>
      <c r="R74" s="22">
        <v>1</v>
      </c>
      <c r="S74" s="22">
        <v>1</v>
      </c>
      <c r="T74" s="22">
        <v>1.3141519078074428</v>
      </c>
      <c r="U74" s="22">
        <v>1.3141519078074428</v>
      </c>
      <c r="V74" s="22">
        <v>1</v>
      </c>
      <c r="W74" s="22">
        <v>1.3141519078074428</v>
      </c>
      <c r="X74" s="22">
        <v>1</v>
      </c>
      <c r="Y74" s="22">
        <v>1</v>
      </c>
      <c r="Z74" s="22">
        <v>1</v>
      </c>
      <c r="AA74" s="22">
        <v>1</v>
      </c>
      <c r="AB74" s="22">
        <v>1</v>
      </c>
      <c r="AC74" s="22">
        <v>1.3141519078074428</v>
      </c>
      <c r="AD74" s="22">
        <v>1</v>
      </c>
      <c r="AE74" s="22">
        <v>1.3141519078074428</v>
      </c>
      <c r="AF74" s="22">
        <v>1.6283038156148857</v>
      </c>
      <c r="AG74" s="22">
        <v>1.3141519078074428</v>
      </c>
      <c r="AH74" s="22">
        <v>1</v>
      </c>
      <c r="AI74" s="22">
        <v>1.3141519078074428</v>
      </c>
      <c r="AJ74" s="22">
        <v>1.3141519078074428</v>
      </c>
      <c r="AK74" s="22">
        <v>1.6283038156148857</v>
      </c>
      <c r="AL74" s="22">
        <v>1</v>
      </c>
      <c r="AM74" s="22">
        <v>1.3141519078074428</v>
      </c>
      <c r="AN74" s="22">
        <v>1.3141519078074428</v>
      </c>
      <c r="AO74" s="22">
        <v>1.3141519078074428</v>
      </c>
      <c r="AP74" s="22">
        <v>1.6283038156148857</v>
      </c>
      <c r="AQ74" s="22">
        <v>1.6283038156148857</v>
      </c>
      <c r="AR74" s="22">
        <v>1.6283038156148857</v>
      </c>
      <c r="AS74" s="22">
        <v>1</v>
      </c>
      <c r="AT74" s="22">
        <v>1.6283038156148857</v>
      </c>
      <c r="AU74" s="22">
        <v>1</v>
      </c>
      <c r="AV74" s="22">
        <v>1</v>
      </c>
      <c r="AW74" s="22">
        <v>1</v>
      </c>
      <c r="AX74" s="22">
        <v>1</v>
      </c>
      <c r="AY74" s="22">
        <v>1</v>
      </c>
      <c r="AZ74" s="22">
        <v>1</v>
      </c>
      <c r="BA74" s="22">
        <v>1</v>
      </c>
      <c r="BB74" s="22">
        <v>1</v>
      </c>
      <c r="BC74" s="22">
        <v>1</v>
      </c>
      <c r="BD74" s="22">
        <v>1</v>
      </c>
      <c r="BE74" s="21">
        <v>1.3141519078074428</v>
      </c>
      <c r="BF74" s="22">
        <v>1</v>
      </c>
      <c r="BG74" s="22">
        <v>1</v>
      </c>
      <c r="BH74" s="22">
        <v>1.3141519078074428</v>
      </c>
      <c r="BI74" s="22"/>
      <c r="BJ74" s="10"/>
      <c r="BK74"/>
    </row>
    <row r="75" spans="1:63" x14ac:dyDescent="0.25">
      <c r="A75" s="1">
        <v>29</v>
      </c>
      <c r="B75" t="s">
        <v>80</v>
      </c>
      <c r="C75">
        <v>2</v>
      </c>
      <c r="D75" t="s">
        <v>107</v>
      </c>
      <c r="E75" t="str">
        <f>CONCATENATE("Als onderdeel van het programma 'Netwerk op zijn Best' omvat dit groot onderhoudsproject op de ",B75," een rijbaanverbreding van 3 naar 4 rijstroken op het knooppunt tussen de ",B75," en de M5.")</f>
        <v>Als onderdeel van het programma 'Netwerk op zijn Best' omvat dit groot onderhoudsproject op de B15-B een rijbaanverbreding van 3 naar 4 rijstroken op het knooppunt tussen de B15-B en de M5.</v>
      </c>
      <c r="F75" s="13" t="s">
        <v>136</v>
      </c>
      <c r="G75" s="2" t="s">
        <v>112</v>
      </c>
      <c r="H75" s="2">
        <v>4560</v>
      </c>
      <c r="I75" s="17">
        <v>2938500</v>
      </c>
      <c r="J75" s="2">
        <v>13</v>
      </c>
      <c r="K75" s="11">
        <f t="shared" si="7"/>
        <v>0.33333333333333331</v>
      </c>
      <c r="L75" s="2">
        <v>4</v>
      </c>
      <c r="M75" s="14">
        <f t="shared" si="8"/>
        <v>3783500</v>
      </c>
      <c r="N75" s="14">
        <f t="shared" si="9"/>
        <v>3026800</v>
      </c>
      <c r="O75" s="3">
        <v>6722000</v>
      </c>
      <c r="P75" s="10">
        <v>1</v>
      </c>
      <c r="Q75" s="22">
        <v>1</v>
      </c>
      <c r="R75" s="22">
        <v>1</v>
      </c>
      <c r="S75" s="22">
        <v>1</v>
      </c>
      <c r="T75" s="22">
        <v>1.4712278617111645</v>
      </c>
      <c r="U75" s="22">
        <v>1.4712278617111645</v>
      </c>
      <c r="V75" s="22">
        <v>1</v>
      </c>
      <c r="W75" s="22">
        <v>1.4712278617111645</v>
      </c>
      <c r="X75" s="22">
        <v>1</v>
      </c>
      <c r="Y75" s="22">
        <v>1</v>
      </c>
      <c r="Z75" s="22">
        <v>1</v>
      </c>
      <c r="AA75" s="22">
        <v>1</v>
      </c>
      <c r="AB75" s="22">
        <v>1</v>
      </c>
      <c r="AC75" s="22">
        <v>1.4712278617111645</v>
      </c>
      <c r="AD75" s="22">
        <v>1</v>
      </c>
      <c r="AE75" s="22">
        <v>1.4712278617111645</v>
      </c>
      <c r="AF75" s="22">
        <v>1.9424557234223288</v>
      </c>
      <c r="AG75" s="22">
        <v>1.4712278617111645</v>
      </c>
      <c r="AH75" s="22">
        <v>1</v>
      </c>
      <c r="AI75" s="22">
        <v>1.4712278617111645</v>
      </c>
      <c r="AJ75" s="22">
        <v>1.4712278617111645</v>
      </c>
      <c r="AK75" s="22">
        <v>1.9424557234223288</v>
      </c>
      <c r="AL75" s="22">
        <v>1</v>
      </c>
      <c r="AM75" s="22">
        <v>1.4712278617111645</v>
      </c>
      <c r="AN75" s="22">
        <v>1.4712278617111645</v>
      </c>
      <c r="AO75" s="22">
        <v>1.4712278617111645</v>
      </c>
      <c r="AP75" s="22">
        <v>1.9424557234223288</v>
      </c>
      <c r="AQ75" s="22">
        <v>1.9424557234223288</v>
      </c>
      <c r="AR75" s="22">
        <v>1.9424557234223288</v>
      </c>
      <c r="AS75" s="22">
        <v>1.9424557234223288</v>
      </c>
      <c r="AT75" s="22">
        <v>1.9424557234223288</v>
      </c>
      <c r="AU75" s="22">
        <v>1</v>
      </c>
      <c r="AV75" s="22">
        <v>1</v>
      </c>
      <c r="AW75" s="22">
        <v>1</v>
      </c>
      <c r="AX75" s="22">
        <v>1</v>
      </c>
      <c r="AY75" s="22">
        <v>1</v>
      </c>
      <c r="AZ75" s="22">
        <v>1</v>
      </c>
      <c r="BA75" s="22">
        <v>1</v>
      </c>
      <c r="BB75" s="22">
        <v>1</v>
      </c>
      <c r="BC75" s="22">
        <v>1</v>
      </c>
      <c r="BD75" s="22">
        <v>1</v>
      </c>
      <c r="BE75" s="21">
        <v>1.4712278617111645</v>
      </c>
      <c r="BF75" s="22">
        <v>1</v>
      </c>
      <c r="BG75" s="22">
        <v>1</v>
      </c>
      <c r="BH75" s="22">
        <v>1.4712278617111645</v>
      </c>
      <c r="BI75" s="22"/>
      <c r="BJ75" s="10"/>
      <c r="BK75"/>
    </row>
    <row r="76" spans="1:63" x14ac:dyDescent="0.25">
      <c r="A76" s="1">
        <v>29</v>
      </c>
      <c r="B76" t="s">
        <v>80</v>
      </c>
      <c r="C76">
        <v>3</v>
      </c>
      <c r="D76" t="s">
        <v>108</v>
      </c>
      <c r="E76" t="str">
        <f>CONCATENATE("Als onderdeel van het programma 'Netwerk op zijn Best' omvat dit groot onderhoudsproject op de ",B76," een rijbaanverbreding van 3 naar 4 rijstroken op het knooppunt tussen de ",B76," en de M5.")</f>
        <v>Als onderdeel van het programma 'Netwerk op zijn Best' omvat dit groot onderhoudsproject op de B15-B een rijbaanverbreding van 3 naar 4 rijstroken op het knooppunt tussen de B15-B en de M5.</v>
      </c>
      <c r="F76" s="13" t="s">
        <v>137</v>
      </c>
      <c r="G76" s="2" t="s">
        <v>112</v>
      </c>
      <c r="H76" s="2">
        <v>3800</v>
      </c>
      <c r="I76" s="17">
        <v>4618350.0000000009</v>
      </c>
      <c r="J76" s="2">
        <v>13</v>
      </c>
      <c r="K76" s="11">
        <f t="shared" si="7"/>
        <v>0.33333333333333331</v>
      </c>
      <c r="L76" s="2">
        <v>0</v>
      </c>
      <c r="M76" s="14">
        <f t="shared" si="8"/>
        <v>2103649.9999999991</v>
      </c>
      <c r="N76" s="14">
        <f t="shared" si="9"/>
        <v>1682919.9999999993</v>
      </c>
      <c r="O76" s="14">
        <v>6722000</v>
      </c>
      <c r="P76" s="10">
        <v>1</v>
      </c>
      <c r="Q76" s="22">
        <v>1</v>
      </c>
      <c r="R76" s="22">
        <v>1</v>
      </c>
      <c r="S76" s="22">
        <v>1</v>
      </c>
      <c r="T76" s="22">
        <v>1.3926898847593037</v>
      </c>
      <c r="U76" s="22">
        <v>1.3926898847593037</v>
      </c>
      <c r="V76" s="22">
        <v>1</v>
      </c>
      <c r="W76" s="22">
        <v>1.3926898847593037</v>
      </c>
      <c r="X76" s="22">
        <v>1</v>
      </c>
      <c r="Y76" s="22">
        <v>1</v>
      </c>
      <c r="Z76" s="22">
        <v>1</v>
      </c>
      <c r="AA76" s="22">
        <v>1</v>
      </c>
      <c r="AB76" s="22">
        <v>1</v>
      </c>
      <c r="AC76" s="22">
        <v>1.3926898847593037</v>
      </c>
      <c r="AD76" s="22">
        <v>1</v>
      </c>
      <c r="AE76" s="22">
        <v>1.3926898847593037</v>
      </c>
      <c r="AF76" s="22">
        <v>1.7853797695186073</v>
      </c>
      <c r="AG76" s="22">
        <v>1.3926898847593037</v>
      </c>
      <c r="AH76" s="22">
        <v>1</v>
      </c>
      <c r="AI76" s="22">
        <v>1.3926898847593037</v>
      </c>
      <c r="AJ76" s="22">
        <v>1.3926898847593037</v>
      </c>
      <c r="AK76" s="22">
        <v>1.7853797695186073</v>
      </c>
      <c r="AL76" s="22">
        <v>1</v>
      </c>
      <c r="AM76" s="22">
        <v>1.3926898847593037</v>
      </c>
      <c r="AN76" s="22">
        <v>1.3926898847593037</v>
      </c>
      <c r="AO76" s="22">
        <v>1.3926898847593037</v>
      </c>
      <c r="AP76" s="22">
        <v>1.7853797695186073</v>
      </c>
      <c r="AQ76" s="22">
        <v>1.7853797695186073</v>
      </c>
      <c r="AR76" s="22">
        <v>1.7853797695186073</v>
      </c>
      <c r="AS76" s="22">
        <v>1.3926898847593037</v>
      </c>
      <c r="AT76" s="22">
        <v>1.7853797695186073</v>
      </c>
      <c r="AU76" s="22">
        <v>1</v>
      </c>
      <c r="AV76" s="22">
        <v>1</v>
      </c>
      <c r="AW76" s="22">
        <v>1</v>
      </c>
      <c r="AX76" s="22">
        <v>1</v>
      </c>
      <c r="AY76" s="22">
        <v>1</v>
      </c>
      <c r="AZ76" s="22">
        <v>1</v>
      </c>
      <c r="BA76" s="22">
        <v>1</v>
      </c>
      <c r="BB76" s="22">
        <v>1</v>
      </c>
      <c r="BC76" s="22">
        <v>1</v>
      </c>
      <c r="BD76" s="22">
        <v>1</v>
      </c>
      <c r="BE76" s="21">
        <v>1.3926898847593037</v>
      </c>
      <c r="BF76" s="22">
        <v>1</v>
      </c>
      <c r="BG76" s="22">
        <v>1</v>
      </c>
      <c r="BH76" s="22">
        <v>1.3926898847593037</v>
      </c>
      <c r="BI76" s="22"/>
      <c r="BJ76" s="10"/>
      <c r="BK76"/>
    </row>
    <row r="77" spans="1:63" x14ac:dyDescent="0.25">
      <c r="A77" s="1">
        <v>29</v>
      </c>
      <c r="B77" t="s">
        <v>80</v>
      </c>
      <c r="C77">
        <v>4</v>
      </c>
      <c r="D77" t="s">
        <v>109</v>
      </c>
      <c r="E77" t="str">
        <f>CONCATENATE("Als onderdeel van het programma 'Netwerk op zijn Best' omvat dit groot onderhoudsproject op de ",B77," een rijbaanverbreding van 3 naar 4 rijstroken op het knooppunt tussen de ",B77," en de M5.")</f>
        <v>Als onderdeel van het programma 'Netwerk op zijn Best' omvat dit groot onderhoudsproject op de B15-B een rijbaanverbreding van 3 naar 4 rijstroken op het knooppunt tussen de B15-B en de M5.</v>
      </c>
      <c r="F77" s="13" t="s">
        <v>138</v>
      </c>
      <c r="G77" s="2" t="s">
        <v>112</v>
      </c>
      <c r="H77" s="2">
        <v>4560</v>
      </c>
      <c r="I77" s="17">
        <v>4198500</v>
      </c>
      <c r="J77" s="2">
        <v>9.1</v>
      </c>
      <c r="K77" s="11">
        <f t="shared" si="7"/>
        <v>0.33333333333333331</v>
      </c>
      <c r="L77" s="2">
        <v>2</v>
      </c>
      <c r="M77" s="14">
        <f t="shared" si="8"/>
        <v>2523500</v>
      </c>
      <c r="N77" s="14">
        <f t="shared" si="9"/>
        <v>2018800</v>
      </c>
      <c r="O77" s="3">
        <v>6722000</v>
      </c>
      <c r="P77" s="10">
        <v>1</v>
      </c>
      <c r="Q77" s="22">
        <v>1</v>
      </c>
      <c r="R77" s="22">
        <v>1</v>
      </c>
      <c r="S77" s="22">
        <v>1</v>
      </c>
      <c r="T77" s="22">
        <v>1.4712278617111645</v>
      </c>
      <c r="U77" s="22">
        <v>1.4712278617111645</v>
      </c>
      <c r="V77" s="22">
        <v>1</v>
      </c>
      <c r="W77" s="22">
        <v>1.4712278617111645</v>
      </c>
      <c r="X77" s="22">
        <v>1</v>
      </c>
      <c r="Y77" s="22">
        <v>1</v>
      </c>
      <c r="Z77" s="22">
        <v>1</v>
      </c>
      <c r="AA77" s="22">
        <v>1</v>
      </c>
      <c r="AB77" s="22">
        <v>1</v>
      </c>
      <c r="AC77" s="22">
        <v>1.4712278617111645</v>
      </c>
      <c r="AD77" s="22">
        <v>1</v>
      </c>
      <c r="AE77" s="22">
        <v>1.4712278617111645</v>
      </c>
      <c r="AF77" s="22">
        <v>1.9424557234223288</v>
      </c>
      <c r="AG77" s="22">
        <v>1.4712278617111645</v>
      </c>
      <c r="AH77" s="22">
        <v>1</v>
      </c>
      <c r="AI77" s="22">
        <v>1.4712278617111645</v>
      </c>
      <c r="AJ77" s="22">
        <v>1.4712278617111645</v>
      </c>
      <c r="AK77" s="22">
        <v>1.9424557234223288</v>
      </c>
      <c r="AL77" s="22">
        <v>1</v>
      </c>
      <c r="AM77" s="22">
        <v>1.4712278617111645</v>
      </c>
      <c r="AN77" s="22">
        <v>1.4712278617111645</v>
      </c>
      <c r="AO77" s="22">
        <v>1.4712278617111645</v>
      </c>
      <c r="AP77" s="22">
        <v>1.9424557234223288</v>
      </c>
      <c r="AQ77" s="22">
        <v>1.9424557234223288</v>
      </c>
      <c r="AR77" s="22">
        <v>1.9424557234223288</v>
      </c>
      <c r="AS77" s="22">
        <v>1.9424557234223288</v>
      </c>
      <c r="AT77" s="22">
        <v>1.9424557234223288</v>
      </c>
      <c r="AU77" s="22">
        <v>1</v>
      </c>
      <c r="AV77" s="22">
        <v>1</v>
      </c>
      <c r="AW77" s="22">
        <v>1</v>
      </c>
      <c r="AX77" s="22">
        <v>1</v>
      </c>
      <c r="AY77" s="22">
        <v>1</v>
      </c>
      <c r="AZ77" s="22">
        <v>1</v>
      </c>
      <c r="BA77" s="22">
        <v>1</v>
      </c>
      <c r="BB77" s="22">
        <v>1</v>
      </c>
      <c r="BC77" s="22">
        <v>1</v>
      </c>
      <c r="BD77" s="22">
        <v>1</v>
      </c>
      <c r="BE77" s="21">
        <v>1.4712278617111645</v>
      </c>
      <c r="BF77" s="22">
        <v>1</v>
      </c>
      <c r="BG77" s="22">
        <v>1</v>
      </c>
      <c r="BH77" s="22">
        <v>1.4712278617111645</v>
      </c>
      <c r="BI77" s="22"/>
      <c r="BJ77" s="10"/>
      <c r="BK77"/>
    </row>
    <row r="78" spans="1:63" x14ac:dyDescent="0.25">
      <c r="A78" s="1">
        <v>30</v>
      </c>
      <c r="B78" s="20" t="s">
        <v>81</v>
      </c>
      <c r="C78">
        <v>1</v>
      </c>
      <c r="D78" t="s">
        <v>106</v>
      </c>
      <c r="E78" t="str">
        <f>CONCATENATE("Als onderdeel van het programma 'Netwerk op zijn Best' omvat dit groot onderhoudsproject op de ",B78," een grootschalige vernieuwing van het asfalt.")</f>
        <v>Als onderdeel van het programma 'Netwerk op zijn Best' omvat dit groot onderhoudsproject op de B15-C een grootschalige vernieuwing van het asfalt.</v>
      </c>
      <c r="F78" s="13" t="s">
        <v>135</v>
      </c>
      <c r="G78" s="2" t="s">
        <v>113</v>
      </c>
      <c r="H78" s="2">
        <v>1120</v>
      </c>
      <c r="I78" s="17">
        <v>1848000</v>
      </c>
      <c r="J78" s="2">
        <v>5.5</v>
      </c>
      <c r="K78" s="11">
        <f t="shared" si="7"/>
        <v>0.33333333333333331</v>
      </c>
      <c r="L78" s="2">
        <v>1</v>
      </c>
      <c r="M78" s="14">
        <f t="shared" si="8"/>
        <v>840000</v>
      </c>
      <c r="N78" s="14">
        <f t="shared" si="9"/>
        <v>672000</v>
      </c>
      <c r="O78" s="3">
        <v>2688000</v>
      </c>
      <c r="P78" s="10">
        <v>1</v>
      </c>
      <c r="Q78" s="22">
        <v>1</v>
      </c>
      <c r="R78" s="22">
        <v>1</v>
      </c>
      <c r="S78" s="22">
        <v>1</v>
      </c>
      <c r="T78" s="22">
        <v>1</v>
      </c>
      <c r="U78" s="22">
        <v>1</v>
      </c>
      <c r="V78" s="22">
        <v>1.2099833545744325</v>
      </c>
      <c r="W78" s="22">
        <v>1.419966709148865</v>
      </c>
      <c r="X78" s="22">
        <v>1</v>
      </c>
      <c r="Y78" s="22">
        <v>1</v>
      </c>
      <c r="Z78" s="22">
        <v>1</v>
      </c>
      <c r="AA78" s="22">
        <v>1</v>
      </c>
      <c r="AB78" s="22">
        <v>1</v>
      </c>
      <c r="AC78" s="22">
        <v>1</v>
      </c>
      <c r="AD78" s="22">
        <v>1</v>
      </c>
      <c r="AE78" s="22">
        <v>1.2099833545744325</v>
      </c>
      <c r="AF78" s="22">
        <v>1.419966709148865</v>
      </c>
      <c r="AG78" s="22">
        <v>1.2099833545744325</v>
      </c>
      <c r="AH78" s="22">
        <v>1</v>
      </c>
      <c r="AI78" s="22">
        <v>1.2099833545744325</v>
      </c>
      <c r="AJ78" s="22">
        <v>1.2099833545744325</v>
      </c>
      <c r="AK78" s="22">
        <v>1.419966709148865</v>
      </c>
      <c r="AL78" s="22">
        <v>1</v>
      </c>
      <c r="AM78" s="22">
        <v>1</v>
      </c>
      <c r="AN78" s="22">
        <v>1</v>
      </c>
      <c r="AO78" s="22">
        <v>1</v>
      </c>
      <c r="AP78" s="22">
        <v>1.2099833545744325</v>
      </c>
      <c r="AQ78" s="22">
        <v>1.2099833545744325</v>
      </c>
      <c r="AR78" s="22">
        <v>1.2099833545744325</v>
      </c>
      <c r="AS78" s="22">
        <v>1.419966709148865</v>
      </c>
      <c r="AT78" s="22">
        <v>1</v>
      </c>
      <c r="AU78" s="22">
        <v>1.2099833545744325</v>
      </c>
      <c r="AV78" s="22">
        <v>1</v>
      </c>
      <c r="AW78" s="22">
        <v>1</v>
      </c>
      <c r="AX78" s="22">
        <v>1</v>
      </c>
      <c r="AY78" s="22">
        <v>1</v>
      </c>
      <c r="AZ78" s="22">
        <v>1</v>
      </c>
      <c r="BA78" s="22">
        <v>1</v>
      </c>
      <c r="BB78" s="22">
        <v>1</v>
      </c>
      <c r="BC78" s="22">
        <v>1</v>
      </c>
      <c r="BD78" s="22">
        <v>1.2099833545744325</v>
      </c>
      <c r="BE78" s="21">
        <v>1.2099833545744325</v>
      </c>
      <c r="BF78" s="22">
        <v>1</v>
      </c>
      <c r="BG78" s="22">
        <v>1</v>
      </c>
      <c r="BH78" s="22">
        <v>1</v>
      </c>
      <c r="BI78" s="22"/>
      <c r="BJ78" s="10"/>
      <c r="BK78"/>
    </row>
    <row r="79" spans="1:63" x14ac:dyDescent="0.25">
      <c r="A79" s="1">
        <v>30</v>
      </c>
      <c r="B79" s="20" t="s">
        <v>81</v>
      </c>
      <c r="C79">
        <v>2</v>
      </c>
      <c r="D79" t="s">
        <v>107</v>
      </c>
      <c r="E79" t="str">
        <f>CONCATENATE("Als onderdeel van het programma 'Netwerk op zijn Best' omvat dit groot onderhoudsproject op de ",B79," een grootschalige vernieuwing van het asfalt.")</f>
        <v>Als onderdeel van het programma 'Netwerk op zijn Best' omvat dit groot onderhoudsproject op de B15-C een grootschalige vernieuwing van het asfalt.</v>
      </c>
      <c r="F79" s="13" t="s">
        <v>136</v>
      </c>
      <c r="G79" s="2" t="s">
        <v>113</v>
      </c>
      <c r="H79" s="2">
        <v>1680</v>
      </c>
      <c r="I79" s="17">
        <v>1176000</v>
      </c>
      <c r="J79" s="2">
        <v>5</v>
      </c>
      <c r="K79" s="11">
        <f t="shared" si="7"/>
        <v>0.33333333333333331</v>
      </c>
      <c r="L79" s="2">
        <v>2</v>
      </c>
      <c r="M79" s="14">
        <f t="shared" si="8"/>
        <v>1512000</v>
      </c>
      <c r="N79" s="14">
        <f t="shared" si="9"/>
        <v>1209600</v>
      </c>
      <c r="O79" s="3">
        <v>2688000</v>
      </c>
      <c r="P79" s="10">
        <v>1</v>
      </c>
      <c r="Q79" s="22">
        <v>1</v>
      </c>
      <c r="R79" s="22">
        <v>1</v>
      </c>
      <c r="S79" s="22">
        <v>1</v>
      </c>
      <c r="T79" s="22">
        <v>1</v>
      </c>
      <c r="U79" s="22">
        <v>1</v>
      </c>
      <c r="V79" s="22">
        <v>1.3149750318616489</v>
      </c>
      <c r="W79" s="22">
        <v>1.6299500637232978</v>
      </c>
      <c r="X79" s="22">
        <v>1</v>
      </c>
      <c r="Y79" s="22">
        <v>1</v>
      </c>
      <c r="Z79" s="22">
        <v>1</v>
      </c>
      <c r="AA79" s="22">
        <v>1</v>
      </c>
      <c r="AB79" s="22">
        <v>1</v>
      </c>
      <c r="AC79" s="22">
        <v>1</v>
      </c>
      <c r="AD79" s="22">
        <v>1</v>
      </c>
      <c r="AE79" s="22">
        <v>1.3149750318616489</v>
      </c>
      <c r="AF79" s="22">
        <v>1.6299500637232978</v>
      </c>
      <c r="AG79" s="22">
        <v>1.3149750318616489</v>
      </c>
      <c r="AH79" s="22">
        <v>1</v>
      </c>
      <c r="AI79" s="22">
        <v>1.3149750318616489</v>
      </c>
      <c r="AJ79" s="22">
        <v>1.3149750318616489</v>
      </c>
      <c r="AK79" s="22">
        <v>1.6299500637232978</v>
      </c>
      <c r="AL79" s="22">
        <v>1</v>
      </c>
      <c r="AM79" s="22">
        <v>1</v>
      </c>
      <c r="AN79" s="22">
        <v>1</v>
      </c>
      <c r="AO79" s="22">
        <v>1</v>
      </c>
      <c r="AP79" s="22">
        <v>1.3149750318616489</v>
      </c>
      <c r="AQ79" s="22">
        <v>1.3149750318616489</v>
      </c>
      <c r="AR79" s="22">
        <v>1.3149750318616489</v>
      </c>
      <c r="AS79" s="22">
        <v>1.6299500637232978</v>
      </c>
      <c r="AT79" s="22">
        <v>1.6299500637232978</v>
      </c>
      <c r="AU79" s="22">
        <v>1.3149750318616489</v>
      </c>
      <c r="AV79" s="22">
        <v>1</v>
      </c>
      <c r="AW79" s="22">
        <v>1</v>
      </c>
      <c r="AX79" s="22">
        <v>1</v>
      </c>
      <c r="AY79" s="22">
        <v>1</v>
      </c>
      <c r="AZ79" s="22">
        <v>1</v>
      </c>
      <c r="BA79" s="22">
        <v>1</v>
      </c>
      <c r="BB79" s="22">
        <v>1</v>
      </c>
      <c r="BC79" s="22">
        <v>1</v>
      </c>
      <c r="BD79" s="22">
        <v>1.3149750318616489</v>
      </c>
      <c r="BE79" s="21">
        <v>1.3149750318616489</v>
      </c>
      <c r="BF79" s="22">
        <v>1</v>
      </c>
      <c r="BG79" s="22">
        <v>1</v>
      </c>
      <c r="BH79" s="22">
        <v>1</v>
      </c>
      <c r="BI79" s="22"/>
      <c r="BJ79" s="10"/>
      <c r="BK79"/>
    </row>
    <row r="80" spans="1:63" x14ac:dyDescent="0.25">
      <c r="A80" s="1">
        <v>30</v>
      </c>
      <c r="B80" s="20" t="s">
        <v>81</v>
      </c>
      <c r="C80">
        <v>3</v>
      </c>
      <c r="D80" t="s">
        <v>108</v>
      </c>
      <c r="E80" t="str">
        <f>CONCATENATE("Als onderdeel van het programma 'Netwerk op zijn Best' omvat dit groot onderhoudsproject op de ",B80," een grootschalige vernieuwing van het asfalt.")</f>
        <v>Als onderdeel van het programma 'Netwerk op zijn Best' omvat dit groot onderhoudsproject op de B15-C een grootschalige vernieuwing van het asfalt.</v>
      </c>
      <c r="F80" s="13" t="s">
        <v>137</v>
      </c>
      <c r="G80" s="2" t="s">
        <v>113</v>
      </c>
      <c r="H80" s="2">
        <v>1400</v>
      </c>
      <c r="I80" s="17">
        <v>1848000</v>
      </c>
      <c r="J80" s="2">
        <v>5</v>
      </c>
      <c r="K80" s="11">
        <f t="shared" si="7"/>
        <v>0.33333333333333331</v>
      </c>
      <c r="L80" s="2">
        <v>0</v>
      </c>
      <c r="M80" s="14">
        <f t="shared" si="8"/>
        <v>840000</v>
      </c>
      <c r="N80" s="14">
        <f t="shared" si="9"/>
        <v>672000</v>
      </c>
      <c r="O80" s="3">
        <v>2688000</v>
      </c>
      <c r="P80" s="10">
        <v>1</v>
      </c>
      <c r="Q80" s="22">
        <v>1</v>
      </c>
      <c r="R80" s="22">
        <v>1</v>
      </c>
      <c r="S80" s="22">
        <v>1</v>
      </c>
      <c r="T80" s="22">
        <v>1</v>
      </c>
      <c r="U80" s="22">
        <v>1</v>
      </c>
      <c r="V80" s="22">
        <v>1.2624791932180406</v>
      </c>
      <c r="W80" s="22">
        <v>1.5249583864360814</v>
      </c>
      <c r="X80" s="22">
        <v>1</v>
      </c>
      <c r="Y80" s="22">
        <v>1</v>
      </c>
      <c r="Z80" s="22">
        <v>1</v>
      </c>
      <c r="AA80" s="22">
        <v>1</v>
      </c>
      <c r="AB80" s="22">
        <v>1</v>
      </c>
      <c r="AC80" s="22">
        <v>1</v>
      </c>
      <c r="AD80" s="22">
        <v>1</v>
      </c>
      <c r="AE80" s="22">
        <v>1.2624791932180406</v>
      </c>
      <c r="AF80" s="22">
        <v>1.5249583864360814</v>
      </c>
      <c r="AG80" s="22">
        <v>1.2624791932180406</v>
      </c>
      <c r="AH80" s="22">
        <v>1</v>
      </c>
      <c r="AI80" s="22">
        <v>1.2624791932180406</v>
      </c>
      <c r="AJ80" s="22">
        <v>1.2624791932180406</v>
      </c>
      <c r="AK80" s="22">
        <v>1.5249583864360814</v>
      </c>
      <c r="AL80" s="22">
        <v>1</v>
      </c>
      <c r="AM80" s="22">
        <v>1</v>
      </c>
      <c r="AN80" s="22">
        <v>1</v>
      </c>
      <c r="AO80" s="22">
        <v>1</v>
      </c>
      <c r="AP80" s="22">
        <v>1.2624791932180406</v>
      </c>
      <c r="AQ80" s="22">
        <v>1.2624791932180406</v>
      </c>
      <c r="AR80" s="22">
        <v>1.2624791932180406</v>
      </c>
      <c r="AS80" s="22">
        <v>1.5249583864360814</v>
      </c>
      <c r="AT80" s="22">
        <v>1.2624791932180406</v>
      </c>
      <c r="AU80" s="22">
        <v>1.2624791932180406</v>
      </c>
      <c r="AV80" s="22">
        <v>1</v>
      </c>
      <c r="AW80" s="22">
        <v>1</v>
      </c>
      <c r="AX80" s="22">
        <v>1</v>
      </c>
      <c r="AY80" s="22">
        <v>1</v>
      </c>
      <c r="AZ80" s="22">
        <v>1</v>
      </c>
      <c r="BA80" s="22">
        <v>1</v>
      </c>
      <c r="BB80" s="22">
        <v>1</v>
      </c>
      <c r="BC80" s="22">
        <v>1</v>
      </c>
      <c r="BD80" s="22">
        <v>1.2624791932180406</v>
      </c>
      <c r="BE80" s="21">
        <v>1.2624791932180406</v>
      </c>
      <c r="BF80" s="22">
        <v>1</v>
      </c>
      <c r="BG80" s="22">
        <v>1</v>
      </c>
      <c r="BH80" s="22">
        <v>1</v>
      </c>
      <c r="BI80" s="22"/>
      <c r="BJ80" s="10"/>
      <c r="BK80"/>
    </row>
    <row r="81" spans="1:63" x14ac:dyDescent="0.25">
      <c r="A81" s="1">
        <v>30</v>
      </c>
      <c r="B81" s="20" t="s">
        <v>81</v>
      </c>
      <c r="C81">
        <v>4</v>
      </c>
      <c r="D81" t="s">
        <v>109</v>
      </c>
      <c r="E81" t="str">
        <f>CONCATENATE("Als onderdeel van het programma 'Netwerk op zijn Best' omvat dit groot onderhoudsproject op de ",B81," een grootschalige vernieuwing van het asfalt.")</f>
        <v>Als onderdeel van het programma 'Netwerk op zijn Best' omvat dit groot onderhoudsproject op de B15-C een grootschalige vernieuwing van het asfalt.</v>
      </c>
      <c r="F81" s="13" t="s">
        <v>138</v>
      </c>
      <c r="G81" s="2" t="s">
        <v>113</v>
      </c>
      <c r="H81" s="2">
        <v>1680</v>
      </c>
      <c r="I81" s="17">
        <v>1680000</v>
      </c>
      <c r="J81" s="2">
        <v>3.5</v>
      </c>
      <c r="K81" s="11">
        <f t="shared" si="7"/>
        <v>0.33333333333333331</v>
      </c>
      <c r="L81" s="2">
        <v>1</v>
      </c>
      <c r="M81" s="14">
        <f t="shared" si="8"/>
        <v>1008000</v>
      </c>
      <c r="N81" s="14">
        <f t="shared" si="9"/>
        <v>806400</v>
      </c>
      <c r="O81" s="3">
        <v>2688000</v>
      </c>
      <c r="P81" s="10">
        <v>1</v>
      </c>
      <c r="Q81" s="22">
        <v>1</v>
      </c>
      <c r="R81" s="22">
        <v>1</v>
      </c>
      <c r="S81" s="22">
        <v>1</v>
      </c>
      <c r="T81" s="22">
        <v>1</v>
      </c>
      <c r="U81" s="22">
        <v>1</v>
      </c>
      <c r="V81" s="22">
        <v>1.3149750318616489</v>
      </c>
      <c r="W81" s="22">
        <v>1.6299500637232978</v>
      </c>
      <c r="X81" s="22">
        <v>1</v>
      </c>
      <c r="Y81" s="22">
        <v>1</v>
      </c>
      <c r="Z81" s="22">
        <v>1</v>
      </c>
      <c r="AA81" s="22">
        <v>1</v>
      </c>
      <c r="AB81" s="22">
        <v>1</v>
      </c>
      <c r="AC81" s="22">
        <v>1</v>
      </c>
      <c r="AD81" s="22">
        <v>1</v>
      </c>
      <c r="AE81" s="22">
        <v>1.3149750318616489</v>
      </c>
      <c r="AF81" s="22">
        <v>1.6299500637232978</v>
      </c>
      <c r="AG81" s="22">
        <v>1.3149750318616489</v>
      </c>
      <c r="AH81" s="22">
        <v>1</v>
      </c>
      <c r="AI81" s="22">
        <v>1.3149750318616489</v>
      </c>
      <c r="AJ81" s="22">
        <v>1.3149750318616489</v>
      </c>
      <c r="AK81" s="22">
        <v>1.6299500637232978</v>
      </c>
      <c r="AL81" s="22">
        <v>1</v>
      </c>
      <c r="AM81" s="22">
        <v>1</v>
      </c>
      <c r="AN81" s="22">
        <v>1</v>
      </c>
      <c r="AO81" s="22">
        <v>1</v>
      </c>
      <c r="AP81" s="22">
        <v>1.3149750318616489</v>
      </c>
      <c r="AQ81" s="22">
        <v>1.3149750318616489</v>
      </c>
      <c r="AR81" s="22">
        <v>1.3149750318616489</v>
      </c>
      <c r="AS81" s="22">
        <v>1.6299500637232978</v>
      </c>
      <c r="AT81" s="22">
        <v>1.6299500637232978</v>
      </c>
      <c r="AU81" s="22">
        <v>1.3149750318616489</v>
      </c>
      <c r="AV81" s="22">
        <v>1</v>
      </c>
      <c r="AW81" s="22">
        <v>1</v>
      </c>
      <c r="AX81" s="22">
        <v>1</v>
      </c>
      <c r="AY81" s="22">
        <v>1</v>
      </c>
      <c r="AZ81" s="22">
        <v>1</v>
      </c>
      <c r="BA81" s="22">
        <v>1</v>
      </c>
      <c r="BB81" s="22">
        <v>1</v>
      </c>
      <c r="BC81" s="22">
        <v>1</v>
      </c>
      <c r="BD81" s="22">
        <v>1.3149750318616489</v>
      </c>
      <c r="BE81" s="21">
        <v>1.3149750318616489</v>
      </c>
      <c r="BF81" s="22">
        <v>1</v>
      </c>
      <c r="BG81" s="22">
        <v>1</v>
      </c>
      <c r="BH81" s="22">
        <v>1</v>
      </c>
      <c r="BI81" s="22"/>
      <c r="BJ81" s="10"/>
      <c r="BK81"/>
    </row>
    <row r="82" spans="1:63" x14ac:dyDescent="0.25">
      <c r="M82" s="16"/>
      <c r="O82" s="5"/>
      <c r="P82" s="6"/>
      <c r="U82" s="6"/>
      <c r="BK82"/>
    </row>
    <row r="83" spans="1:63" x14ac:dyDescent="0.25">
      <c r="M83" s="16"/>
      <c r="O83" s="5"/>
      <c r="P83" s="6"/>
      <c r="S83" s="7"/>
      <c r="U83" s="6"/>
      <c r="BD83" s="6">
        <f>SUM(BD2:BD81)</f>
        <v>82.834775286754848</v>
      </c>
      <c r="BE83" s="6">
        <f>SUM(BE2:BE81)</f>
        <v>101.76431224086218</v>
      </c>
      <c r="BF83" s="6">
        <f>SUM(BF2:BF81)</f>
        <v>102.39426230458547</v>
      </c>
      <c r="BG83" s="6">
        <f>SUM(BG2:BG81)</f>
        <v>101.76431224086218</v>
      </c>
      <c r="BH83" s="6">
        <f>SUM(BH2:BH81)</f>
        <v>101.76431224086217</v>
      </c>
      <c r="BK83"/>
    </row>
    <row r="84" spans="1:63" x14ac:dyDescent="0.25">
      <c r="M84" s="16"/>
      <c r="O84" s="5"/>
      <c r="P84" s="6"/>
      <c r="S84" s="7"/>
      <c r="U84" s="6"/>
      <c r="BK84"/>
    </row>
    <row r="85" spans="1:63" x14ac:dyDescent="0.25">
      <c r="M85" s="16"/>
      <c r="O85" s="5"/>
      <c r="P85" s="6"/>
      <c r="S85" s="7"/>
      <c r="U85" s="6"/>
      <c r="BK85"/>
    </row>
    <row r="86" spans="1:63" x14ac:dyDescent="0.25">
      <c r="M86" s="16"/>
      <c r="O86" s="5"/>
      <c r="P86" s="6"/>
      <c r="S86" s="7"/>
      <c r="U86" s="6"/>
      <c r="BK86"/>
    </row>
    <row r="87" spans="1:63" x14ac:dyDescent="0.25">
      <c r="M87" s="16"/>
      <c r="O87" s="5"/>
      <c r="P87" s="6"/>
      <c r="S87" s="7"/>
      <c r="U87" s="6"/>
      <c r="BK87"/>
    </row>
    <row r="88" spans="1:63" x14ac:dyDescent="0.25">
      <c r="M88" s="16"/>
      <c r="O88" s="5"/>
      <c r="P88" s="6"/>
      <c r="S88" s="7"/>
      <c r="U88" s="6"/>
      <c r="BK88"/>
    </row>
    <row r="89" spans="1:63" x14ac:dyDescent="0.25">
      <c r="M89" s="16"/>
      <c r="O89" s="5"/>
      <c r="P89" s="6"/>
      <c r="S89" s="7"/>
      <c r="U89" s="6"/>
      <c r="BK89"/>
    </row>
    <row r="90" spans="1:63" x14ac:dyDescent="0.25">
      <c r="M90" s="16"/>
      <c r="O90" s="5"/>
      <c r="P90" s="6"/>
      <c r="S90" s="7"/>
      <c r="U90" s="6"/>
      <c r="BK90"/>
    </row>
    <row r="91" spans="1:63" x14ac:dyDescent="0.25">
      <c r="M91" s="16"/>
      <c r="O91" s="5"/>
      <c r="P91" s="6"/>
      <c r="S91" s="7"/>
      <c r="U91" s="6"/>
      <c r="BK91"/>
    </row>
    <row r="92" spans="1:63" x14ac:dyDescent="0.25">
      <c r="M92" s="16"/>
      <c r="O92" s="5"/>
      <c r="P92" s="6"/>
      <c r="S92" s="7"/>
      <c r="U92" s="6"/>
      <c r="BK92"/>
    </row>
    <row r="93" spans="1:63" x14ac:dyDescent="0.25">
      <c r="M93" s="16"/>
      <c r="O93" s="5"/>
      <c r="P93" s="6"/>
      <c r="S93" s="7"/>
      <c r="U93" s="6"/>
      <c r="BK93"/>
    </row>
    <row r="94" spans="1:63" x14ac:dyDescent="0.25">
      <c r="M94" s="16"/>
      <c r="O94" s="5"/>
      <c r="P94" s="6"/>
      <c r="S94" s="7"/>
      <c r="U94" s="6"/>
      <c r="BK94"/>
    </row>
    <row r="95" spans="1:63" x14ac:dyDescent="0.25">
      <c r="M95" s="16"/>
      <c r="O95" s="5"/>
      <c r="P95" s="6"/>
      <c r="S95" s="7"/>
      <c r="U95" s="6"/>
      <c r="BK95"/>
    </row>
    <row r="96" spans="1:63" x14ac:dyDescent="0.25">
      <c r="M96" s="16"/>
      <c r="O96" s="5"/>
      <c r="P96" s="6"/>
      <c r="S96" s="7"/>
      <c r="U96" s="6"/>
      <c r="BK96"/>
    </row>
    <row r="97" spans="13:63" x14ac:dyDescent="0.25">
      <c r="M97" s="16"/>
      <c r="O97" s="5"/>
      <c r="P97" s="6"/>
      <c r="S97" s="7"/>
      <c r="U97" s="6"/>
      <c r="BK97"/>
    </row>
    <row r="98" spans="13:63" x14ac:dyDescent="0.25">
      <c r="M98" s="16"/>
      <c r="O98" s="5"/>
      <c r="P98" s="6"/>
      <c r="S98" s="7"/>
      <c r="U98" s="6"/>
      <c r="BK98"/>
    </row>
    <row r="99" spans="13:63" x14ac:dyDescent="0.25">
      <c r="M99" s="16"/>
      <c r="O99" s="5"/>
      <c r="P99" s="6"/>
      <c r="S99" s="7"/>
      <c r="U99" s="6"/>
      <c r="BK99"/>
    </row>
    <row r="100" spans="13:63" x14ac:dyDescent="0.25">
      <c r="M100" s="16"/>
      <c r="O100" s="5"/>
      <c r="P100" s="6"/>
      <c r="S100" s="7"/>
      <c r="U100" s="6"/>
      <c r="BK100"/>
    </row>
    <row r="101" spans="13:63" x14ac:dyDescent="0.25">
      <c r="M101" s="16"/>
      <c r="O101" s="5"/>
      <c r="P101" s="6"/>
      <c r="S101" s="7"/>
      <c r="U101" s="6"/>
      <c r="BK101"/>
    </row>
    <row r="102" spans="13:63" x14ac:dyDescent="0.25">
      <c r="M102" s="16"/>
      <c r="O102" s="5"/>
      <c r="P102" s="6"/>
      <c r="S102" s="7"/>
      <c r="U102" s="6"/>
      <c r="BK102"/>
    </row>
    <row r="103" spans="13:63" x14ac:dyDescent="0.25">
      <c r="M103" s="16"/>
      <c r="O103" s="5"/>
      <c r="P103" s="6"/>
      <c r="S103" s="7"/>
      <c r="U103" s="6"/>
      <c r="BK103"/>
    </row>
    <row r="104" spans="13:63" x14ac:dyDescent="0.25">
      <c r="M104" s="16"/>
      <c r="O104" s="5"/>
      <c r="P104" s="6"/>
      <c r="S104" s="7"/>
      <c r="U104" s="6"/>
      <c r="BK104"/>
    </row>
    <row r="105" spans="13:63" x14ac:dyDescent="0.25">
      <c r="M105" s="16"/>
      <c r="O105" s="5"/>
      <c r="P105" s="6"/>
      <c r="S105" s="7"/>
      <c r="U105" s="6"/>
      <c r="BK105"/>
    </row>
    <row r="106" spans="13:63" x14ac:dyDescent="0.25">
      <c r="M106" s="16"/>
      <c r="O106" s="5"/>
      <c r="P106" s="6"/>
      <c r="S106" s="7"/>
      <c r="U106" s="6"/>
      <c r="BK106"/>
    </row>
    <row r="107" spans="13:63" x14ac:dyDescent="0.25">
      <c r="M107" s="16"/>
      <c r="P107" s="6"/>
      <c r="T107" s="7"/>
      <c r="U107" s="6"/>
      <c r="BK107"/>
    </row>
    <row r="108" spans="13:63" x14ac:dyDescent="0.25">
      <c r="M108" s="16"/>
      <c r="P108" s="6"/>
      <c r="T108" s="7"/>
      <c r="U108" s="6"/>
      <c r="BK108"/>
    </row>
    <row r="109" spans="13:63" x14ac:dyDescent="0.25">
      <c r="M109" s="16"/>
      <c r="P109" s="6"/>
      <c r="T109" s="7"/>
      <c r="U109" s="6"/>
      <c r="BK109"/>
    </row>
    <row r="110" spans="13:63" x14ac:dyDescent="0.25">
      <c r="M110" s="16"/>
      <c r="P110" s="6"/>
      <c r="T110" s="7"/>
      <c r="U110" s="6"/>
      <c r="BK110"/>
    </row>
    <row r="111" spans="13:63" x14ac:dyDescent="0.25">
      <c r="M111" s="16"/>
      <c r="P111" s="6"/>
      <c r="T111" s="7"/>
      <c r="U111" s="6"/>
      <c r="BK111"/>
    </row>
    <row r="112" spans="13:63" x14ac:dyDescent="0.25">
      <c r="M112" s="16"/>
      <c r="P112" s="6"/>
      <c r="T112" s="7"/>
      <c r="U112" s="6"/>
      <c r="BK112"/>
    </row>
    <row r="113" spans="13:63" x14ac:dyDescent="0.25">
      <c r="M113" s="16"/>
      <c r="P113" s="6"/>
      <c r="T113" s="7"/>
      <c r="U113" s="6"/>
      <c r="BK113"/>
    </row>
    <row r="114" spans="13:63" x14ac:dyDescent="0.25">
      <c r="M114" s="16"/>
      <c r="P114" s="6"/>
      <c r="T114" s="7"/>
      <c r="U114" s="6"/>
      <c r="BK114"/>
    </row>
    <row r="115" spans="13:63" x14ac:dyDescent="0.25">
      <c r="M115" s="16"/>
      <c r="P115" s="6"/>
      <c r="T115" s="7"/>
      <c r="U115" s="6"/>
      <c r="BK115"/>
    </row>
    <row r="116" spans="13:63" x14ac:dyDescent="0.25">
      <c r="M116" s="16"/>
      <c r="P116" s="6"/>
      <c r="T116" s="7"/>
      <c r="U116" s="6"/>
      <c r="BK116"/>
    </row>
    <row r="117" spans="13:63" x14ac:dyDescent="0.25">
      <c r="M117" s="16"/>
      <c r="P117" s="6"/>
      <c r="T117" s="7"/>
      <c r="U117" s="6"/>
      <c r="BK117"/>
    </row>
    <row r="118" spans="13:63" x14ac:dyDescent="0.25">
      <c r="M118" s="16"/>
      <c r="P118" s="6"/>
      <c r="T118" s="7"/>
      <c r="U118" s="6"/>
      <c r="BK118"/>
    </row>
    <row r="119" spans="13:63" x14ac:dyDescent="0.25">
      <c r="M119" s="16"/>
      <c r="P119" s="6"/>
      <c r="T119" s="7"/>
      <c r="U119" s="6"/>
      <c r="BK119"/>
    </row>
    <row r="120" spans="13:63" x14ac:dyDescent="0.25">
      <c r="M120" s="16"/>
      <c r="P120" s="6"/>
      <c r="T120" s="7"/>
      <c r="U120" s="6"/>
      <c r="BK120"/>
    </row>
    <row r="121" spans="13:63" x14ac:dyDescent="0.25">
      <c r="M121" s="16"/>
      <c r="P121" s="6"/>
      <c r="T121" s="7"/>
      <c r="U121" s="6"/>
      <c r="BK121"/>
    </row>
    <row r="122" spans="13:63" x14ac:dyDescent="0.25">
      <c r="M122" s="16"/>
      <c r="P122" s="6"/>
      <c r="T122" s="7"/>
      <c r="U122" s="6"/>
      <c r="BK122"/>
    </row>
    <row r="123" spans="13:63" x14ac:dyDescent="0.25">
      <c r="M123" s="16"/>
      <c r="P123" s="6"/>
      <c r="T123" s="7"/>
      <c r="U123" s="6"/>
      <c r="BK123"/>
    </row>
    <row r="124" spans="13:63" x14ac:dyDescent="0.25">
      <c r="M124" s="16"/>
      <c r="P124" s="6"/>
      <c r="T124" s="7"/>
      <c r="U124" s="6"/>
      <c r="BK124"/>
    </row>
    <row r="125" spans="13:63" x14ac:dyDescent="0.25">
      <c r="M125" s="16"/>
      <c r="P125" s="6"/>
      <c r="T125" s="7"/>
      <c r="U125" s="6"/>
      <c r="BK125"/>
    </row>
    <row r="126" spans="13:63" x14ac:dyDescent="0.25">
      <c r="M126" s="16"/>
      <c r="P126" s="6"/>
      <c r="T126" s="7"/>
      <c r="U126" s="6"/>
      <c r="BK126"/>
    </row>
    <row r="127" spans="13:63" x14ac:dyDescent="0.25">
      <c r="M127" s="16"/>
      <c r="P127" s="6"/>
      <c r="T127" s="7"/>
      <c r="U127" s="6"/>
      <c r="BK127"/>
    </row>
    <row r="128" spans="13:63" x14ac:dyDescent="0.25">
      <c r="M128" s="16"/>
      <c r="P128" s="6"/>
      <c r="T128" s="7"/>
      <c r="U128" s="6"/>
      <c r="BK128"/>
    </row>
    <row r="129" spans="13:63" x14ac:dyDescent="0.25">
      <c r="M129" s="16"/>
      <c r="P129" s="6"/>
      <c r="T129" s="7"/>
      <c r="U129" s="6"/>
      <c r="BK129"/>
    </row>
    <row r="130" spans="13:63" x14ac:dyDescent="0.25">
      <c r="M130" s="16"/>
      <c r="P130" s="6"/>
      <c r="T130" s="7"/>
      <c r="U130" s="6"/>
      <c r="BK130"/>
    </row>
    <row r="131" spans="13:63" x14ac:dyDescent="0.25">
      <c r="M131" s="16"/>
      <c r="P131" s="6"/>
      <c r="T131" s="7"/>
      <c r="U131" s="6"/>
      <c r="BK131"/>
    </row>
    <row r="132" spans="13:63" x14ac:dyDescent="0.25">
      <c r="M132" s="16"/>
      <c r="P132" s="6"/>
      <c r="T132" s="7"/>
      <c r="U132" s="6"/>
      <c r="BK132"/>
    </row>
    <row r="133" spans="13:63" x14ac:dyDescent="0.25">
      <c r="M133" s="16"/>
      <c r="P133" s="6"/>
      <c r="T133" s="7"/>
      <c r="U133" s="6"/>
      <c r="BK133"/>
    </row>
    <row r="134" spans="13:63" x14ac:dyDescent="0.25">
      <c r="M134" s="16"/>
      <c r="P134" s="6"/>
      <c r="T134" s="7"/>
      <c r="U134" s="6"/>
      <c r="BK134"/>
    </row>
    <row r="135" spans="13:63" x14ac:dyDescent="0.25">
      <c r="M135" s="16"/>
      <c r="P135" s="6"/>
      <c r="T135" s="7"/>
      <c r="U135" s="6"/>
      <c r="BK135"/>
    </row>
    <row r="136" spans="13:63" x14ac:dyDescent="0.25">
      <c r="M136" s="16"/>
      <c r="P136" s="6"/>
      <c r="T136" s="7"/>
      <c r="U136" s="6"/>
      <c r="BK136"/>
    </row>
    <row r="137" spans="13:63" x14ac:dyDescent="0.25">
      <c r="M137" s="16"/>
      <c r="P137" s="6"/>
      <c r="T137" s="7"/>
      <c r="U137" s="6"/>
      <c r="BK137"/>
    </row>
    <row r="138" spans="13:63" x14ac:dyDescent="0.25">
      <c r="M138" s="16"/>
      <c r="P138" s="6"/>
      <c r="T138" s="7"/>
      <c r="U138" s="6"/>
      <c r="BK138"/>
    </row>
    <row r="139" spans="13:63" x14ac:dyDescent="0.25">
      <c r="M139" s="16"/>
      <c r="P139" s="6"/>
      <c r="T139" s="7"/>
      <c r="U139" s="6"/>
      <c r="BK139"/>
    </row>
    <row r="140" spans="13:63" x14ac:dyDescent="0.25">
      <c r="M140" s="16"/>
      <c r="P140" s="6"/>
      <c r="T140" s="7"/>
      <c r="U140" s="6"/>
      <c r="BK140"/>
    </row>
    <row r="141" spans="13:63" x14ac:dyDescent="0.25">
      <c r="M141" s="16"/>
      <c r="P141" s="6"/>
      <c r="T141" s="7"/>
      <c r="U141" s="6"/>
      <c r="BK141"/>
    </row>
    <row r="142" spans="13:63" x14ac:dyDescent="0.25">
      <c r="M142" s="16"/>
      <c r="P142" s="6"/>
      <c r="T142" s="7"/>
      <c r="U142" s="6"/>
      <c r="BK142"/>
    </row>
    <row r="143" spans="13:63" x14ac:dyDescent="0.25">
      <c r="M143" s="16"/>
      <c r="P143" s="6"/>
      <c r="T143" s="7"/>
      <c r="U143" s="6"/>
      <c r="BK143"/>
    </row>
    <row r="144" spans="13:63" x14ac:dyDescent="0.25">
      <c r="M144" s="16"/>
      <c r="P144" s="6"/>
      <c r="T144" s="7"/>
      <c r="U144" s="6"/>
      <c r="BK144"/>
    </row>
    <row r="145" spans="13:63" x14ac:dyDescent="0.25">
      <c r="M145" s="16"/>
      <c r="P145" s="6"/>
      <c r="T145" s="7"/>
      <c r="U145" s="6"/>
      <c r="BK145"/>
    </row>
    <row r="146" spans="13:63" x14ac:dyDescent="0.25">
      <c r="M146" s="16"/>
      <c r="P146" s="6"/>
      <c r="T146" s="7"/>
      <c r="U146" s="6"/>
      <c r="BK146"/>
    </row>
    <row r="147" spans="13:63" x14ac:dyDescent="0.25">
      <c r="M147" s="16"/>
      <c r="P147" s="6"/>
      <c r="T147" s="7"/>
      <c r="U147" s="6"/>
      <c r="BK147"/>
    </row>
    <row r="148" spans="13:63" x14ac:dyDescent="0.25">
      <c r="M148" s="16"/>
      <c r="P148" s="6"/>
      <c r="T148" s="7"/>
      <c r="U148" s="6"/>
      <c r="BK148"/>
    </row>
    <row r="149" spans="13:63" x14ac:dyDescent="0.25">
      <c r="M149" s="16"/>
      <c r="P149" s="6"/>
      <c r="T149" s="7"/>
      <c r="U149" s="6"/>
      <c r="BK149"/>
    </row>
    <row r="150" spans="13:63" x14ac:dyDescent="0.25">
      <c r="M150" s="16"/>
      <c r="P150" s="6"/>
      <c r="T150" s="7"/>
      <c r="U150" s="6"/>
      <c r="BK150"/>
    </row>
    <row r="151" spans="13:63" x14ac:dyDescent="0.25">
      <c r="M151" s="16"/>
      <c r="P151" s="6"/>
      <c r="T151" s="7"/>
      <c r="U151" s="6"/>
      <c r="BK151"/>
    </row>
    <row r="152" spans="13:63" x14ac:dyDescent="0.25">
      <c r="M152" s="16"/>
      <c r="P152" s="6"/>
      <c r="T152" s="7"/>
      <c r="U152" s="6"/>
      <c r="BK152"/>
    </row>
    <row r="153" spans="13:63" x14ac:dyDescent="0.25">
      <c r="M153" s="16"/>
      <c r="P153" s="6"/>
      <c r="T153" s="7"/>
      <c r="U153" s="6"/>
      <c r="BK153"/>
    </row>
    <row r="154" spans="13:63" x14ac:dyDescent="0.25">
      <c r="M154" s="16"/>
      <c r="P154" s="6"/>
      <c r="T154" s="7"/>
      <c r="U154" s="6"/>
      <c r="BK154"/>
    </row>
    <row r="155" spans="13:63" x14ac:dyDescent="0.25">
      <c r="M155" s="16"/>
      <c r="P155" s="6"/>
      <c r="T155" s="7"/>
      <c r="U155" s="6"/>
      <c r="BK155"/>
    </row>
    <row r="156" spans="13:63" x14ac:dyDescent="0.25">
      <c r="M156" s="16"/>
      <c r="P156" s="6"/>
      <c r="T156" s="7"/>
      <c r="U156" s="6"/>
      <c r="BK156"/>
    </row>
    <row r="157" spans="13:63" x14ac:dyDescent="0.25">
      <c r="M157" s="16"/>
      <c r="P157" s="6"/>
      <c r="T157" s="7"/>
      <c r="U157" s="6"/>
      <c r="BK157"/>
    </row>
    <row r="158" spans="13:63" x14ac:dyDescent="0.25">
      <c r="M158" s="16"/>
      <c r="P158" s="6"/>
      <c r="T158" s="7"/>
      <c r="U158" s="6"/>
      <c r="BK158"/>
    </row>
    <row r="159" spans="13:63" x14ac:dyDescent="0.25">
      <c r="M159" s="16"/>
      <c r="P159" s="6"/>
      <c r="T159" s="7"/>
      <c r="U159" s="6"/>
      <c r="BK159"/>
    </row>
    <row r="160" spans="13:63" x14ac:dyDescent="0.25">
      <c r="M160" s="16"/>
      <c r="P160" s="6"/>
      <c r="T160" s="7"/>
      <c r="U160" s="6"/>
      <c r="BK160"/>
    </row>
    <row r="161" spans="13:63" x14ac:dyDescent="0.25">
      <c r="M161" s="16"/>
      <c r="P161" s="6"/>
      <c r="T161" s="7"/>
      <c r="U161" s="6"/>
      <c r="BK161"/>
    </row>
    <row r="162" spans="13:63" x14ac:dyDescent="0.25">
      <c r="M162" s="16"/>
      <c r="P162" s="6"/>
      <c r="T162" s="7"/>
      <c r="U162" s="6"/>
      <c r="BK162"/>
    </row>
    <row r="163" spans="13:63" x14ac:dyDescent="0.25">
      <c r="M163" s="16"/>
      <c r="P163" s="6"/>
      <c r="T163" s="7"/>
      <c r="U163" s="6"/>
      <c r="BK163"/>
    </row>
    <row r="164" spans="13:63" x14ac:dyDescent="0.25">
      <c r="M164" s="16"/>
      <c r="P164" s="6"/>
      <c r="T164" s="7"/>
      <c r="U164" s="6"/>
      <c r="BK164"/>
    </row>
    <row r="165" spans="13:63" x14ac:dyDescent="0.25">
      <c r="M165" s="16"/>
      <c r="P165" s="6"/>
      <c r="T165" s="7"/>
      <c r="U165" s="6"/>
      <c r="BK165"/>
    </row>
    <row r="166" spans="13:63" x14ac:dyDescent="0.25">
      <c r="M166" s="16"/>
      <c r="P166" s="6"/>
      <c r="T166" s="7"/>
      <c r="U166" s="6"/>
      <c r="BK166"/>
    </row>
    <row r="167" spans="13:63" x14ac:dyDescent="0.25">
      <c r="M167" s="16"/>
      <c r="P167" s="6"/>
      <c r="T167" s="7"/>
      <c r="U167" s="6"/>
      <c r="BK167"/>
    </row>
    <row r="168" spans="13:63" x14ac:dyDescent="0.25">
      <c r="M168" s="16"/>
      <c r="P168" s="6"/>
      <c r="T168" s="7"/>
      <c r="U168" s="6"/>
      <c r="BK168"/>
    </row>
    <row r="169" spans="13:63" x14ac:dyDescent="0.25">
      <c r="M169" s="16"/>
      <c r="P169" s="6"/>
      <c r="T169" s="7"/>
      <c r="U169" s="6"/>
      <c r="BK169"/>
    </row>
    <row r="170" spans="13:63" x14ac:dyDescent="0.25">
      <c r="M170" s="16"/>
      <c r="P170" s="6"/>
      <c r="T170" s="7"/>
      <c r="U170" s="6"/>
      <c r="BK170"/>
    </row>
    <row r="171" spans="13:63" x14ac:dyDescent="0.25">
      <c r="M171" s="16"/>
      <c r="P171" s="6"/>
      <c r="T171" s="7"/>
      <c r="U171" s="6"/>
      <c r="BK171"/>
    </row>
    <row r="172" spans="13:63" x14ac:dyDescent="0.25">
      <c r="M172" s="16"/>
      <c r="P172" s="6"/>
      <c r="T172" s="7"/>
      <c r="U172" s="6"/>
      <c r="BK172"/>
    </row>
    <row r="173" spans="13:63" x14ac:dyDescent="0.25">
      <c r="M173" s="16"/>
      <c r="P173" s="6"/>
      <c r="T173" s="7"/>
      <c r="U173" s="6"/>
      <c r="BK173"/>
    </row>
    <row r="174" spans="13:63" x14ac:dyDescent="0.25">
      <c r="P174" s="6"/>
      <c r="T174" s="7"/>
      <c r="U174" s="6"/>
      <c r="BK174"/>
    </row>
    <row r="175" spans="13:63" x14ac:dyDescent="0.25">
      <c r="P175" s="6"/>
      <c r="T175" s="7"/>
      <c r="U175" s="6"/>
      <c r="BK175"/>
    </row>
    <row r="176" spans="13:63" x14ac:dyDescent="0.25">
      <c r="P176" s="6"/>
      <c r="T176" s="7"/>
      <c r="U176" s="6"/>
      <c r="BK176"/>
    </row>
    <row r="177" spans="16:63" x14ac:dyDescent="0.25">
      <c r="P177" s="6"/>
      <c r="T177" s="7"/>
      <c r="U177" s="6"/>
      <c r="BK177"/>
    </row>
    <row r="178" spans="16:63" x14ac:dyDescent="0.25">
      <c r="P178" s="6"/>
      <c r="T178" s="7"/>
      <c r="U178" s="6"/>
      <c r="BK178"/>
    </row>
    <row r="179" spans="16:63" x14ac:dyDescent="0.25">
      <c r="P179" s="6"/>
      <c r="T179" s="7"/>
      <c r="U179" s="6"/>
      <c r="BK179"/>
    </row>
    <row r="180" spans="16:63" x14ac:dyDescent="0.25">
      <c r="P180" s="6"/>
      <c r="T180" s="7"/>
      <c r="U180" s="6"/>
      <c r="BK180"/>
    </row>
    <row r="181" spans="16:63" x14ac:dyDescent="0.25">
      <c r="P181" s="6"/>
      <c r="T181" s="7"/>
      <c r="U181" s="6"/>
      <c r="BK181"/>
    </row>
    <row r="182" spans="16:63" x14ac:dyDescent="0.25">
      <c r="P182" s="6"/>
      <c r="T182" s="7"/>
      <c r="U182" s="6"/>
      <c r="BK182"/>
    </row>
    <row r="183" spans="16:63" x14ac:dyDescent="0.25">
      <c r="P183" s="6"/>
      <c r="T183" s="7"/>
      <c r="U183" s="6"/>
      <c r="BK183"/>
    </row>
    <row r="184" spans="16:63" x14ac:dyDescent="0.25">
      <c r="P184" s="6"/>
      <c r="T184" s="7"/>
      <c r="U184" s="6"/>
      <c r="BK184"/>
    </row>
    <row r="185" spans="16:63" x14ac:dyDescent="0.25">
      <c r="P185" s="6"/>
      <c r="T185" s="7"/>
      <c r="U185" s="6"/>
      <c r="BK185"/>
    </row>
    <row r="186" spans="16:63" x14ac:dyDescent="0.25">
      <c r="P186" s="6"/>
      <c r="T186" s="7"/>
      <c r="U186" s="6"/>
      <c r="BK186"/>
    </row>
    <row r="187" spans="16:63" x14ac:dyDescent="0.25">
      <c r="P187" s="6"/>
      <c r="T187" s="7"/>
      <c r="U187" s="6"/>
      <c r="BK187"/>
    </row>
    <row r="188" spans="16:63" x14ac:dyDescent="0.25">
      <c r="P188" s="6"/>
      <c r="T188" s="7"/>
      <c r="U188" s="6"/>
      <c r="BK188"/>
    </row>
    <row r="189" spans="16:63" x14ac:dyDescent="0.25">
      <c r="P189" s="6"/>
      <c r="T189" s="7"/>
      <c r="U189" s="6"/>
      <c r="BK189"/>
    </row>
    <row r="190" spans="16:63" x14ac:dyDescent="0.25">
      <c r="P190" s="6"/>
      <c r="T190" s="7"/>
      <c r="U190" s="6"/>
      <c r="BK190"/>
    </row>
    <row r="191" spans="16:63" x14ac:dyDescent="0.25">
      <c r="P191" s="6"/>
      <c r="T191" s="7"/>
      <c r="U191" s="6"/>
      <c r="BK191"/>
    </row>
    <row r="192" spans="16:63" x14ac:dyDescent="0.25">
      <c r="P192" s="6"/>
      <c r="T192" s="7"/>
      <c r="U192" s="6"/>
      <c r="BK192"/>
    </row>
    <row r="193" spans="16:63" x14ac:dyDescent="0.25">
      <c r="P193" s="6"/>
      <c r="T193" s="7"/>
      <c r="U193" s="6"/>
      <c r="BK193"/>
    </row>
    <row r="194" spans="16:63" x14ac:dyDescent="0.25">
      <c r="P194" s="6"/>
      <c r="T194" s="7"/>
      <c r="U194" s="6"/>
      <c r="BK194"/>
    </row>
    <row r="195" spans="16:63" x14ac:dyDescent="0.25">
      <c r="P195" s="6"/>
      <c r="T195" s="7"/>
      <c r="U195" s="6"/>
      <c r="BK195"/>
    </row>
    <row r="196" spans="16:63" x14ac:dyDescent="0.25">
      <c r="P196" s="6"/>
      <c r="T196" s="7"/>
      <c r="U196" s="6"/>
      <c r="BK196"/>
    </row>
    <row r="197" spans="16:63" x14ac:dyDescent="0.25">
      <c r="P197" s="6"/>
      <c r="T197" s="7"/>
      <c r="U197" s="6"/>
      <c r="BK197"/>
    </row>
    <row r="198" spans="16:63" x14ac:dyDescent="0.25">
      <c r="P198" s="6"/>
      <c r="T198" s="7"/>
      <c r="U198" s="6"/>
      <c r="BK198"/>
    </row>
    <row r="199" spans="16:63" x14ac:dyDescent="0.25">
      <c r="P199" s="6"/>
      <c r="T199" s="7"/>
      <c r="U199" s="6"/>
      <c r="BK199"/>
    </row>
    <row r="200" spans="16:63" x14ac:dyDescent="0.25">
      <c r="P200" s="6"/>
      <c r="T200" s="7"/>
      <c r="U200" s="6"/>
      <c r="BK200"/>
    </row>
    <row r="201" spans="16:63" x14ac:dyDescent="0.25">
      <c r="P201" s="6"/>
      <c r="T201" s="7"/>
      <c r="U201" s="6"/>
      <c r="BK201"/>
    </row>
    <row r="202" spans="16:63" x14ac:dyDescent="0.25">
      <c r="P202" s="6"/>
      <c r="T202" s="7"/>
      <c r="U202" s="6"/>
      <c r="BK202"/>
    </row>
    <row r="203" spans="16:63" x14ac:dyDescent="0.25">
      <c r="P203" s="6"/>
      <c r="T203" s="7"/>
      <c r="U203" s="6"/>
      <c r="BK203"/>
    </row>
    <row r="204" spans="16:63" x14ac:dyDescent="0.25">
      <c r="P204" s="6"/>
      <c r="T204" s="7"/>
      <c r="U204" s="6"/>
      <c r="BK204"/>
    </row>
    <row r="205" spans="16:63" x14ac:dyDescent="0.25">
      <c r="P205" s="6"/>
      <c r="T205" s="7"/>
      <c r="U205" s="6"/>
      <c r="BK205"/>
    </row>
    <row r="206" spans="16:63" x14ac:dyDescent="0.25">
      <c r="P206" s="6"/>
      <c r="T206" s="7"/>
      <c r="U206" s="6"/>
      <c r="BK206"/>
    </row>
    <row r="207" spans="16:63" x14ac:dyDescent="0.25">
      <c r="P207" s="6"/>
      <c r="T207" s="7"/>
      <c r="U207" s="6"/>
      <c r="BK207"/>
    </row>
    <row r="208" spans="16:63" x14ac:dyDescent="0.25">
      <c r="P208" s="6"/>
      <c r="T208" s="7"/>
      <c r="U208" s="6"/>
      <c r="BK208"/>
    </row>
    <row r="209" spans="2:63" x14ac:dyDescent="0.25">
      <c r="P209" s="6"/>
      <c r="T209" s="7"/>
      <c r="U209" s="6"/>
      <c r="BK209"/>
    </row>
    <row r="210" spans="2:63" x14ac:dyDescent="0.25">
      <c r="P210" s="6"/>
      <c r="T210" s="7"/>
      <c r="U210" s="6"/>
      <c r="BK210"/>
    </row>
    <row r="211" spans="2:63" x14ac:dyDescent="0.25">
      <c r="B211" s="2"/>
      <c r="P211" s="7"/>
      <c r="Q211" s="7"/>
      <c r="T211" s="7"/>
      <c r="U211" s="6"/>
      <c r="BK211"/>
    </row>
    <row r="212" spans="2:63" x14ac:dyDescent="0.25">
      <c r="P212" s="6"/>
      <c r="T212" s="7"/>
      <c r="U212" s="6"/>
      <c r="BK212"/>
    </row>
    <row r="213" spans="2:63" x14ac:dyDescent="0.25">
      <c r="P213" s="6"/>
      <c r="T213" s="7"/>
      <c r="U213" s="6"/>
      <c r="BK213"/>
    </row>
    <row r="214" spans="2:63" x14ac:dyDescent="0.25">
      <c r="P214" s="6"/>
      <c r="T214" s="7"/>
      <c r="U214" s="6"/>
      <c r="BK214"/>
    </row>
    <row r="215" spans="2:63" x14ac:dyDescent="0.25">
      <c r="P215" s="6"/>
      <c r="T215" s="7"/>
      <c r="U215" s="6"/>
      <c r="BK215"/>
    </row>
    <row r="216" spans="2:63" x14ac:dyDescent="0.25">
      <c r="P216" s="6"/>
      <c r="T216" s="7"/>
      <c r="U216" s="6"/>
      <c r="BK216"/>
    </row>
    <row r="217" spans="2:63" x14ac:dyDescent="0.25">
      <c r="P217" s="6"/>
      <c r="T217" s="7"/>
      <c r="U217" s="6"/>
      <c r="BK217"/>
    </row>
    <row r="218" spans="2:63" x14ac:dyDescent="0.25">
      <c r="P218" s="6"/>
      <c r="T218" s="7"/>
      <c r="U218" s="6"/>
      <c r="BK218"/>
    </row>
    <row r="219" spans="2:63" x14ac:dyDescent="0.25">
      <c r="P219" s="6"/>
      <c r="T219" s="7"/>
      <c r="U219" s="6"/>
      <c r="BK219"/>
    </row>
    <row r="220" spans="2:63" x14ac:dyDescent="0.25">
      <c r="P220" s="6"/>
      <c r="T220" s="7"/>
      <c r="U220" s="6"/>
      <c r="BK220"/>
    </row>
    <row r="221" spans="2:63" x14ac:dyDescent="0.25">
      <c r="P221" s="6"/>
      <c r="T221" s="7"/>
      <c r="U221" s="6"/>
      <c r="BK221"/>
    </row>
    <row r="222" spans="2:63" x14ac:dyDescent="0.25">
      <c r="P222" s="6"/>
      <c r="T222" s="7"/>
      <c r="U222" s="6"/>
      <c r="BK222"/>
    </row>
    <row r="223" spans="2:63" x14ac:dyDescent="0.25">
      <c r="P223" s="6"/>
      <c r="T223" s="7"/>
      <c r="U223" s="6"/>
      <c r="BK223"/>
    </row>
    <row r="224" spans="2:63" x14ac:dyDescent="0.25">
      <c r="P224" s="6"/>
      <c r="T224" s="7"/>
      <c r="U224" s="6"/>
      <c r="BK224"/>
    </row>
    <row r="225" spans="16:63" x14ac:dyDescent="0.25">
      <c r="P225" s="6"/>
      <c r="T225" s="7"/>
      <c r="U225" s="6"/>
      <c r="BK225"/>
    </row>
    <row r="226" spans="16:63" x14ac:dyDescent="0.25">
      <c r="P226" s="6"/>
      <c r="T226" s="7"/>
      <c r="U226" s="6"/>
      <c r="BK226"/>
    </row>
    <row r="227" spans="16:63" x14ac:dyDescent="0.25">
      <c r="P227" s="6"/>
      <c r="T227" s="7"/>
      <c r="U227" s="6"/>
      <c r="BK227"/>
    </row>
    <row r="228" spans="16:63" x14ac:dyDescent="0.25">
      <c r="P228" s="6"/>
      <c r="T228" s="7"/>
      <c r="U228" s="6"/>
      <c r="BK228"/>
    </row>
    <row r="229" spans="16:63" x14ac:dyDescent="0.25">
      <c r="P229" s="6"/>
      <c r="T229" s="7"/>
      <c r="U229" s="6"/>
      <c r="BK229"/>
    </row>
    <row r="230" spans="16:63" x14ac:dyDescent="0.25">
      <c r="P230" s="6"/>
      <c r="T230" s="7"/>
      <c r="U230" s="6"/>
      <c r="BK230"/>
    </row>
    <row r="231" spans="16:63" x14ac:dyDescent="0.25">
      <c r="P231" s="6"/>
      <c r="T231" s="7"/>
      <c r="U231" s="6"/>
      <c r="BK231"/>
    </row>
    <row r="232" spans="16:63" x14ac:dyDescent="0.25">
      <c r="P232" s="6"/>
      <c r="T232" s="7"/>
      <c r="U232" s="6"/>
      <c r="BK232"/>
    </row>
    <row r="233" spans="16:63" x14ac:dyDescent="0.25">
      <c r="P233" s="6"/>
      <c r="T233" s="7"/>
      <c r="U233" s="6"/>
      <c r="BK233"/>
    </row>
    <row r="234" spans="16:63" x14ac:dyDescent="0.25">
      <c r="P234" s="6"/>
      <c r="T234" s="7"/>
      <c r="U234" s="6"/>
      <c r="BK234"/>
    </row>
    <row r="235" spans="16:63" x14ac:dyDescent="0.25">
      <c r="P235" s="6"/>
      <c r="T235" s="7"/>
      <c r="U235" s="6"/>
      <c r="BK235"/>
    </row>
    <row r="236" spans="16:63" x14ac:dyDescent="0.25">
      <c r="P236" s="6"/>
      <c r="T236" s="7"/>
      <c r="U236" s="6"/>
      <c r="BK236"/>
    </row>
    <row r="237" spans="16:63" x14ac:dyDescent="0.25">
      <c r="P237" s="6"/>
      <c r="T237" s="7"/>
      <c r="U237" s="6"/>
      <c r="BK237"/>
    </row>
    <row r="238" spans="16:63" x14ac:dyDescent="0.25">
      <c r="P238" s="6"/>
      <c r="T238" s="7"/>
      <c r="U238" s="6"/>
      <c r="BK238"/>
    </row>
    <row r="239" spans="16:63" x14ac:dyDescent="0.25">
      <c r="P239" s="6"/>
      <c r="T239" s="7"/>
      <c r="U239" s="6"/>
      <c r="BK239"/>
    </row>
    <row r="240" spans="16:63" x14ac:dyDescent="0.25">
      <c r="P240" s="6"/>
      <c r="T240" s="7"/>
      <c r="U240" s="6"/>
      <c r="BK240"/>
    </row>
    <row r="241" spans="16:63" x14ac:dyDescent="0.25">
      <c r="P241" s="6"/>
      <c r="T241" s="7"/>
      <c r="U241" s="6"/>
      <c r="BK241"/>
    </row>
    <row r="242" spans="16:63" x14ac:dyDescent="0.25">
      <c r="P242" s="6"/>
      <c r="T242" s="7"/>
      <c r="U242" s="6"/>
      <c r="BK242"/>
    </row>
    <row r="243" spans="16:63" x14ac:dyDescent="0.25">
      <c r="P243" s="6"/>
      <c r="T243" s="7"/>
      <c r="U243" s="6"/>
      <c r="BK243"/>
    </row>
    <row r="244" spans="16:63" x14ac:dyDescent="0.25">
      <c r="P244" s="6"/>
      <c r="T244" s="7"/>
      <c r="U244" s="6"/>
      <c r="BK244"/>
    </row>
    <row r="245" spans="16:63" x14ac:dyDescent="0.25">
      <c r="P245" s="6"/>
      <c r="T245" s="7"/>
      <c r="U245" s="6"/>
      <c r="BK245"/>
    </row>
    <row r="246" spans="16:63" x14ac:dyDescent="0.25">
      <c r="P246" s="6"/>
      <c r="T246" s="7"/>
      <c r="U246" s="6"/>
      <c r="BK246"/>
    </row>
    <row r="247" spans="16:63" x14ac:dyDescent="0.25">
      <c r="P247" s="6"/>
      <c r="T247" s="7"/>
      <c r="U247" s="6"/>
      <c r="BK247"/>
    </row>
    <row r="248" spans="16:63" x14ac:dyDescent="0.25">
      <c r="P248" s="6"/>
      <c r="T248" s="7"/>
      <c r="U248" s="6"/>
      <c r="BK248"/>
    </row>
    <row r="249" spans="16:63" x14ac:dyDescent="0.25">
      <c r="P249" s="6"/>
      <c r="T249" s="7"/>
      <c r="U249" s="6"/>
      <c r="BK249"/>
    </row>
    <row r="250" spans="16:63" x14ac:dyDescent="0.25">
      <c r="P250" s="6"/>
      <c r="T250" s="7"/>
      <c r="U250" s="6"/>
      <c r="BK250"/>
    </row>
    <row r="251" spans="16:63" x14ac:dyDescent="0.25">
      <c r="P251" s="6"/>
      <c r="T251" s="7"/>
      <c r="U251" s="6"/>
      <c r="BK251"/>
    </row>
    <row r="252" spans="16:63" x14ac:dyDescent="0.25">
      <c r="P252" s="6"/>
      <c r="T252" s="7"/>
      <c r="U252" s="6"/>
      <c r="BK252"/>
    </row>
    <row r="253" spans="16:63" x14ac:dyDescent="0.25">
      <c r="P253" s="6"/>
      <c r="T253" s="7"/>
      <c r="U253" s="6"/>
      <c r="BK253"/>
    </row>
    <row r="254" spans="16:63" x14ac:dyDescent="0.25">
      <c r="P254" s="6"/>
      <c r="T254" s="7"/>
      <c r="U254" s="6"/>
      <c r="BK254"/>
    </row>
    <row r="255" spans="16:63" x14ac:dyDescent="0.25">
      <c r="P255" s="6"/>
      <c r="T255" s="7"/>
      <c r="U255" s="6"/>
      <c r="BK255"/>
    </row>
    <row r="256" spans="16:63" x14ac:dyDescent="0.25">
      <c r="P256" s="6"/>
      <c r="T256" s="7"/>
      <c r="U256" s="6"/>
      <c r="BK256"/>
    </row>
    <row r="257" spans="13:63" x14ac:dyDescent="0.25">
      <c r="P257" s="6"/>
      <c r="T257" s="7"/>
      <c r="U257" s="6"/>
      <c r="BK257"/>
    </row>
    <row r="258" spans="13:63" x14ac:dyDescent="0.25">
      <c r="P258" s="6"/>
      <c r="T258" s="7"/>
      <c r="U258" s="6"/>
      <c r="BK258"/>
    </row>
    <row r="259" spans="13:63" x14ac:dyDescent="0.25">
      <c r="P259" s="8"/>
      <c r="T259" s="7"/>
      <c r="U259" s="6"/>
      <c r="BK259"/>
    </row>
    <row r="260" spans="13:63" x14ac:dyDescent="0.25">
      <c r="P260" s="6"/>
      <c r="T260" s="7"/>
      <c r="U260" s="6"/>
      <c r="BK260"/>
    </row>
    <row r="261" spans="13:63" x14ac:dyDescent="0.25">
      <c r="P261" s="6"/>
      <c r="T261" s="7"/>
      <c r="U261" s="6"/>
      <c r="BK261"/>
    </row>
    <row r="262" spans="13:63" x14ac:dyDescent="0.25">
      <c r="P262" s="6"/>
      <c r="T262" s="7"/>
      <c r="U262" s="6"/>
      <c r="BK262"/>
    </row>
    <row r="263" spans="13:63" x14ac:dyDescent="0.25">
      <c r="P263" s="6"/>
      <c r="T263" s="7"/>
      <c r="U263" s="6"/>
      <c r="BK263"/>
    </row>
    <row r="264" spans="13:63" x14ac:dyDescent="0.25">
      <c r="P264" s="6"/>
      <c r="T264" s="7"/>
      <c r="U264" s="6"/>
      <c r="BK264"/>
    </row>
    <row r="265" spans="13:63" x14ac:dyDescent="0.25">
      <c r="P265" s="6"/>
      <c r="T265" s="7"/>
      <c r="U265" s="6"/>
      <c r="BK265"/>
    </row>
    <row r="266" spans="13:63" x14ac:dyDescent="0.25">
      <c r="P266" s="6"/>
      <c r="T266" s="7"/>
      <c r="U266" s="6"/>
      <c r="BK266"/>
    </row>
    <row r="268" spans="13:63" x14ac:dyDescent="0.25">
      <c r="M268" s="4"/>
      <c r="N268" s="4"/>
      <c r="O268" s="4"/>
    </row>
    <row r="269" spans="13:63" x14ac:dyDescent="0.25">
      <c r="M269" s="4"/>
      <c r="N269" s="4"/>
      <c r="O269" s="4"/>
    </row>
    <row r="270" spans="13:63" x14ac:dyDescent="0.25">
      <c r="M270" s="4"/>
      <c r="N270" s="4"/>
      <c r="O270" s="4"/>
    </row>
    <row r="271" spans="13:63" x14ac:dyDescent="0.25">
      <c r="M271" s="4"/>
      <c r="N271" s="4"/>
      <c r="O271" s="4"/>
    </row>
  </sheetData>
  <sortState ref="A2:BG181">
    <sortCondition ref="A2:A181"/>
    <sortCondition ref="C2:C181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6"/>
  <sheetViews>
    <sheetView workbookViewId="0">
      <selection activeCell="E35" sqref="E35"/>
    </sheetView>
  </sheetViews>
  <sheetFormatPr defaultRowHeight="15" x14ac:dyDescent="0.25"/>
  <sheetData>
    <row r="1" spans="1:5" x14ac:dyDescent="0.25">
      <c r="A1" t="s">
        <v>118</v>
      </c>
      <c r="B1" t="s">
        <v>119</v>
      </c>
      <c r="C1" t="s">
        <v>125</v>
      </c>
      <c r="D1" t="s">
        <v>126</v>
      </c>
      <c r="E1" t="s">
        <v>127</v>
      </c>
    </row>
    <row r="2" spans="1:5" x14ac:dyDescent="0.25">
      <c r="A2">
        <v>1</v>
      </c>
      <c r="B2" t="s">
        <v>120</v>
      </c>
      <c r="C2" s="12" t="s">
        <v>132</v>
      </c>
      <c r="D2" t="str">
        <f>"T4; T16; T17; T18"</f>
        <v>T4; T16; T17; T18</v>
      </c>
      <c r="E2" t="s">
        <v>128</v>
      </c>
    </row>
    <row r="3" spans="1:5" x14ac:dyDescent="0.25">
      <c r="A3">
        <v>2</v>
      </c>
      <c r="B3" t="s">
        <v>121</v>
      </c>
      <c r="C3" s="12" t="s">
        <v>132</v>
      </c>
      <c r="D3" t="str">
        <f>"T5; T22; T23; T24"</f>
        <v>T5; T22; T23; T24</v>
      </c>
      <c r="E3" t="s">
        <v>129</v>
      </c>
    </row>
    <row r="4" spans="1:5" x14ac:dyDescent="0.25">
      <c r="A4">
        <v>3</v>
      </c>
      <c r="B4" t="s">
        <v>122</v>
      </c>
      <c r="C4" s="12" t="s">
        <v>132</v>
      </c>
      <c r="D4" t="str">
        <f>"T1;T25; T26; T27"</f>
        <v>T1;T25; T26; T27</v>
      </c>
      <c r="E4" t="s">
        <v>133</v>
      </c>
    </row>
    <row r="5" spans="1:5" x14ac:dyDescent="0.25">
      <c r="A5">
        <v>4</v>
      </c>
      <c r="B5" t="s">
        <v>123</v>
      </c>
      <c r="C5" s="12" t="s">
        <v>132</v>
      </c>
      <c r="D5" t="str">
        <f>"T2; T28; T29; T30"</f>
        <v>T2; T28; T29; T30</v>
      </c>
      <c r="E5" t="s">
        <v>130</v>
      </c>
    </row>
    <row r="6" spans="1:5" x14ac:dyDescent="0.25">
      <c r="A6">
        <v>5</v>
      </c>
      <c r="B6" t="s">
        <v>124</v>
      </c>
      <c r="C6" s="12" t="s">
        <v>132</v>
      </c>
      <c r="D6" t="str">
        <f>"T3; T19; T20; T21"</f>
        <v>T3; T19; T20; T21</v>
      </c>
      <c r="E6" t="s">
        <v>131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B80"/>
  <sheetViews>
    <sheetView workbookViewId="0">
      <selection activeCell="D26" sqref="D26"/>
    </sheetView>
  </sheetViews>
  <sheetFormatPr defaultRowHeight="15" x14ac:dyDescent="0.25"/>
  <sheetData>
    <row r="1" spans="1:2" x14ac:dyDescent="0.25">
      <c r="A1">
        <v>2123000</v>
      </c>
      <c r="B1">
        <f>A1*1.5</f>
        <v>3184500</v>
      </c>
    </row>
    <row r="2" spans="1:2" x14ac:dyDescent="0.25">
      <c r="A2">
        <v>1351000</v>
      </c>
      <c r="B2">
        <f t="shared" ref="B2:B65" si="0">A2*1.5</f>
        <v>2026500</v>
      </c>
    </row>
    <row r="3" spans="1:2" x14ac:dyDescent="0.25">
      <c r="A3">
        <v>2123000</v>
      </c>
      <c r="B3">
        <f t="shared" si="0"/>
        <v>3184500</v>
      </c>
    </row>
    <row r="4" spans="1:2" x14ac:dyDescent="0.25">
      <c r="A4">
        <v>1930000</v>
      </c>
      <c r="B4">
        <f t="shared" si="0"/>
        <v>2895000</v>
      </c>
    </row>
    <row r="5" spans="1:2" x14ac:dyDescent="0.25">
      <c r="A5">
        <v>2123000</v>
      </c>
      <c r="B5">
        <f t="shared" si="0"/>
        <v>3184500</v>
      </c>
    </row>
    <row r="6" spans="1:2" x14ac:dyDescent="0.25">
      <c r="A6">
        <v>1351000</v>
      </c>
      <c r="B6">
        <f t="shared" si="0"/>
        <v>2026500</v>
      </c>
    </row>
    <row r="7" spans="1:2" x14ac:dyDescent="0.25">
      <c r="A7">
        <v>2123000</v>
      </c>
      <c r="B7">
        <f t="shared" si="0"/>
        <v>3184500</v>
      </c>
    </row>
    <row r="8" spans="1:2" x14ac:dyDescent="0.25">
      <c r="A8">
        <v>1930000</v>
      </c>
      <c r="B8">
        <f t="shared" si="0"/>
        <v>2895000</v>
      </c>
    </row>
    <row r="9" spans="1:2" x14ac:dyDescent="0.25">
      <c r="A9">
        <v>2123000</v>
      </c>
      <c r="B9">
        <f t="shared" si="0"/>
        <v>3184500</v>
      </c>
    </row>
    <row r="10" spans="1:2" x14ac:dyDescent="0.25">
      <c r="A10">
        <v>1351000</v>
      </c>
      <c r="B10">
        <f t="shared" si="0"/>
        <v>2026500</v>
      </c>
    </row>
    <row r="11" spans="1:2" x14ac:dyDescent="0.25">
      <c r="A11">
        <v>2123000</v>
      </c>
      <c r="B11">
        <f t="shared" si="0"/>
        <v>3184500</v>
      </c>
    </row>
    <row r="12" spans="1:2" x14ac:dyDescent="0.25">
      <c r="A12">
        <v>1930000</v>
      </c>
      <c r="B12">
        <f t="shared" si="0"/>
        <v>2895000</v>
      </c>
    </row>
    <row r="13" spans="1:2" x14ac:dyDescent="0.25">
      <c r="A13">
        <v>2123000</v>
      </c>
      <c r="B13">
        <f t="shared" si="0"/>
        <v>3184500</v>
      </c>
    </row>
    <row r="14" spans="1:2" x14ac:dyDescent="0.25">
      <c r="A14">
        <v>1351000</v>
      </c>
      <c r="B14">
        <f t="shared" si="0"/>
        <v>2026500</v>
      </c>
    </row>
    <row r="15" spans="1:2" x14ac:dyDescent="0.25">
      <c r="A15">
        <v>2123000</v>
      </c>
      <c r="B15">
        <f t="shared" si="0"/>
        <v>3184500</v>
      </c>
    </row>
    <row r="16" spans="1:2" x14ac:dyDescent="0.25">
      <c r="A16">
        <v>1930000</v>
      </c>
      <c r="B16">
        <f t="shared" si="0"/>
        <v>2895000</v>
      </c>
    </row>
    <row r="17" spans="1:2" x14ac:dyDescent="0.25">
      <c r="A17">
        <v>2123000</v>
      </c>
      <c r="B17">
        <f t="shared" si="0"/>
        <v>3184500</v>
      </c>
    </row>
    <row r="18" spans="1:2" x14ac:dyDescent="0.25">
      <c r="A18">
        <v>1351000</v>
      </c>
      <c r="B18">
        <f t="shared" si="0"/>
        <v>2026500</v>
      </c>
    </row>
    <row r="19" spans="1:2" x14ac:dyDescent="0.25">
      <c r="A19">
        <v>2123000</v>
      </c>
      <c r="B19">
        <f t="shared" si="0"/>
        <v>3184500</v>
      </c>
    </row>
    <row r="20" spans="1:2" x14ac:dyDescent="0.25">
      <c r="A20">
        <v>1930000</v>
      </c>
      <c r="B20">
        <f t="shared" si="0"/>
        <v>2895000</v>
      </c>
    </row>
    <row r="21" spans="1:2" x14ac:dyDescent="0.25">
      <c r="A21">
        <v>3852000</v>
      </c>
      <c r="B21">
        <f t="shared" si="0"/>
        <v>5778000</v>
      </c>
    </row>
    <row r="22" spans="1:2" x14ac:dyDescent="0.25">
      <c r="A22">
        <v>2451000</v>
      </c>
      <c r="B22">
        <f t="shared" si="0"/>
        <v>3676500</v>
      </c>
    </row>
    <row r="23" spans="1:2" x14ac:dyDescent="0.25">
      <c r="A23">
        <v>3852200.0000000005</v>
      </c>
      <c r="B23">
        <f t="shared" si="0"/>
        <v>5778300.0000000009</v>
      </c>
    </row>
    <row r="24" spans="1:2" x14ac:dyDescent="0.25">
      <c r="A24">
        <v>3502000</v>
      </c>
      <c r="B24">
        <f t="shared" si="0"/>
        <v>5253000</v>
      </c>
    </row>
    <row r="25" spans="1:2" x14ac:dyDescent="0.25">
      <c r="A25">
        <v>3079000</v>
      </c>
      <c r="B25">
        <f t="shared" si="0"/>
        <v>4618500</v>
      </c>
    </row>
    <row r="26" spans="1:2" x14ac:dyDescent="0.25">
      <c r="A26">
        <v>1959000</v>
      </c>
      <c r="B26">
        <f t="shared" si="0"/>
        <v>2938500</v>
      </c>
    </row>
    <row r="27" spans="1:2" x14ac:dyDescent="0.25">
      <c r="A27">
        <v>3078900.0000000005</v>
      </c>
      <c r="B27">
        <f t="shared" si="0"/>
        <v>4618350.0000000009</v>
      </c>
    </row>
    <row r="28" spans="1:2" x14ac:dyDescent="0.25">
      <c r="A28">
        <v>2799000</v>
      </c>
      <c r="B28">
        <f t="shared" si="0"/>
        <v>4198500</v>
      </c>
    </row>
    <row r="29" spans="1:2" x14ac:dyDescent="0.25">
      <c r="A29">
        <v>1232000</v>
      </c>
      <c r="B29">
        <f t="shared" si="0"/>
        <v>1848000</v>
      </c>
    </row>
    <row r="30" spans="1:2" x14ac:dyDescent="0.25">
      <c r="A30">
        <v>784000</v>
      </c>
      <c r="B30">
        <f t="shared" si="0"/>
        <v>1176000</v>
      </c>
    </row>
    <row r="31" spans="1:2" x14ac:dyDescent="0.25">
      <c r="A31">
        <v>1232000</v>
      </c>
      <c r="B31">
        <f t="shared" si="0"/>
        <v>1848000</v>
      </c>
    </row>
    <row r="32" spans="1:2" x14ac:dyDescent="0.25">
      <c r="A32">
        <v>1120000</v>
      </c>
      <c r="B32">
        <f t="shared" si="0"/>
        <v>1680000</v>
      </c>
    </row>
    <row r="33" spans="1:2" x14ac:dyDescent="0.25">
      <c r="A33">
        <v>3852000</v>
      </c>
      <c r="B33">
        <f t="shared" si="0"/>
        <v>5778000</v>
      </c>
    </row>
    <row r="34" spans="1:2" x14ac:dyDescent="0.25">
      <c r="A34">
        <v>2451000</v>
      </c>
      <c r="B34">
        <f t="shared" si="0"/>
        <v>3676500</v>
      </c>
    </row>
    <row r="35" spans="1:2" x14ac:dyDescent="0.25">
      <c r="A35">
        <v>3852200.0000000005</v>
      </c>
      <c r="B35">
        <f t="shared" si="0"/>
        <v>5778300.0000000009</v>
      </c>
    </row>
    <row r="36" spans="1:2" x14ac:dyDescent="0.25">
      <c r="A36">
        <v>3502000</v>
      </c>
      <c r="B36">
        <f t="shared" si="0"/>
        <v>5253000</v>
      </c>
    </row>
    <row r="37" spans="1:2" x14ac:dyDescent="0.25">
      <c r="A37">
        <v>3079000</v>
      </c>
      <c r="B37">
        <f t="shared" si="0"/>
        <v>4618500</v>
      </c>
    </row>
    <row r="38" spans="1:2" x14ac:dyDescent="0.25">
      <c r="A38">
        <v>1959000</v>
      </c>
      <c r="B38">
        <f t="shared" si="0"/>
        <v>2938500</v>
      </c>
    </row>
    <row r="39" spans="1:2" x14ac:dyDescent="0.25">
      <c r="A39">
        <v>3078900.0000000005</v>
      </c>
      <c r="B39">
        <f t="shared" si="0"/>
        <v>4618350.0000000009</v>
      </c>
    </row>
    <row r="40" spans="1:2" x14ac:dyDescent="0.25">
      <c r="A40">
        <v>2799000</v>
      </c>
      <c r="B40">
        <f t="shared" si="0"/>
        <v>4198500</v>
      </c>
    </row>
    <row r="41" spans="1:2" x14ac:dyDescent="0.25">
      <c r="A41">
        <v>1232000</v>
      </c>
      <c r="B41">
        <f t="shared" si="0"/>
        <v>1848000</v>
      </c>
    </row>
    <row r="42" spans="1:2" x14ac:dyDescent="0.25">
      <c r="A42">
        <v>784000</v>
      </c>
      <c r="B42">
        <f t="shared" si="0"/>
        <v>1176000</v>
      </c>
    </row>
    <row r="43" spans="1:2" x14ac:dyDescent="0.25">
      <c r="A43">
        <v>1232000</v>
      </c>
      <c r="B43">
        <f t="shared" si="0"/>
        <v>1848000</v>
      </c>
    </row>
    <row r="44" spans="1:2" x14ac:dyDescent="0.25">
      <c r="A44">
        <v>1120000</v>
      </c>
      <c r="B44">
        <f t="shared" si="0"/>
        <v>1680000</v>
      </c>
    </row>
    <row r="45" spans="1:2" x14ac:dyDescent="0.25">
      <c r="A45">
        <v>3852000</v>
      </c>
      <c r="B45">
        <f t="shared" si="0"/>
        <v>5778000</v>
      </c>
    </row>
    <row r="46" spans="1:2" x14ac:dyDescent="0.25">
      <c r="A46">
        <v>2451000</v>
      </c>
      <c r="B46">
        <f t="shared" si="0"/>
        <v>3676500</v>
      </c>
    </row>
    <row r="47" spans="1:2" x14ac:dyDescent="0.25">
      <c r="A47">
        <v>3852200.0000000005</v>
      </c>
      <c r="B47">
        <f t="shared" si="0"/>
        <v>5778300.0000000009</v>
      </c>
    </row>
    <row r="48" spans="1:2" x14ac:dyDescent="0.25">
      <c r="A48">
        <v>3502000</v>
      </c>
      <c r="B48">
        <f t="shared" si="0"/>
        <v>5253000</v>
      </c>
    </row>
    <row r="49" spans="1:2" x14ac:dyDescent="0.25">
      <c r="A49">
        <v>3079000</v>
      </c>
      <c r="B49">
        <f t="shared" si="0"/>
        <v>4618500</v>
      </c>
    </row>
    <row r="50" spans="1:2" x14ac:dyDescent="0.25">
      <c r="A50">
        <v>1959000</v>
      </c>
      <c r="B50">
        <f t="shared" si="0"/>
        <v>2938500</v>
      </c>
    </row>
    <row r="51" spans="1:2" x14ac:dyDescent="0.25">
      <c r="A51">
        <v>3078900.0000000005</v>
      </c>
      <c r="B51">
        <f t="shared" si="0"/>
        <v>4618350.0000000009</v>
      </c>
    </row>
    <row r="52" spans="1:2" x14ac:dyDescent="0.25">
      <c r="A52">
        <v>2799000</v>
      </c>
      <c r="B52">
        <f t="shared" si="0"/>
        <v>4198500</v>
      </c>
    </row>
    <row r="53" spans="1:2" x14ac:dyDescent="0.25">
      <c r="A53">
        <v>1232000</v>
      </c>
      <c r="B53">
        <f t="shared" si="0"/>
        <v>1848000</v>
      </c>
    </row>
    <row r="54" spans="1:2" x14ac:dyDescent="0.25">
      <c r="A54">
        <v>784000</v>
      </c>
      <c r="B54">
        <f t="shared" si="0"/>
        <v>1176000</v>
      </c>
    </row>
    <row r="55" spans="1:2" x14ac:dyDescent="0.25">
      <c r="A55">
        <v>1232000</v>
      </c>
      <c r="B55">
        <f t="shared" si="0"/>
        <v>1848000</v>
      </c>
    </row>
    <row r="56" spans="1:2" x14ac:dyDescent="0.25">
      <c r="A56">
        <v>1120000</v>
      </c>
      <c r="B56">
        <f t="shared" si="0"/>
        <v>1680000</v>
      </c>
    </row>
    <row r="57" spans="1:2" x14ac:dyDescent="0.25">
      <c r="A57">
        <v>3852000</v>
      </c>
      <c r="B57">
        <f t="shared" si="0"/>
        <v>5778000</v>
      </c>
    </row>
    <row r="58" spans="1:2" x14ac:dyDescent="0.25">
      <c r="A58">
        <v>2451000</v>
      </c>
      <c r="B58">
        <f t="shared" si="0"/>
        <v>3676500</v>
      </c>
    </row>
    <row r="59" spans="1:2" x14ac:dyDescent="0.25">
      <c r="A59">
        <v>3852200.0000000005</v>
      </c>
      <c r="B59">
        <f t="shared" si="0"/>
        <v>5778300.0000000009</v>
      </c>
    </row>
    <row r="60" spans="1:2" x14ac:dyDescent="0.25">
      <c r="A60">
        <v>3502000</v>
      </c>
      <c r="B60">
        <f t="shared" si="0"/>
        <v>5253000</v>
      </c>
    </row>
    <row r="61" spans="1:2" x14ac:dyDescent="0.25">
      <c r="A61">
        <v>3079000</v>
      </c>
      <c r="B61">
        <f t="shared" si="0"/>
        <v>4618500</v>
      </c>
    </row>
    <row r="62" spans="1:2" x14ac:dyDescent="0.25">
      <c r="A62">
        <v>1959000</v>
      </c>
      <c r="B62">
        <f t="shared" si="0"/>
        <v>2938500</v>
      </c>
    </row>
    <row r="63" spans="1:2" x14ac:dyDescent="0.25">
      <c r="A63">
        <v>3078900.0000000005</v>
      </c>
      <c r="B63">
        <f t="shared" si="0"/>
        <v>4618350.0000000009</v>
      </c>
    </row>
    <row r="64" spans="1:2" x14ac:dyDescent="0.25">
      <c r="A64">
        <v>2799000</v>
      </c>
      <c r="B64">
        <f t="shared" si="0"/>
        <v>4198500</v>
      </c>
    </row>
    <row r="65" spans="1:2" x14ac:dyDescent="0.25">
      <c r="A65">
        <v>1232000</v>
      </c>
      <c r="B65">
        <f t="shared" si="0"/>
        <v>1848000</v>
      </c>
    </row>
    <row r="66" spans="1:2" x14ac:dyDescent="0.25">
      <c r="A66">
        <v>784000</v>
      </c>
      <c r="B66">
        <f t="shared" ref="B66:B80" si="1">A66*1.5</f>
        <v>1176000</v>
      </c>
    </row>
    <row r="67" spans="1:2" x14ac:dyDescent="0.25">
      <c r="A67">
        <v>1232000</v>
      </c>
      <c r="B67">
        <f t="shared" si="1"/>
        <v>1848000</v>
      </c>
    </row>
    <row r="68" spans="1:2" x14ac:dyDescent="0.25">
      <c r="A68">
        <v>1120000</v>
      </c>
      <c r="B68">
        <f t="shared" si="1"/>
        <v>1680000</v>
      </c>
    </row>
    <row r="69" spans="1:2" x14ac:dyDescent="0.25">
      <c r="A69">
        <v>3852000</v>
      </c>
      <c r="B69">
        <f t="shared" si="1"/>
        <v>5778000</v>
      </c>
    </row>
    <row r="70" spans="1:2" x14ac:dyDescent="0.25">
      <c r="A70">
        <v>2451000</v>
      </c>
      <c r="B70">
        <f t="shared" si="1"/>
        <v>3676500</v>
      </c>
    </row>
    <row r="71" spans="1:2" x14ac:dyDescent="0.25">
      <c r="A71">
        <v>3852200.0000000005</v>
      </c>
      <c r="B71">
        <f t="shared" si="1"/>
        <v>5778300.0000000009</v>
      </c>
    </row>
    <row r="72" spans="1:2" x14ac:dyDescent="0.25">
      <c r="A72">
        <v>3502000</v>
      </c>
      <c r="B72">
        <f t="shared" si="1"/>
        <v>5253000</v>
      </c>
    </row>
    <row r="73" spans="1:2" x14ac:dyDescent="0.25">
      <c r="A73">
        <v>3079000</v>
      </c>
      <c r="B73">
        <f t="shared" si="1"/>
        <v>4618500</v>
      </c>
    </row>
    <row r="74" spans="1:2" x14ac:dyDescent="0.25">
      <c r="A74">
        <v>1959000</v>
      </c>
      <c r="B74">
        <f t="shared" si="1"/>
        <v>2938500</v>
      </c>
    </row>
    <row r="75" spans="1:2" x14ac:dyDescent="0.25">
      <c r="A75">
        <v>3078900.0000000005</v>
      </c>
      <c r="B75">
        <f t="shared" si="1"/>
        <v>4618350.0000000009</v>
      </c>
    </row>
    <row r="76" spans="1:2" x14ac:dyDescent="0.25">
      <c r="A76">
        <v>2799000</v>
      </c>
      <c r="B76">
        <f t="shared" si="1"/>
        <v>4198500</v>
      </c>
    </row>
    <row r="77" spans="1:2" x14ac:dyDescent="0.25">
      <c r="A77">
        <v>1232000</v>
      </c>
      <c r="B77">
        <f t="shared" si="1"/>
        <v>1848000</v>
      </c>
    </row>
    <row r="78" spans="1:2" x14ac:dyDescent="0.25">
      <c r="A78">
        <v>784000</v>
      </c>
      <c r="B78">
        <f t="shared" si="1"/>
        <v>1176000</v>
      </c>
    </row>
    <row r="79" spans="1:2" x14ac:dyDescent="0.25">
      <c r="A79">
        <v>1232000</v>
      </c>
      <c r="B79">
        <f t="shared" si="1"/>
        <v>1848000</v>
      </c>
    </row>
    <row r="80" spans="1:2" x14ac:dyDescent="0.25">
      <c r="A80">
        <v>1120000</v>
      </c>
      <c r="B80">
        <f t="shared" si="1"/>
        <v>1680000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TTL NORMAL</vt:lpstr>
      <vt:lpstr>TASKS AND ROAD SEGMENT MATRIX</vt:lpstr>
      <vt:lpstr>PORTFOLIO</vt:lpstr>
      <vt:lpstr>Kosten herbekend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Schraven</dc:creator>
  <cp:lastModifiedBy>Joris Scharpff</cp:lastModifiedBy>
  <dcterms:created xsi:type="dcterms:W3CDTF">2013-04-26T00:09:57Z</dcterms:created>
  <dcterms:modified xsi:type="dcterms:W3CDTF">2013-11-20T21:17:29Z</dcterms:modified>
</cp:coreProperties>
</file>